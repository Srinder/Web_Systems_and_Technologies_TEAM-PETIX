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CARMELA\Downloads\"/>
    </mc:Choice>
  </mc:AlternateContent>
  <xr:revisionPtr revIDLastSave="0" documentId="13_ncr:1_{1D91FEE6-E757-4F55-926E-49A970E186E5}" xr6:coauthVersionLast="47" xr6:coauthVersionMax="47" xr10:uidLastSave="{00000000-0000-0000-0000-000000000000}"/>
  <bookViews>
    <workbookView xWindow="-120" yWindow="-120" windowWidth="29040" windowHeight="15840" firstSheet="1" activeTab="5" xr2:uid="{00000000-000D-0000-FFFF-FFFF00000000}"/>
  </bookViews>
  <sheets>
    <sheet name="RAW DATA_MotorPH_Products_List_" sheetId="1" state="hidden" r:id="rId1"/>
    <sheet name="Dashboard" sheetId="6" r:id="rId2"/>
    <sheet name="Sales Analysis" sheetId="5" r:id="rId3"/>
    <sheet name="Product Analysis" sheetId="3" r:id="rId4"/>
    <sheet name="CLEANED_MotorPH_Products_List_2" sheetId="2" r:id="rId5"/>
    <sheet name="MotorPH_Sales Data-3rd Quarter-" sheetId="4" r:id="rId6"/>
  </sheets>
  <definedNames>
    <definedName name="_xlnm._FilterDatabase" localSheetId="4" hidden="1">CLEANED_MotorPH_Products_List_2!$A$1:$J$1</definedName>
    <definedName name="_xlnm._FilterDatabase" localSheetId="5" hidden="1">'MotorPH_Sales Data-3rd Quarter-'!$A$1:$J$991</definedName>
    <definedName name="_xlnm._FilterDatabase" localSheetId="3" hidden="1">'Product Analysis'!$U$3:$W$3</definedName>
    <definedName name="_xlchart.v1.2" hidden="1">'Sales Analysis'!$AF$1</definedName>
    <definedName name="Category">OFFSET('Sales Analysis'!$AF$1,1,0,COUNT('Sales Analysis'!$AG:$AG))</definedName>
    <definedName name="CategoryRange">OFFSET('Sales Analysis'!$AF$1,1,1,COUNT('Sales Analysis'!$AG:$AG))</definedName>
    <definedName name="Slicer_Client_Type">#N/A</definedName>
    <definedName name="Slicer_Month">#N/A</definedName>
    <definedName name="Slicer_Payment">#N/A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5" l="1" a="1"/>
  <c r="AK3" i="5" s="1"/>
  <c r="AI3" i="5" s="1"/>
  <c r="AJ3" i="5" a="1"/>
  <c r="AJ3" i="5" s="1"/>
  <c r="V3" i="5" a="1"/>
  <c r="V3" i="5" s="1"/>
  <c r="AB1" i="5"/>
  <c r="AC1" i="5" s="1"/>
  <c r="AB3" i="5" s="1" a="1"/>
  <c r="AB3" i="5" s="1"/>
  <c r="Y3" i="5" a="1"/>
  <c r="Y3" i="5" s="1"/>
  <c r="X3" i="5" a="1"/>
  <c r="X3" i="5" s="1"/>
  <c r="U3" i="5" s="1"/>
  <c r="W3" i="5" a="1"/>
  <c r="W3" i="5" s="1"/>
  <c r="M6" i="5"/>
  <c r="N6" i="5" s="1"/>
  <c r="M5" i="5"/>
  <c r="N5" i="5" s="1"/>
  <c r="M4" i="5"/>
  <c r="N4" i="5" s="1"/>
  <c r="M3" i="5"/>
  <c r="N3" i="5" s="1"/>
  <c r="L6" i="5"/>
  <c r="L5" i="5"/>
  <c r="L4" i="5"/>
  <c r="L3" i="5"/>
  <c r="O2" i="4"/>
  <c r="P2" i="4" s="1"/>
  <c r="O3" i="4"/>
  <c r="P3" i="4" s="1"/>
  <c r="O4" i="4"/>
  <c r="P4" i="4" s="1"/>
  <c r="O5" i="4"/>
  <c r="P5" i="4" s="1"/>
  <c r="O6" i="4"/>
  <c r="P6" i="4" s="1"/>
  <c r="O7" i="4"/>
  <c r="P7" i="4" s="1"/>
  <c r="O8" i="4"/>
  <c r="P8" i="4" s="1"/>
  <c r="O9" i="4"/>
  <c r="P9" i="4" s="1"/>
  <c r="O10" i="4"/>
  <c r="P10" i="4" s="1"/>
  <c r="O11" i="4"/>
  <c r="P11" i="4" s="1"/>
  <c r="O12" i="4"/>
  <c r="P12" i="4" s="1"/>
  <c r="O13" i="4"/>
  <c r="P13" i="4" s="1"/>
  <c r="O14" i="4"/>
  <c r="P14" i="4" s="1"/>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80" i="4"/>
  <c r="P80" i="4" s="1"/>
  <c r="O81" i="4"/>
  <c r="P81" i="4" s="1"/>
  <c r="O82" i="4"/>
  <c r="P82" i="4" s="1"/>
  <c r="O83" i="4"/>
  <c r="P83" i="4" s="1"/>
  <c r="O84" i="4"/>
  <c r="P84" i="4" s="1"/>
  <c r="O85" i="4"/>
  <c r="P85" i="4" s="1"/>
  <c r="O86" i="4"/>
  <c r="P86" i="4" s="1"/>
  <c r="O87" i="4"/>
  <c r="P87" i="4" s="1"/>
  <c r="O88" i="4"/>
  <c r="P88" i="4" s="1"/>
  <c r="O89" i="4"/>
  <c r="P89" i="4" s="1"/>
  <c r="O90" i="4"/>
  <c r="P90" i="4" s="1"/>
  <c r="O91" i="4"/>
  <c r="P91" i="4" s="1"/>
  <c r="O92" i="4"/>
  <c r="P92" i="4" s="1"/>
  <c r="O93" i="4"/>
  <c r="P93" i="4" s="1"/>
  <c r="O94" i="4"/>
  <c r="P94" i="4" s="1"/>
  <c r="O95" i="4"/>
  <c r="P95" i="4" s="1"/>
  <c r="O96" i="4"/>
  <c r="P96" i="4" s="1"/>
  <c r="O97" i="4"/>
  <c r="P97" i="4" s="1"/>
  <c r="O98" i="4"/>
  <c r="P98" i="4" s="1"/>
  <c r="O99" i="4"/>
  <c r="P99" i="4" s="1"/>
  <c r="O100" i="4"/>
  <c r="P100" i="4" s="1"/>
  <c r="O101" i="4"/>
  <c r="P101" i="4" s="1"/>
  <c r="O102" i="4"/>
  <c r="P102" i="4" s="1"/>
  <c r="O103" i="4"/>
  <c r="P103" i="4" s="1"/>
  <c r="O104" i="4"/>
  <c r="P104" i="4" s="1"/>
  <c r="O105" i="4"/>
  <c r="P105" i="4" s="1"/>
  <c r="O106" i="4"/>
  <c r="P106" i="4" s="1"/>
  <c r="O107" i="4"/>
  <c r="P107" i="4" s="1"/>
  <c r="O108" i="4"/>
  <c r="P108" i="4" s="1"/>
  <c r="O109" i="4"/>
  <c r="P109" i="4" s="1"/>
  <c r="O110" i="4"/>
  <c r="P110" i="4" s="1"/>
  <c r="O111" i="4"/>
  <c r="P111" i="4" s="1"/>
  <c r="O112" i="4"/>
  <c r="P112" i="4" s="1"/>
  <c r="O113" i="4"/>
  <c r="P113" i="4" s="1"/>
  <c r="O114" i="4"/>
  <c r="P114" i="4" s="1"/>
  <c r="O115" i="4"/>
  <c r="P115" i="4" s="1"/>
  <c r="O116" i="4"/>
  <c r="P116" i="4" s="1"/>
  <c r="O117" i="4"/>
  <c r="P117" i="4" s="1"/>
  <c r="O118" i="4"/>
  <c r="P118" i="4" s="1"/>
  <c r="O119" i="4"/>
  <c r="P119" i="4" s="1"/>
  <c r="O120" i="4"/>
  <c r="P120" i="4" s="1"/>
  <c r="O121" i="4"/>
  <c r="P121" i="4" s="1"/>
  <c r="O122" i="4"/>
  <c r="P122" i="4" s="1"/>
  <c r="O123" i="4"/>
  <c r="P123" i="4" s="1"/>
  <c r="O124" i="4"/>
  <c r="P124" i="4" s="1"/>
  <c r="O125" i="4"/>
  <c r="P125" i="4" s="1"/>
  <c r="O126" i="4"/>
  <c r="P126" i="4" s="1"/>
  <c r="O127" i="4"/>
  <c r="P127" i="4" s="1"/>
  <c r="O128" i="4"/>
  <c r="P128" i="4" s="1"/>
  <c r="O129" i="4"/>
  <c r="P129" i="4" s="1"/>
  <c r="O130" i="4"/>
  <c r="P130" i="4" s="1"/>
  <c r="O131" i="4"/>
  <c r="P131" i="4" s="1"/>
  <c r="O132" i="4"/>
  <c r="P132" i="4" s="1"/>
  <c r="O133" i="4"/>
  <c r="P133" i="4" s="1"/>
  <c r="O134" i="4"/>
  <c r="P134" i="4" s="1"/>
  <c r="O135" i="4"/>
  <c r="P135" i="4" s="1"/>
  <c r="O136" i="4"/>
  <c r="P136" i="4" s="1"/>
  <c r="O137" i="4"/>
  <c r="P137" i="4" s="1"/>
  <c r="O138" i="4"/>
  <c r="P138" i="4" s="1"/>
  <c r="O139" i="4"/>
  <c r="P139" i="4" s="1"/>
  <c r="O140" i="4"/>
  <c r="P140" i="4" s="1"/>
  <c r="O141" i="4"/>
  <c r="P141" i="4" s="1"/>
  <c r="O142" i="4"/>
  <c r="P142" i="4" s="1"/>
  <c r="O143" i="4"/>
  <c r="P143" i="4" s="1"/>
  <c r="O144" i="4"/>
  <c r="P144" i="4" s="1"/>
  <c r="O145" i="4"/>
  <c r="P145" i="4" s="1"/>
  <c r="O146" i="4"/>
  <c r="P146" i="4" s="1"/>
  <c r="O147" i="4"/>
  <c r="P147" i="4" s="1"/>
  <c r="O148" i="4"/>
  <c r="P148" i="4" s="1"/>
  <c r="O149" i="4"/>
  <c r="P149" i="4" s="1"/>
  <c r="O150" i="4"/>
  <c r="P150" i="4" s="1"/>
  <c r="O151" i="4"/>
  <c r="P151" i="4" s="1"/>
  <c r="O152" i="4"/>
  <c r="P152" i="4" s="1"/>
  <c r="O153" i="4"/>
  <c r="P153" i="4" s="1"/>
  <c r="O154" i="4"/>
  <c r="P154" i="4" s="1"/>
  <c r="O155" i="4"/>
  <c r="P155" i="4" s="1"/>
  <c r="O156" i="4"/>
  <c r="P156" i="4" s="1"/>
  <c r="O157" i="4"/>
  <c r="P157" i="4" s="1"/>
  <c r="O158" i="4"/>
  <c r="P158" i="4" s="1"/>
  <c r="O159" i="4"/>
  <c r="P159" i="4" s="1"/>
  <c r="O160" i="4"/>
  <c r="P160" i="4" s="1"/>
  <c r="O161" i="4"/>
  <c r="P161" i="4" s="1"/>
  <c r="O162" i="4"/>
  <c r="P162" i="4" s="1"/>
  <c r="O163" i="4"/>
  <c r="P163" i="4" s="1"/>
  <c r="O164" i="4"/>
  <c r="P164" i="4" s="1"/>
  <c r="O165" i="4"/>
  <c r="P165" i="4" s="1"/>
  <c r="O166" i="4"/>
  <c r="P166" i="4" s="1"/>
  <c r="O167" i="4"/>
  <c r="P167" i="4" s="1"/>
  <c r="O168" i="4"/>
  <c r="P168" i="4" s="1"/>
  <c r="O169" i="4"/>
  <c r="P169" i="4" s="1"/>
  <c r="O170" i="4"/>
  <c r="P170" i="4" s="1"/>
  <c r="O171" i="4"/>
  <c r="P171" i="4" s="1"/>
  <c r="O172" i="4"/>
  <c r="P172" i="4" s="1"/>
  <c r="O173" i="4"/>
  <c r="P173" i="4" s="1"/>
  <c r="O174" i="4"/>
  <c r="P174" i="4" s="1"/>
  <c r="O175" i="4"/>
  <c r="P175" i="4" s="1"/>
  <c r="O176" i="4"/>
  <c r="P176" i="4" s="1"/>
  <c r="O177" i="4"/>
  <c r="P177" i="4" s="1"/>
  <c r="O178" i="4"/>
  <c r="P178" i="4" s="1"/>
  <c r="O179" i="4"/>
  <c r="P179" i="4" s="1"/>
  <c r="O180" i="4"/>
  <c r="P180" i="4" s="1"/>
  <c r="O181" i="4"/>
  <c r="P181" i="4" s="1"/>
  <c r="O182" i="4"/>
  <c r="P182" i="4" s="1"/>
  <c r="O183" i="4"/>
  <c r="P183" i="4" s="1"/>
  <c r="O184" i="4"/>
  <c r="P184" i="4" s="1"/>
  <c r="O185" i="4"/>
  <c r="P185" i="4" s="1"/>
  <c r="O186" i="4"/>
  <c r="P186" i="4" s="1"/>
  <c r="O187" i="4"/>
  <c r="P187" i="4" s="1"/>
  <c r="O188" i="4"/>
  <c r="P188" i="4" s="1"/>
  <c r="O189" i="4"/>
  <c r="P189" i="4" s="1"/>
  <c r="O190" i="4"/>
  <c r="P190" i="4" s="1"/>
  <c r="O191" i="4"/>
  <c r="P191" i="4" s="1"/>
  <c r="O192" i="4"/>
  <c r="P192" i="4" s="1"/>
  <c r="O193" i="4"/>
  <c r="P193" i="4" s="1"/>
  <c r="O194" i="4"/>
  <c r="P194" i="4" s="1"/>
  <c r="O195" i="4"/>
  <c r="P195" i="4" s="1"/>
  <c r="O196" i="4"/>
  <c r="P196" i="4" s="1"/>
  <c r="O197" i="4"/>
  <c r="P197" i="4" s="1"/>
  <c r="O198" i="4"/>
  <c r="P198" i="4" s="1"/>
  <c r="O199" i="4"/>
  <c r="P199" i="4" s="1"/>
  <c r="O200" i="4"/>
  <c r="P200" i="4" s="1"/>
  <c r="O201" i="4"/>
  <c r="P201" i="4" s="1"/>
  <c r="O202" i="4"/>
  <c r="P202" i="4" s="1"/>
  <c r="O203" i="4"/>
  <c r="P203" i="4" s="1"/>
  <c r="O204" i="4"/>
  <c r="P204" i="4" s="1"/>
  <c r="O205" i="4"/>
  <c r="P205" i="4" s="1"/>
  <c r="O206" i="4"/>
  <c r="P206" i="4" s="1"/>
  <c r="O207" i="4"/>
  <c r="P207" i="4" s="1"/>
  <c r="O208" i="4"/>
  <c r="P208" i="4" s="1"/>
  <c r="O209" i="4"/>
  <c r="P209" i="4" s="1"/>
  <c r="O210" i="4"/>
  <c r="P210" i="4" s="1"/>
  <c r="O211" i="4"/>
  <c r="P211" i="4" s="1"/>
  <c r="O212" i="4"/>
  <c r="P212" i="4" s="1"/>
  <c r="O213" i="4"/>
  <c r="P213" i="4" s="1"/>
  <c r="O214" i="4"/>
  <c r="P214" i="4" s="1"/>
  <c r="O215" i="4"/>
  <c r="P215" i="4" s="1"/>
  <c r="O216" i="4"/>
  <c r="P216" i="4" s="1"/>
  <c r="O217" i="4"/>
  <c r="P217" i="4" s="1"/>
  <c r="O218" i="4"/>
  <c r="P218" i="4" s="1"/>
  <c r="O219" i="4"/>
  <c r="P219" i="4" s="1"/>
  <c r="O220" i="4"/>
  <c r="P220" i="4" s="1"/>
  <c r="O221" i="4"/>
  <c r="P221" i="4" s="1"/>
  <c r="O222" i="4"/>
  <c r="P222" i="4" s="1"/>
  <c r="O223" i="4"/>
  <c r="P223" i="4" s="1"/>
  <c r="O224" i="4"/>
  <c r="P224" i="4" s="1"/>
  <c r="O225" i="4"/>
  <c r="P225" i="4" s="1"/>
  <c r="O226" i="4"/>
  <c r="P226" i="4" s="1"/>
  <c r="O227" i="4"/>
  <c r="P227" i="4" s="1"/>
  <c r="O228" i="4"/>
  <c r="P228" i="4" s="1"/>
  <c r="O229" i="4"/>
  <c r="P229" i="4" s="1"/>
  <c r="O230" i="4"/>
  <c r="P230" i="4" s="1"/>
  <c r="O231" i="4"/>
  <c r="P231" i="4" s="1"/>
  <c r="O232" i="4"/>
  <c r="P232" i="4" s="1"/>
  <c r="O233" i="4"/>
  <c r="P233" i="4" s="1"/>
  <c r="O234" i="4"/>
  <c r="P234" i="4" s="1"/>
  <c r="O235" i="4"/>
  <c r="P235" i="4" s="1"/>
  <c r="O236" i="4"/>
  <c r="P236" i="4" s="1"/>
  <c r="O237" i="4"/>
  <c r="P237" i="4" s="1"/>
  <c r="O238" i="4"/>
  <c r="P238" i="4" s="1"/>
  <c r="O239" i="4"/>
  <c r="P239" i="4" s="1"/>
  <c r="O240" i="4"/>
  <c r="P240" i="4" s="1"/>
  <c r="O241" i="4"/>
  <c r="P241" i="4" s="1"/>
  <c r="O242" i="4"/>
  <c r="P242" i="4" s="1"/>
  <c r="O243" i="4"/>
  <c r="P243" i="4" s="1"/>
  <c r="O244" i="4"/>
  <c r="P244" i="4" s="1"/>
  <c r="O245" i="4"/>
  <c r="P245" i="4" s="1"/>
  <c r="O246" i="4"/>
  <c r="P246" i="4" s="1"/>
  <c r="O247" i="4"/>
  <c r="P247" i="4" s="1"/>
  <c r="O248" i="4"/>
  <c r="P248" i="4" s="1"/>
  <c r="O249" i="4"/>
  <c r="P249" i="4" s="1"/>
  <c r="O250" i="4"/>
  <c r="P250" i="4" s="1"/>
  <c r="O251" i="4"/>
  <c r="P251" i="4" s="1"/>
  <c r="O252" i="4"/>
  <c r="P252" i="4" s="1"/>
  <c r="O253" i="4"/>
  <c r="P253" i="4" s="1"/>
  <c r="O254" i="4"/>
  <c r="P254" i="4" s="1"/>
  <c r="O255" i="4"/>
  <c r="P255" i="4" s="1"/>
  <c r="O256" i="4"/>
  <c r="P256" i="4" s="1"/>
  <c r="O257" i="4"/>
  <c r="P257" i="4" s="1"/>
  <c r="O258" i="4"/>
  <c r="P258" i="4" s="1"/>
  <c r="O259" i="4"/>
  <c r="P259" i="4" s="1"/>
  <c r="O260" i="4"/>
  <c r="P260" i="4" s="1"/>
  <c r="O261" i="4"/>
  <c r="P261" i="4" s="1"/>
  <c r="O262" i="4"/>
  <c r="P262" i="4" s="1"/>
  <c r="O263" i="4"/>
  <c r="P263" i="4" s="1"/>
  <c r="O264" i="4"/>
  <c r="P264" i="4" s="1"/>
  <c r="O265" i="4"/>
  <c r="P265" i="4" s="1"/>
  <c r="O266" i="4"/>
  <c r="P266" i="4" s="1"/>
  <c r="O267" i="4"/>
  <c r="P267" i="4" s="1"/>
  <c r="O268" i="4"/>
  <c r="P268" i="4" s="1"/>
  <c r="O269" i="4"/>
  <c r="P269" i="4" s="1"/>
  <c r="O270" i="4"/>
  <c r="P270" i="4" s="1"/>
  <c r="O271" i="4"/>
  <c r="P271" i="4" s="1"/>
  <c r="O272" i="4"/>
  <c r="P272" i="4" s="1"/>
  <c r="O273" i="4"/>
  <c r="P273" i="4" s="1"/>
  <c r="O274" i="4"/>
  <c r="P274" i="4" s="1"/>
  <c r="O275" i="4"/>
  <c r="P275" i="4" s="1"/>
  <c r="O276" i="4"/>
  <c r="P276" i="4" s="1"/>
  <c r="O277" i="4"/>
  <c r="P277" i="4" s="1"/>
  <c r="O278" i="4"/>
  <c r="P278" i="4" s="1"/>
  <c r="O279" i="4"/>
  <c r="P279" i="4" s="1"/>
  <c r="O280" i="4"/>
  <c r="P280" i="4" s="1"/>
  <c r="O281" i="4"/>
  <c r="P281" i="4" s="1"/>
  <c r="O282" i="4"/>
  <c r="P282" i="4" s="1"/>
  <c r="O283" i="4"/>
  <c r="P283" i="4" s="1"/>
  <c r="O284" i="4"/>
  <c r="P284" i="4" s="1"/>
  <c r="O285" i="4"/>
  <c r="P285" i="4" s="1"/>
  <c r="O286" i="4"/>
  <c r="P286" i="4" s="1"/>
  <c r="O287" i="4"/>
  <c r="P287" i="4" s="1"/>
  <c r="O288" i="4"/>
  <c r="P288" i="4" s="1"/>
  <c r="O289" i="4"/>
  <c r="P289" i="4" s="1"/>
  <c r="O290" i="4"/>
  <c r="P290" i="4" s="1"/>
  <c r="O291" i="4"/>
  <c r="P291" i="4" s="1"/>
  <c r="O292" i="4"/>
  <c r="P292" i="4" s="1"/>
  <c r="O293" i="4"/>
  <c r="P293" i="4" s="1"/>
  <c r="O294" i="4"/>
  <c r="P294" i="4" s="1"/>
  <c r="O295" i="4"/>
  <c r="P295" i="4" s="1"/>
  <c r="O296" i="4"/>
  <c r="P296" i="4" s="1"/>
  <c r="O297" i="4"/>
  <c r="P297" i="4" s="1"/>
  <c r="O298" i="4"/>
  <c r="P298" i="4" s="1"/>
  <c r="O299" i="4"/>
  <c r="P299" i="4" s="1"/>
  <c r="O300" i="4"/>
  <c r="P300" i="4" s="1"/>
  <c r="O301" i="4"/>
  <c r="P301" i="4" s="1"/>
  <c r="O302" i="4"/>
  <c r="P302" i="4" s="1"/>
  <c r="O303" i="4"/>
  <c r="P303" i="4" s="1"/>
  <c r="O304" i="4"/>
  <c r="P304" i="4" s="1"/>
  <c r="O305" i="4"/>
  <c r="P305" i="4" s="1"/>
  <c r="O306" i="4"/>
  <c r="P306" i="4" s="1"/>
  <c r="O307" i="4"/>
  <c r="P307" i="4" s="1"/>
  <c r="O308" i="4"/>
  <c r="P308" i="4" s="1"/>
  <c r="O309" i="4"/>
  <c r="P309" i="4" s="1"/>
  <c r="O310" i="4"/>
  <c r="P310" i="4" s="1"/>
  <c r="O311" i="4"/>
  <c r="P311" i="4" s="1"/>
  <c r="O312" i="4"/>
  <c r="P312" i="4" s="1"/>
  <c r="O313" i="4"/>
  <c r="P313" i="4" s="1"/>
  <c r="O314" i="4"/>
  <c r="P314" i="4" s="1"/>
  <c r="O315" i="4"/>
  <c r="P315" i="4" s="1"/>
  <c r="O316" i="4"/>
  <c r="P316" i="4" s="1"/>
  <c r="O317" i="4"/>
  <c r="P317" i="4" s="1"/>
  <c r="O318" i="4"/>
  <c r="P318" i="4" s="1"/>
  <c r="O319" i="4"/>
  <c r="P319" i="4" s="1"/>
  <c r="O320" i="4"/>
  <c r="P320" i="4" s="1"/>
  <c r="O321" i="4"/>
  <c r="P321" i="4" s="1"/>
  <c r="O322" i="4"/>
  <c r="P322" i="4" s="1"/>
  <c r="O323" i="4"/>
  <c r="P323" i="4" s="1"/>
  <c r="O324" i="4"/>
  <c r="P324" i="4" s="1"/>
  <c r="O325" i="4"/>
  <c r="P325" i="4" s="1"/>
  <c r="O326" i="4"/>
  <c r="P326" i="4" s="1"/>
  <c r="O327" i="4"/>
  <c r="P327" i="4" s="1"/>
  <c r="O328" i="4"/>
  <c r="P328" i="4" s="1"/>
  <c r="O329" i="4"/>
  <c r="P329" i="4" s="1"/>
  <c r="O330" i="4"/>
  <c r="P330" i="4" s="1"/>
  <c r="O331" i="4"/>
  <c r="P331" i="4" s="1"/>
  <c r="O332" i="4"/>
  <c r="P332" i="4" s="1"/>
  <c r="O333" i="4"/>
  <c r="P333" i="4" s="1"/>
  <c r="O334" i="4"/>
  <c r="P334" i="4" s="1"/>
  <c r="O335" i="4"/>
  <c r="P335" i="4" s="1"/>
  <c r="O336" i="4"/>
  <c r="P336" i="4" s="1"/>
  <c r="O337" i="4"/>
  <c r="P337" i="4" s="1"/>
  <c r="O338" i="4"/>
  <c r="P338" i="4" s="1"/>
  <c r="O339" i="4"/>
  <c r="P339" i="4" s="1"/>
  <c r="O340" i="4"/>
  <c r="P340" i="4" s="1"/>
  <c r="O341" i="4"/>
  <c r="P341" i="4" s="1"/>
  <c r="O342" i="4"/>
  <c r="P342" i="4" s="1"/>
  <c r="O343" i="4"/>
  <c r="P343" i="4" s="1"/>
  <c r="O344" i="4"/>
  <c r="P344" i="4" s="1"/>
  <c r="O345" i="4"/>
  <c r="P345" i="4" s="1"/>
  <c r="O346" i="4"/>
  <c r="P346" i="4" s="1"/>
  <c r="O347" i="4"/>
  <c r="P347" i="4" s="1"/>
  <c r="O348" i="4"/>
  <c r="P348" i="4" s="1"/>
  <c r="O349" i="4"/>
  <c r="P349" i="4" s="1"/>
  <c r="O350" i="4"/>
  <c r="P350" i="4" s="1"/>
  <c r="O351" i="4"/>
  <c r="P351" i="4" s="1"/>
  <c r="O352" i="4"/>
  <c r="P352" i="4" s="1"/>
  <c r="O353" i="4"/>
  <c r="P353" i="4" s="1"/>
  <c r="O354" i="4"/>
  <c r="P354" i="4" s="1"/>
  <c r="O355" i="4"/>
  <c r="P355" i="4" s="1"/>
  <c r="O356" i="4"/>
  <c r="P356" i="4" s="1"/>
  <c r="O357" i="4"/>
  <c r="P357" i="4" s="1"/>
  <c r="O358" i="4"/>
  <c r="P358" i="4" s="1"/>
  <c r="O359" i="4"/>
  <c r="P359" i="4" s="1"/>
  <c r="O360" i="4"/>
  <c r="P360" i="4" s="1"/>
  <c r="O361" i="4"/>
  <c r="P361" i="4" s="1"/>
  <c r="O362" i="4"/>
  <c r="P362" i="4" s="1"/>
  <c r="O363" i="4"/>
  <c r="P363" i="4" s="1"/>
  <c r="O364" i="4"/>
  <c r="P364" i="4" s="1"/>
  <c r="O365" i="4"/>
  <c r="P365" i="4" s="1"/>
  <c r="O366" i="4"/>
  <c r="P366" i="4" s="1"/>
  <c r="O367" i="4"/>
  <c r="P367" i="4" s="1"/>
  <c r="O368" i="4"/>
  <c r="P368" i="4" s="1"/>
  <c r="O369" i="4"/>
  <c r="P369" i="4" s="1"/>
  <c r="O370" i="4"/>
  <c r="P370" i="4" s="1"/>
  <c r="O371" i="4"/>
  <c r="P371" i="4" s="1"/>
  <c r="O372" i="4"/>
  <c r="P372" i="4" s="1"/>
  <c r="O373" i="4"/>
  <c r="P373" i="4" s="1"/>
  <c r="O374" i="4"/>
  <c r="P374" i="4" s="1"/>
  <c r="O375" i="4"/>
  <c r="P375" i="4" s="1"/>
  <c r="O376" i="4"/>
  <c r="P376" i="4" s="1"/>
  <c r="O377" i="4"/>
  <c r="P377" i="4" s="1"/>
  <c r="O378" i="4"/>
  <c r="P378" i="4" s="1"/>
  <c r="O379" i="4"/>
  <c r="P379" i="4" s="1"/>
  <c r="O380" i="4"/>
  <c r="P380" i="4" s="1"/>
  <c r="O381" i="4"/>
  <c r="P381" i="4" s="1"/>
  <c r="O382" i="4"/>
  <c r="P382" i="4" s="1"/>
  <c r="O383" i="4"/>
  <c r="P383" i="4" s="1"/>
  <c r="O384" i="4"/>
  <c r="P384" i="4" s="1"/>
  <c r="O385" i="4"/>
  <c r="P385" i="4" s="1"/>
  <c r="O386" i="4"/>
  <c r="P386" i="4" s="1"/>
  <c r="O387" i="4"/>
  <c r="P387" i="4" s="1"/>
  <c r="O388" i="4"/>
  <c r="P388" i="4" s="1"/>
  <c r="O389" i="4"/>
  <c r="P389" i="4" s="1"/>
  <c r="O390" i="4"/>
  <c r="P390" i="4" s="1"/>
  <c r="O391" i="4"/>
  <c r="P391" i="4" s="1"/>
  <c r="O392" i="4"/>
  <c r="P392" i="4" s="1"/>
  <c r="O393" i="4"/>
  <c r="P393" i="4" s="1"/>
  <c r="O394" i="4"/>
  <c r="P394" i="4" s="1"/>
  <c r="O395" i="4"/>
  <c r="P395" i="4" s="1"/>
  <c r="O396" i="4"/>
  <c r="P396" i="4" s="1"/>
  <c r="O397" i="4"/>
  <c r="P397" i="4" s="1"/>
  <c r="O398" i="4"/>
  <c r="P398" i="4" s="1"/>
  <c r="O399" i="4"/>
  <c r="P399" i="4" s="1"/>
  <c r="O400" i="4"/>
  <c r="P400" i="4" s="1"/>
  <c r="O401" i="4"/>
  <c r="P401" i="4" s="1"/>
  <c r="O402" i="4"/>
  <c r="P402" i="4" s="1"/>
  <c r="O403" i="4"/>
  <c r="P403" i="4" s="1"/>
  <c r="O404" i="4"/>
  <c r="P404" i="4" s="1"/>
  <c r="O405" i="4"/>
  <c r="P405" i="4" s="1"/>
  <c r="O406" i="4"/>
  <c r="P406" i="4" s="1"/>
  <c r="O407" i="4"/>
  <c r="P407" i="4" s="1"/>
  <c r="O408" i="4"/>
  <c r="P408" i="4" s="1"/>
  <c r="O409" i="4"/>
  <c r="P409" i="4" s="1"/>
  <c r="O410" i="4"/>
  <c r="P410" i="4" s="1"/>
  <c r="O411" i="4"/>
  <c r="P411" i="4" s="1"/>
  <c r="O412" i="4"/>
  <c r="P412" i="4" s="1"/>
  <c r="O413" i="4"/>
  <c r="P413" i="4" s="1"/>
  <c r="O414" i="4"/>
  <c r="P414" i="4" s="1"/>
  <c r="O415" i="4"/>
  <c r="P415" i="4" s="1"/>
  <c r="O416" i="4"/>
  <c r="P416" i="4" s="1"/>
  <c r="O417" i="4"/>
  <c r="P417" i="4" s="1"/>
  <c r="O418" i="4"/>
  <c r="P418" i="4" s="1"/>
  <c r="O419" i="4"/>
  <c r="P419" i="4" s="1"/>
  <c r="O420" i="4"/>
  <c r="P420" i="4" s="1"/>
  <c r="O421" i="4"/>
  <c r="P421" i="4" s="1"/>
  <c r="O422" i="4"/>
  <c r="P422" i="4" s="1"/>
  <c r="O423" i="4"/>
  <c r="P423" i="4" s="1"/>
  <c r="O424" i="4"/>
  <c r="P424" i="4" s="1"/>
  <c r="O425" i="4"/>
  <c r="P425" i="4" s="1"/>
  <c r="O426" i="4"/>
  <c r="P426" i="4" s="1"/>
  <c r="O427" i="4"/>
  <c r="P427" i="4" s="1"/>
  <c r="O428" i="4"/>
  <c r="P428" i="4" s="1"/>
  <c r="O429" i="4"/>
  <c r="P429" i="4" s="1"/>
  <c r="O430" i="4"/>
  <c r="P430" i="4" s="1"/>
  <c r="O431" i="4"/>
  <c r="P431" i="4" s="1"/>
  <c r="O432" i="4"/>
  <c r="P432" i="4" s="1"/>
  <c r="O433" i="4"/>
  <c r="P433" i="4" s="1"/>
  <c r="O434" i="4"/>
  <c r="P434" i="4" s="1"/>
  <c r="O435" i="4"/>
  <c r="P435" i="4" s="1"/>
  <c r="O436" i="4"/>
  <c r="P436" i="4" s="1"/>
  <c r="O437" i="4"/>
  <c r="P437" i="4" s="1"/>
  <c r="O438" i="4"/>
  <c r="P438" i="4" s="1"/>
  <c r="O439" i="4"/>
  <c r="P439" i="4" s="1"/>
  <c r="O440" i="4"/>
  <c r="P440" i="4" s="1"/>
  <c r="O441" i="4"/>
  <c r="P441" i="4" s="1"/>
  <c r="O442" i="4"/>
  <c r="P442" i="4" s="1"/>
  <c r="O443" i="4"/>
  <c r="P443" i="4" s="1"/>
  <c r="O444" i="4"/>
  <c r="P444" i="4" s="1"/>
  <c r="O445" i="4"/>
  <c r="P445" i="4" s="1"/>
  <c r="O446" i="4"/>
  <c r="P446" i="4" s="1"/>
  <c r="O447" i="4"/>
  <c r="P447" i="4" s="1"/>
  <c r="O448" i="4"/>
  <c r="P448" i="4" s="1"/>
  <c r="O449" i="4"/>
  <c r="P449" i="4" s="1"/>
  <c r="O450" i="4"/>
  <c r="P450" i="4" s="1"/>
  <c r="O451" i="4"/>
  <c r="P451" i="4" s="1"/>
  <c r="O452" i="4"/>
  <c r="P452" i="4" s="1"/>
  <c r="O453" i="4"/>
  <c r="P453" i="4" s="1"/>
  <c r="O454" i="4"/>
  <c r="P454" i="4" s="1"/>
  <c r="O455" i="4"/>
  <c r="P455" i="4" s="1"/>
  <c r="O456" i="4"/>
  <c r="P456" i="4" s="1"/>
  <c r="O457" i="4"/>
  <c r="P457" i="4" s="1"/>
  <c r="O458" i="4"/>
  <c r="P458" i="4" s="1"/>
  <c r="O459" i="4"/>
  <c r="P459" i="4" s="1"/>
  <c r="O460" i="4"/>
  <c r="P460" i="4" s="1"/>
  <c r="O461" i="4"/>
  <c r="P461" i="4" s="1"/>
  <c r="O462" i="4"/>
  <c r="P462" i="4" s="1"/>
  <c r="O463" i="4"/>
  <c r="P463" i="4" s="1"/>
  <c r="O464" i="4"/>
  <c r="P464" i="4" s="1"/>
  <c r="O465" i="4"/>
  <c r="P465" i="4" s="1"/>
  <c r="O466" i="4"/>
  <c r="P466" i="4" s="1"/>
  <c r="O467" i="4"/>
  <c r="P467" i="4" s="1"/>
  <c r="O468" i="4"/>
  <c r="P468" i="4" s="1"/>
  <c r="O469" i="4"/>
  <c r="P469" i="4" s="1"/>
  <c r="O470" i="4"/>
  <c r="P470" i="4" s="1"/>
  <c r="O471" i="4"/>
  <c r="P471" i="4" s="1"/>
  <c r="O472" i="4"/>
  <c r="P472" i="4" s="1"/>
  <c r="O473" i="4"/>
  <c r="P473" i="4" s="1"/>
  <c r="O474" i="4"/>
  <c r="P474" i="4" s="1"/>
  <c r="O475" i="4"/>
  <c r="P475" i="4" s="1"/>
  <c r="O476" i="4"/>
  <c r="P476" i="4" s="1"/>
  <c r="O477" i="4"/>
  <c r="P477" i="4" s="1"/>
  <c r="O478" i="4"/>
  <c r="P478" i="4" s="1"/>
  <c r="O479" i="4"/>
  <c r="P479" i="4" s="1"/>
  <c r="O480" i="4"/>
  <c r="P480" i="4" s="1"/>
  <c r="O481" i="4"/>
  <c r="P481" i="4" s="1"/>
  <c r="O482" i="4"/>
  <c r="P482" i="4" s="1"/>
  <c r="O483" i="4"/>
  <c r="P483" i="4" s="1"/>
  <c r="O484" i="4"/>
  <c r="P484" i="4" s="1"/>
  <c r="O485" i="4"/>
  <c r="P485" i="4" s="1"/>
  <c r="O486" i="4"/>
  <c r="P486" i="4" s="1"/>
  <c r="O487" i="4"/>
  <c r="P487" i="4" s="1"/>
  <c r="O488" i="4"/>
  <c r="P488" i="4" s="1"/>
  <c r="O489" i="4"/>
  <c r="P489" i="4" s="1"/>
  <c r="O490" i="4"/>
  <c r="P490" i="4" s="1"/>
  <c r="O491" i="4"/>
  <c r="P491" i="4" s="1"/>
  <c r="O492" i="4"/>
  <c r="P492" i="4" s="1"/>
  <c r="O493" i="4"/>
  <c r="P493" i="4" s="1"/>
  <c r="O494" i="4"/>
  <c r="P494" i="4" s="1"/>
  <c r="O495" i="4"/>
  <c r="P495" i="4" s="1"/>
  <c r="O496" i="4"/>
  <c r="P496" i="4" s="1"/>
  <c r="O497" i="4"/>
  <c r="P497" i="4" s="1"/>
  <c r="O498" i="4"/>
  <c r="P498" i="4" s="1"/>
  <c r="O499" i="4"/>
  <c r="P499" i="4" s="1"/>
  <c r="O500" i="4"/>
  <c r="P500" i="4" s="1"/>
  <c r="O501" i="4"/>
  <c r="P501" i="4" s="1"/>
  <c r="O502" i="4"/>
  <c r="P502" i="4" s="1"/>
  <c r="O503" i="4"/>
  <c r="P503" i="4" s="1"/>
  <c r="O504" i="4"/>
  <c r="P504" i="4" s="1"/>
  <c r="O505" i="4"/>
  <c r="P505" i="4" s="1"/>
  <c r="O506" i="4"/>
  <c r="P506" i="4" s="1"/>
  <c r="O507" i="4"/>
  <c r="P507" i="4" s="1"/>
  <c r="O508" i="4"/>
  <c r="P508" i="4" s="1"/>
  <c r="O509" i="4"/>
  <c r="P509" i="4" s="1"/>
  <c r="O510" i="4"/>
  <c r="P510" i="4" s="1"/>
  <c r="O511" i="4"/>
  <c r="P511" i="4" s="1"/>
  <c r="O512" i="4"/>
  <c r="P512" i="4" s="1"/>
  <c r="O513" i="4"/>
  <c r="P513" i="4" s="1"/>
  <c r="O514" i="4"/>
  <c r="P514" i="4" s="1"/>
  <c r="O515" i="4"/>
  <c r="P515" i="4" s="1"/>
  <c r="O516" i="4"/>
  <c r="P516" i="4" s="1"/>
  <c r="O517" i="4"/>
  <c r="P517" i="4" s="1"/>
  <c r="O518" i="4"/>
  <c r="P518" i="4" s="1"/>
  <c r="O519" i="4"/>
  <c r="P519" i="4" s="1"/>
  <c r="O520" i="4"/>
  <c r="P520" i="4" s="1"/>
  <c r="O521" i="4"/>
  <c r="P521" i="4" s="1"/>
  <c r="O522" i="4"/>
  <c r="P522" i="4" s="1"/>
  <c r="O523" i="4"/>
  <c r="P523" i="4" s="1"/>
  <c r="O524" i="4"/>
  <c r="P524" i="4" s="1"/>
  <c r="O525" i="4"/>
  <c r="P525" i="4" s="1"/>
  <c r="O526" i="4"/>
  <c r="P526" i="4" s="1"/>
  <c r="O527" i="4"/>
  <c r="P527" i="4" s="1"/>
  <c r="O528" i="4"/>
  <c r="P528" i="4" s="1"/>
  <c r="O529" i="4"/>
  <c r="P529" i="4" s="1"/>
  <c r="O530" i="4"/>
  <c r="P530" i="4" s="1"/>
  <c r="O531" i="4"/>
  <c r="P531" i="4" s="1"/>
  <c r="O532" i="4"/>
  <c r="P532" i="4" s="1"/>
  <c r="O533" i="4"/>
  <c r="P533" i="4" s="1"/>
  <c r="O534" i="4"/>
  <c r="P534" i="4" s="1"/>
  <c r="O535" i="4"/>
  <c r="P535" i="4" s="1"/>
  <c r="O536" i="4"/>
  <c r="P536" i="4" s="1"/>
  <c r="O537" i="4"/>
  <c r="P537" i="4" s="1"/>
  <c r="O538" i="4"/>
  <c r="P538" i="4" s="1"/>
  <c r="O539" i="4"/>
  <c r="P539" i="4" s="1"/>
  <c r="O540" i="4"/>
  <c r="P540" i="4" s="1"/>
  <c r="O541" i="4"/>
  <c r="P541" i="4" s="1"/>
  <c r="O542" i="4"/>
  <c r="P542" i="4" s="1"/>
  <c r="O543" i="4"/>
  <c r="P543" i="4" s="1"/>
  <c r="O544" i="4"/>
  <c r="P544" i="4" s="1"/>
  <c r="O545" i="4"/>
  <c r="P545" i="4" s="1"/>
  <c r="O546" i="4"/>
  <c r="P546" i="4" s="1"/>
  <c r="O547" i="4"/>
  <c r="P547" i="4" s="1"/>
  <c r="O548" i="4"/>
  <c r="P548" i="4" s="1"/>
  <c r="O549" i="4"/>
  <c r="P549" i="4" s="1"/>
  <c r="O550" i="4"/>
  <c r="P550" i="4" s="1"/>
  <c r="O551" i="4"/>
  <c r="P551" i="4" s="1"/>
  <c r="O552" i="4"/>
  <c r="P552" i="4" s="1"/>
  <c r="O553" i="4"/>
  <c r="P553" i="4" s="1"/>
  <c r="O554" i="4"/>
  <c r="P554" i="4" s="1"/>
  <c r="O555" i="4"/>
  <c r="P555" i="4" s="1"/>
  <c r="O556" i="4"/>
  <c r="P556" i="4" s="1"/>
  <c r="O557" i="4"/>
  <c r="P557" i="4" s="1"/>
  <c r="O558" i="4"/>
  <c r="P558" i="4" s="1"/>
  <c r="O559" i="4"/>
  <c r="P559" i="4" s="1"/>
  <c r="O560" i="4"/>
  <c r="P560" i="4" s="1"/>
  <c r="O561" i="4"/>
  <c r="P561" i="4" s="1"/>
  <c r="O562" i="4"/>
  <c r="P562" i="4" s="1"/>
  <c r="O563" i="4"/>
  <c r="P563" i="4" s="1"/>
  <c r="O564" i="4"/>
  <c r="P564" i="4" s="1"/>
  <c r="O565" i="4"/>
  <c r="P565" i="4" s="1"/>
  <c r="O566" i="4"/>
  <c r="P566" i="4" s="1"/>
  <c r="O567" i="4"/>
  <c r="P567" i="4" s="1"/>
  <c r="O568" i="4"/>
  <c r="P568" i="4" s="1"/>
  <c r="O569" i="4"/>
  <c r="P569" i="4" s="1"/>
  <c r="O570" i="4"/>
  <c r="P570" i="4" s="1"/>
  <c r="O571" i="4"/>
  <c r="P571" i="4" s="1"/>
  <c r="O572" i="4"/>
  <c r="P572" i="4" s="1"/>
  <c r="O573" i="4"/>
  <c r="P573" i="4" s="1"/>
  <c r="O574" i="4"/>
  <c r="P574" i="4" s="1"/>
  <c r="O575" i="4"/>
  <c r="P575" i="4" s="1"/>
  <c r="O576" i="4"/>
  <c r="P576" i="4" s="1"/>
  <c r="O577" i="4"/>
  <c r="P577" i="4" s="1"/>
  <c r="O578" i="4"/>
  <c r="P578" i="4" s="1"/>
  <c r="O579" i="4"/>
  <c r="P579" i="4" s="1"/>
  <c r="O580" i="4"/>
  <c r="P580" i="4" s="1"/>
  <c r="O581" i="4"/>
  <c r="P581" i="4" s="1"/>
  <c r="O582" i="4"/>
  <c r="P582" i="4" s="1"/>
  <c r="O583" i="4"/>
  <c r="P583" i="4" s="1"/>
  <c r="O584" i="4"/>
  <c r="P584" i="4" s="1"/>
  <c r="O585" i="4"/>
  <c r="P585" i="4" s="1"/>
  <c r="O586" i="4"/>
  <c r="P586" i="4" s="1"/>
  <c r="O587" i="4"/>
  <c r="P587" i="4" s="1"/>
  <c r="O588" i="4"/>
  <c r="P588" i="4" s="1"/>
  <c r="O589" i="4"/>
  <c r="P589" i="4" s="1"/>
  <c r="O590" i="4"/>
  <c r="P590" i="4" s="1"/>
  <c r="O591" i="4"/>
  <c r="P591" i="4" s="1"/>
  <c r="O592" i="4"/>
  <c r="P592" i="4" s="1"/>
  <c r="O593" i="4"/>
  <c r="P593" i="4" s="1"/>
  <c r="O594" i="4"/>
  <c r="P594" i="4" s="1"/>
  <c r="O595" i="4"/>
  <c r="P595" i="4" s="1"/>
  <c r="O596" i="4"/>
  <c r="P596" i="4" s="1"/>
  <c r="O597" i="4"/>
  <c r="P597" i="4" s="1"/>
  <c r="O598" i="4"/>
  <c r="P598" i="4" s="1"/>
  <c r="O599" i="4"/>
  <c r="P599" i="4" s="1"/>
  <c r="O600" i="4"/>
  <c r="P600" i="4" s="1"/>
  <c r="O601" i="4"/>
  <c r="P601" i="4" s="1"/>
  <c r="O602" i="4"/>
  <c r="P602" i="4" s="1"/>
  <c r="O603" i="4"/>
  <c r="P603" i="4" s="1"/>
  <c r="O604" i="4"/>
  <c r="P604" i="4" s="1"/>
  <c r="O605" i="4"/>
  <c r="P605" i="4" s="1"/>
  <c r="O606" i="4"/>
  <c r="P606" i="4" s="1"/>
  <c r="O607" i="4"/>
  <c r="P607" i="4" s="1"/>
  <c r="O608" i="4"/>
  <c r="P608" i="4" s="1"/>
  <c r="O609" i="4"/>
  <c r="P609" i="4" s="1"/>
  <c r="O610" i="4"/>
  <c r="P610" i="4" s="1"/>
  <c r="O611" i="4"/>
  <c r="P611" i="4" s="1"/>
  <c r="O612" i="4"/>
  <c r="P612" i="4" s="1"/>
  <c r="O613" i="4"/>
  <c r="P613" i="4" s="1"/>
  <c r="O614" i="4"/>
  <c r="P614" i="4" s="1"/>
  <c r="O615" i="4"/>
  <c r="P615" i="4" s="1"/>
  <c r="O616" i="4"/>
  <c r="P616" i="4" s="1"/>
  <c r="O617" i="4"/>
  <c r="P617" i="4" s="1"/>
  <c r="O618" i="4"/>
  <c r="P618" i="4" s="1"/>
  <c r="O619" i="4"/>
  <c r="P619" i="4" s="1"/>
  <c r="O620" i="4"/>
  <c r="P620" i="4" s="1"/>
  <c r="O621" i="4"/>
  <c r="P621" i="4" s="1"/>
  <c r="O622" i="4"/>
  <c r="P622" i="4" s="1"/>
  <c r="O623" i="4"/>
  <c r="P623" i="4" s="1"/>
  <c r="O624" i="4"/>
  <c r="P624" i="4" s="1"/>
  <c r="O625" i="4"/>
  <c r="P625" i="4" s="1"/>
  <c r="O626" i="4"/>
  <c r="P626" i="4" s="1"/>
  <c r="O627" i="4"/>
  <c r="P627" i="4" s="1"/>
  <c r="O628" i="4"/>
  <c r="P628" i="4" s="1"/>
  <c r="O629" i="4"/>
  <c r="P629" i="4" s="1"/>
  <c r="O630" i="4"/>
  <c r="P630" i="4" s="1"/>
  <c r="O631" i="4"/>
  <c r="P631" i="4" s="1"/>
  <c r="O632" i="4"/>
  <c r="P632" i="4" s="1"/>
  <c r="O633" i="4"/>
  <c r="P633" i="4" s="1"/>
  <c r="O634" i="4"/>
  <c r="P634" i="4" s="1"/>
  <c r="O635" i="4"/>
  <c r="P635" i="4" s="1"/>
  <c r="O636" i="4"/>
  <c r="P636" i="4" s="1"/>
  <c r="O637" i="4"/>
  <c r="P637" i="4" s="1"/>
  <c r="O638" i="4"/>
  <c r="P638" i="4" s="1"/>
  <c r="O639" i="4"/>
  <c r="P639" i="4" s="1"/>
  <c r="O640" i="4"/>
  <c r="P640" i="4" s="1"/>
  <c r="O641" i="4"/>
  <c r="P641" i="4" s="1"/>
  <c r="O642" i="4"/>
  <c r="P642" i="4" s="1"/>
  <c r="O643" i="4"/>
  <c r="P643" i="4" s="1"/>
  <c r="O644" i="4"/>
  <c r="P644" i="4" s="1"/>
  <c r="O645" i="4"/>
  <c r="P645" i="4" s="1"/>
  <c r="O646" i="4"/>
  <c r="P646" i="4" s="1"/>
  <c r="O647" i="4"/>
  <c r="P647" i="4" s="1"/>
  <c r="O648" i="4"/>
  <c r="P648" i="4" s="1"/>
  <c r="O649" i="4"/>
  <c r="P649" i="4" s="1"/>
  <c r="O650" i="4"/>
  <c r="P650" i="4" s="1"/>
  <c r="O651" i="4"/>
  <c r="P651" i="4" s="1"/>
  <c r="O652" i="4"/>
  <c r="P652" i="4" s="1"/>
  <c r="O653" i="4"/>
  <c r="P653" i="4" s="1"/>
  <c r="O654" i="4"/>
  <c r="P654" i="4" s="1"/>
  <c r="O655" i="4"/>
  <c r="P655" i="4" s="1"/>
  <c r="O656" i="4"/>
  <c r="P656" i="4" s="1"/>
  <c r="O657" i="4"/>
  <c r="P657" i="4" s="1"/>
  <c r="O658" i="4"/>
  <c r="P658" i="4" s="1"/>
  <c r="O659" i="4"/>
  <c r="P659" i="4" s="1"/>
  <c r="O660" i="4"/>
  <c r="P660" i="4" s="1"/>
  <c r="O661" i="4"/>
  <c r="P661" i="4" s="1"/>
  <c r="O662" i="4"/>
  <c r="P662" i="4" s="1"/>
  <c r="O663" i="4"/>
  <c r="P663" i="4" s="1"/>
  <c r="O664" i="4"/>
  <c r="P664" i="4" s="1"/>
  <c r="O665" i="4"/>
  <c r="P665" i="4" s="1"/>
  <c r="O666" i="4"/>
  <c r="P666" i="4" s="1"/>
  <c r="O667" i="4"/>
  <c r="P667" i="4" s="1"/>
  <c r="O668" i="4"/>
  <c r="P668" i="4" s="1"/>
  <c r="O669" i="4"/>
  <c r="P669" i="4" s="1"/>
  <c r="O670" i="4"/>
  <c r="P670" i="4" s="1"/>
  <c r="O671" i="4"/>
  <c r="P671" i="4" s="1"/>
  <c r="O672" i="4"/>
  <c r="P672" i="4" s="1"/>
  <c r="O673" i="4"/>
  <c r="P673" i="4" s="1"/>
  <c r="O674" i="4"/>
  <c r="P674" i="4" s="1"/>
  <c r="O675" i="4"/>
  <c r="P675" i="4" s="1"/>
  <c r="O676" i="4"/>
  <c r="P676" i="4" s="1"/>
  <c r="O677" i="4"/>
  <c r="P677" i="4" s="1"/>
  <c r="O678" i="4"/>
  <c r="P678" i="4" s="1"/>
  <c r="O679" i="4"/>
  <c r="P679" i="4" s="1"/>
  <c r="O680" i="4"/>
  <c r="P680" i="4" s="1"/>
  <c r="O681" i="4"/>
  <c r="P681" i="4" s="1"/>
  <c r="O682" i="4"/>
  <c r="P682" i="4" s="1"/>
  <c r="O683" i="4"/>
  <c r="P683" i="4" s="1"/>
  <c r="O684" i="4"/>
  <c r="P684" i="4" s="1"/>
  <c r="O685" i="4"/>
  <c r="P685" i="4" s="1"/>
  <c r="O686" i="4"/>
  <c r="P686" i="4" s="1"/>
  <c r="O687" i="4"/>
  <c r="P687" i="4" s="1"/>
  <c r="O688" i="4"/>
  <c r="P688" i="4" s="1"/>
  <c r="O689" i="4"/>
  <c r="P689" i="4" s="1"/>
  <c r="O690" i="4"/>
  <c r="P690" i="4" s="1"/>
  <c r="O691" i="4"/>
  <c r="P691" i="4" s="1"/>
  <c r="O692" i="4"/>
  <c r="P692" i="4" s="1"/>
  <c r="O693" i="4"/>
  <c r="P693" i="4" s="1"/>
  <c r="O694" i="4"/>
  <c r="P694" i="4" s="1"/>
  <c r="O695" i="4"/>
  <c r="P695" i="4" s="1"/>
  <c r="O696" i="4"/>
  <c r="P696" i="4" s="1"/>
  <c r="O697" i="4"/>
  <c r="P697" i="4" s="1"/>
  <c r="O698" i="4"/>
  <c r="P698" i="4" s="1"/>
  <c r="O699" i="4"/>
  <c r="P699" i="4" s="1"/>
  <c r="O700" i="4"/>
  <c r="P700" i="4" s="1"/>
  <c r="O701" i="4"/>
  <c r="P701" i="4" s="1"/>
  <c r="O702" i="4"/>
  <c r="P702" i="4" s="1"/>
  <c r="O703" i="4"/>
  <c r="P703" i="4" s="1"/>
  <c r="O704" i="4"/>
  <c r="P704" i="4" s="1"/>
  <c r="O705" i="4"/>
  <c r="P705" i="4" s="1"/>
  <c r="O706" i="4"/>
  <c r="P706" i="4" s="1"/>
  <c r="O707" i="4"/>
  <c r="P707" i="4" s="1"/>
  <c r="O708" i="4"/>
  <c r="P708" i="4" s="1"/>
  <c r="O709" i="4"/>
  <c r="P709" i="4" s="1"/>
  <c r="O710" i="4"/>
  <c r="P710" i="4" s="1"/>
  <c r="O711" i="4"/>
  <c r="P711" i="4" s="1"/>
  <c r="O712" i="4"/>
  <c r="P712" i="4" s="1"/>
  <c r="O713" i="4"/>
  <c r="P713" i="4" s="1"/>
  <c r="O714" i="4"/>
  <c r="P714" i="4" s="1"/>
  <c r="O715" i="4"/>
  <c r="P715" i="4" s="1"/>
  <c r="O716" i="4"/>
  <c r="P716" i="4" s="1"/>
  <c r="O717" i="4"/>
  <c r="P717" i="4" s="1"/>
  <c r="O718" i="4"/>
  <c r="P718" i="4" s="1"/>
  <c r="O719" i="4"/>
  <c r="P719" i="4" s="1"/>
  <c r="O720" i="4"/>
  <c r="P720" i="4" s="1"/>
  <c r="O721" i="4"/>
  <c r="P721" i="4" s="1"/>
  <c r="O722" i="4"/>
  <c r="P722" i="4" s="1"/>
  <c r="O723" i="4"/>
  <c r="P723" i="4" s="1"/>
  <c r="O724" i="4"/>
  <c r="P724" i="4" s="1"/>
  <c r="O725" i="4"/>
  <c r="P725" i="4" s="1"/>
  <c r="O726" i="4"/>
  <c r="P726" i="4" s="1"/>
  <c r="O727" i="4"/>
  <c r="P727" i="4" s="1"/>
  <c r="O728" i="4"/>
  <c r="P728" i="4" s="1"/>
  <c r="O729" i="4"/>
  <c r="P729" i="4" s="1"/>
  <c r="O730" i="4"/>
  <c r="P730" i="4" s="1"/>
  <c r="O731" i="4"/>
  <c r="P731" i="4" s="1"/>
  <c r="O732" i="4"/>
  <c r="P732" i="4" s="1"/>
  <c r="O733" i="4"/>
  <c r="P733" i="4" s="1"/>
  <c r="O734" i="4"/>
  <c r="P734" i="4" s="1"/>
  <c r="O735" i="4"/>
  <c r="P735" i="4" s="1"/>
  <c r="O736" i="4"/>
  <c r="P736" i="4" s="1"/>
  <c r="O737" i="4"/>
  <c r="P737" i="4" s="1"/>
  <c r="O738" i="4"/>
  <c r="P738" i="4" s="1"/>
  <c r="O739" i="4"/>
  <c r="P739" i="4" s="1"/>
  <c r="O740" i="4"/>
  <c r="P740" i="4" s="1"/>
  <c r="O741" i="4"/>
  <c r="P741" i="4" s="1"/>
  <c r="O742" i="4"/>
  <c r="P742" i="4" s="1"/>
  <c r="O743" i="4"/>
  <c r="P743" i="4" s="1"/>
  <c r="O744" i="4"/>
  <c r="P744" i="4" s="1"/>
  <c r="O745" i="4"/>
  <c r="P745" i="4" s="1"/>
  <c r="O746" i="4"/>
  <c r="P746" i="4" s="1"/>
  <c r="O747" i="4"/>
  <c r="P747" i="4" s="1"/>
  <c r="O748" i="4"/>
  <c r="P748" i="4" s="1"/>
  <c r="O749" i="4"/>
  <c r="P749" i="4" s="1"/>
  <c r="O750" i="4"/>
  <c r="P750" i="4" s="1"/>
  <c r="O751" i="4"/>
  <c r="P751" i="4" s="1"/>
  <c r="O752" i="4"/>
  <c r="P752" i="4" s="1"/>
  <c r="O753" i="4"/>
  <c r="P753" i="4" s="1"/>
  <c r="O754" i="4"/>
  <c r="P754" i="4" s="1"/>
  <c r="O755" i="4"/>
  <c r="P755" i="4" s="1"/>
  <c r="O756" i="4"/>
  <c r="P756" i="4" s="1"/>
  <c r="O757" i="4"/>
  <c r="P757" i="4" s="1"/>
  <c r="O758" i="4"/>
  <c r="P758" i="4" s="1"/>
  <c r="O759" i="4"/>
  <c r="P759" i="4" s="1"/>
  <c r="O760" i="4"/>
  <c r="P760" i="4" s="1"/>
  <c r="O761" i="4"/>
  <c r="P761" i="4" s="1"/>
  <c r="O762" i="4"/>
  <c r="P762" i="4" s="1"/>
  <c r="O763" i="4"/>
  <c r="P763" i="4" s="1"/>
  <c r="O764" i="4"/>
  <c r="P764" i="4" s="1"/>
  <c r="O765" i="4"/>
  <c r="P765" i="4" s="1"/>
  <c r="O766" i="4"/>
  <c r="P766" i="4" s="1"/>
  <c r="O767" i="4"/>
  <c r="P767" i="4" s="1"/>
  <c r="O768" i="4"/>
  <c r="P768" i="4" s="1"/>
  <c r="O769" i="4"/>
  <c r="P769" i="4" s="1"/>
  <c r="O770" i="4"/>
  <c r="P770" i="4" s="1"/>
  <c r="O771" i="4"/>
  <c r="P771" i="4" s="1"/>
  <c r="O772" i="4"/>
  <c r="P772" i="4" s="1"/>
  <c r="O773" i="4"/>
  <c r="P773" i="4" s="1"/>
  <c r="O774" i="4"/>
  <c r="P774" i="4" s="1"/>
  <c r="O775" i="4"/>
  <c r="P775" i="4" s="1"/>
  <c r="O776" i="4"/>
  <c r="P776" i="4" s="1"/>
  <c r="O777" i="4"/>
  <c r="P777" i="4" s="1"/>
  <c r="O778" i="4"/>
  <c r="P778" i="4" s="1"/>
  <c r="O779" i="4"/>
  <c r="P779" i="4" s="1"/>
  <c r="O780" i="4"/>
  <c r="P780" i="4" s="1"/>
  <c r="O781" i="4"/>
  <c r="P781" i="4" s="1"/>
  <c r="O782" i="4"/>
  <c r="P782" i="4" s="1"/>
  <c r="O783" i="4"/>
  <c r="P783" i="4" s="1"/>
  <c r="O784" i="4"/>
  <c r="P784" i="4" s="1"/>
  <c r="O785" i="4"/>
  <c r="P785" i="4" s="1"/>
  <c r="O786" i="4"/>
  <c r="P786" i="4" s="1"/>
  <c r="O787" i="4"/>
  <c r="P787" i="4" s="1"/>
  <c r="O788" i="4"/>
  <c r="P788" i="4" s="1"/>
  <c r="O789" i="4"/>
  <c r="P789" i="4" s="1"/>
  <c r="O790" i="4"/>
  <c r="P790" i="4" s="1"/>
  <c r="O791" i="4"/>
  <c r="P791" i="4" s="1"/>
  <c r="O792" i="4"/>
  <c r="P792" i="4" s="1"/>
  <c r="O793" i="4"/>
  <c r="P793" i="4" s="1"/>
  <c r="O794" i="4"/>
  <c r="P794" i="4" s="1"/>
  <c r="O795" i="4"/>
  <c r="P795" i="4" s="1"/>
  <c r="O796" i="4"/>
  <c r="P796" i="4" s="1"/>
  <c r="O797" i="4"/>
  <c r="P797" i="4" s="1"/>
  <c r="O798" i="4"/>
  <c r="P798" i="4" s="1"/>
  <c r="O799" i="4"/>
  <c r="P799" i="4" s="1"/>
  <c r="O800" i="4"/>
  <c r="P800" i="4" s="1"/>
  <c r="O801" i="4"/>
  <c r="P801" i="4" s="1"/>
  <c r="O802" i="4"/>
  <c r="P802" i="4" s="1"/>
  <c r="O803" i="4"/>
  <c r="P803" i="4" s="1"/>
  <c r="O804" i="4"/>
  <c r="P804" i="4" s="1"/>
  <c r="O805" i="4"/>
  <c r="P805" i="4" s="1"/>
  <c r="O806" i="4"/>
  <c r="P806" i="4" s="1"/>
  <c r="O807" i="4"/>
  <c r="P807" i="4" s="1"/>
  <c r="O808" i="4"/>
  <c r="P808" i="4" s="1"/>
  <c r="O809" i="4"/>
  <c r="P809" i="4" s="1"/>
  <c r="O810" i="4"/>
  <c r="P810" i="4" s="1"/>
  <c r="O811" i="4"/>
  <c r="P811" i="4" s="1"/>
  <c r="O812" i="4"/>
  <c r="P812" i="4" s="1"/>
  <c r="O813" i="4"/>
  <c r="P813" i="4" s="1"/>
  <c r="O814" i="4"/>
  <c r="P814" i="4" s="1"/>
  <c r="O815" i="4"/>
  <c r="P815" i="4" s="1"/>
  <c r="O816" i="4"/>
  <c r="P816" i="4" s="1"/>
  <c r="O817" i="4"/>
  <c r="P817" i="4" s="1"/>
  <c r="O818" i="4"/>
  <c r="P818" i="4" s="1"/>
  <c r="O819" i="4"/>
  <c r="P819" i="4" s="1"/>
  <c r="O820" i="4"/>
  <c r="P820" i="4" s="1"/>
  <c r="O821" i="4"/>
  <c r="P821" i="4" s="1"/>
  <c r="O822" i="4"/>
  <c r="P822" i="4" s="1"/>
  <c r="O823" i="4"/>
  <c r="P823" i="4" s="1"/>
  <c r="O824" i="4"/>
  <c r="P824" i="4" s="1"/>
  <c r="O825" i="4"/>
  <c r="P825" i="4" s="1"/>
  <c r="O826" i="4"/>
  <c r="P826" i="4" s="1"/>
  <c r="O827" i="4"/>
  <c r="P827" i="4" s="1"/>
  <c r="O828" i="4"/>
  <c r="P828" i="4" s="1"/>
  <c r="O829" i="4"/>
  <c r="P829" i="4" s="1"/>
  <c r="O830" i="4"/>
  <c r="P830" i="4" s="1"/>
  <c r="O831" i="4"/>
  <c r="P831" i="4" s="1"/>
  <c r="O832" i="4"/>
  <c r="P832" i="4" s="1"/>
  <c r="O833" i="4"/>
  <c r="P833" i="4" s="1"/>
  <c r="O834" i="4"/>
  <c r="P834" i="4" s="1"/>
  <c r="O835" i="4"/>
  <c r="P835" i="4" s="1"/>
  <c r="O836" i="4"/>
  <c r="P836" i="4" s="1"/>
  <c r="O837" i="4"/>
  <c r="P837" i="4" s="1"/>
  <c r="O838" i="4"/>
  <c r="P838" i="4" s="1"/>
  <c r="O839" i="4"/>
  <c r="P839" i="4" s="1"/>
  <c r="O840" i="4"/>
  <c r="P840" i="4" s="1"/>
  <c r="O841" i="4"/>
  <c r="P841" i="4" s="1"/>
  <c r="O842" i="4"/>
  <c r="P842" i="4" s="1"/>
  <c r="O843" i="4"/>
  <c r="P843" i="4" s="1"/>
  <c r="O844" i="4"/>
  <c r="P844" i="4" s="1"/>
  <c r="O845" i="4"/>
  <c r="P845" i="4" s="1"/>
  <c r="O846" i="4"/>
  <c r="P846" i="4" s="1"/>
  <c r="O847" i="4"/>
  <c r="P847" i="4" s="1"/>
  <c r="O848" i="4"/>
  <c r="P848" i="4" s="1"/>
  <c r="O849" i="4"/>
  <c r="P849" i="4" s="1"/>
  <c r="O850" i="4"/>
  <c r="P850" i="4" s="1"/>
  <c r="O851" i="4"/>
  <c r="P851" i="4" s="1"/>
  <c r="O852" i="4"/>
  <c r="P852" i="4" s="1"/>
  <c r="O853" i="4"/>
  <c r="P853" i="4" s="1"/>
  <c r="O854" i="4"/>
  <c r="P854" i="4" s="1"/>
  <c r="O855" i="4"/>
  <c r="P855" i="4" s="1"/>
  <c r="O856" i="4"/>
  <c r="P856" i="4" s="1"/>
  <c r="O857" i="4"/>
  <c r="P857" i="4" s="1"/>
  <c r="O858" i="4"/>
  <c r="P858" i="4" s="1"/>
  <c r="O859" i="4"/>
  <c r="P859" i="4" s="1"/>
  <c r="O860" i="4"/>
  <c r="P860" i="4" s="1"/>
  <c r="O861" i="4"/>
  <c r="P861" i="4" s="1"/>
  <c r="O862" i="4"/>
  <c r="P862" i="4" s="1"/>
  <c r="O863" i="4"/>
  <c r="P863" i="4" s="1"/>
  <c r="O864" i="4"/>
  <c r="P864" i="4" s="1"/>
  <c r="O865" i="4"/>
  <c r="P865" i="4" s="1"/>
  <c r="O866" i="4"/>
  <c r="P866" i="4" s="1"/>
  <c r="O867" i="4"/>
  <c r="P867" i="4" s="1"/>
  <c r="O868" i="4"/>
  <c r="P868" i="4" s="1"/>
  <c r="O869" i="4"/>
  <c r="P869" i="4" s="1"/>
  <c r="O870" i="4"/>
  <c r="P870" i="4" s="1"/>
  <c r="O871" i="4"/>
  <c r="P871" i="4" s="1"/>
  <c r="O872" i="4"/>
  <c r="P872" i="4" s="1"/>
  <c r="O873" i="4"/>
  <c r="P873" i="4" s="1"/>
  <c r="O874" i="4"/>
  <c r="P874" i="4" s="1"/>
  <c r="O875" i="4"/>
  <c r="P875" i="4" s="1"/>
  <c r="O876" i="4"/>
  <c r="P876" i="4" s="1"/>
  <c r="O877" i="4"/>
  <c r="P877" i="4" s="1"/>
  <c r="O878" i="4"/>
  <c r="P878" i="4" s="1"/>
  <c r="O879" i="4"/>
  <c r="P879" i="4" s="1"/>
  <c r="O880" i="4"/>
  <c r="P880" i="4" s="1"/>
  <c r="O881" i="4"/>
  <c r="P881" i="4" s="1"/>
  <c r="O882" i="4"/>
  <c r="P882" i="4" s="1"/>
  <c r="O883" i="4"/>
  <c r="P883" i="4" s="1"/>
  <c r="O884" i="4"/>
  <c r="P884" i="4" s="1"/>
  <c r="O885" i="4"/>
  <c r="P885" i="4" s="1"/>
  <c r="O886" i="4"/>
  <c r="P886" i="4" s="1"/>
  <c r="O887" i="4"/>
  <c r="P887" i="4" s="1"/>
  <c r="O888" i="4"/>
  <c r="P888" i="4" s="1"/>
  <c r="O889" i="4"/>
  <c r="P889" i="4" s="1"/>
  <c r="O890" i="4"/>
  <c r="P890" i="4" s="1"/>
  <c r="O891" i="4"/>
  <c r="P891" i="4" s="1"/>
  <c r="O892" i="4"/>
  <c r="P892" i="4" s="1"/>
  <c r="O893" i="4"/>
  <c r="P893" i="4" s="1"/>
  <c r="O894" i="4"/>
  <c r="P894" i="4" s="1"/>
  <c r="O895" i="4"/>
  <c r="P895" i="4" s="1"/>
  <c r="O896" i="4"/>
  <c r="P896" i="4" s="1"/>
  <c r="O897" i="4"/>
  <c r="P897" i="4" s="1"/>
  <c r="O898" i="4"/>
  <c r="P898" i="4" s="1"/>
  <c r="O899" i="4"/>
  <c r="P899" i="4" s="1"/>
  <c r="O900" i="4"/>
  <c r="P900" i="4" s="1"/>
  <c r="O901" i="4"/>
  <c r="P901" i="4" s="1"/>
  <c r="O902" i="4"/>
  <c r="P902" i="4" s="1"/>
  <c r="O903" i="4"/>
  <c r="P903" i="4" s="1"/>
  <c r="O904" i="4"/>
  <c r="P904" i="4" s="1"/>
  <c r="O905" i="4"/>
  <c r="P905" i="4" s="1"/>
  <c r="O906" i="4"/>
  <c r="P906" i="4" s="1"/>
  <c r="O907" i="4"/>
  <c r="P907" i="4" s="1"/>
  <c r="O908" i="4"/>
  <c r="P908" i="4" s="1"/>
  <c r="O909" i="4"/>
  <c r="P909" i="4" s="1"/>
  <c r="O910" i="4"/>
  <c r="P910" i="4" s="1"/>
  <c r="O911" i="4"/>
  <c r="P911" i="4" s="1"/>
  <c r="O912" i="4"/>
  <c r="P912" i="4" s="1"/>
  <c r="O913" i="4"/>
  <c r="P913" i="4" s="1"/>
  <c r="O914" i="4"/>
  <c r="P914" i="4" s="1"/>
  <c r="O915" i="4"/>
  <c r="P915" i="4" s="1"/>
  <c r="O916" i="4"/>
  <c r="P916" i="4" s="1"/>
  <c r="O917" i="4"/>
  <c r="P917" i="4" s="1"/>
  <c r="O918" i="4"/>
  <c r="P918" i="4" s="1"/>
  <c r="O919" i="4"/>
  <c r="P919" i="4" s="1"/>
  <c r="O920" i="4"/>
  <c r="P920" i="4" s="1"/>
  <c r="O921" i="4"/>
  <c r="P921" i="4" s="1"/>
  <c r="O922" i="4"/>
  <c r="P922" i="4" s="1"/>
  <c r="O923" i="4"/>
  <c r="P923" i="4" s="1"/>
  <c r="O924" i="4"/>
  <c r="P924" i="4" s="1"/>
  <c r="O925" i="4"/>
  <c r="P925" i="4" s="1"/>
  <c r="O926" i="4"/>
  <c r="P926" i="4" s="1"/>
  <c r="O927" i="4"/>
  <c r="P927" i="4" s="1"/>
  <c r="O928" i="4"/>
  <c r="P928" i="4" s="1"/>
  <c r="O929" i="4"/>
  <c r="P929" i="4" s="1"/>
  <c r="O930" i="4"/>
  <c r="P930" i="4" s="1"/>
  <c r="O931" i="4"/>
  <c r="P931" i="4" s="1"/>
  <c r="O932" i="4"/>
  <c r="P932" i="4" s="1"/>
  <c r="O933" i="4"/>
  <c r="P933" i="4" s="1"/>
  <c r="O934" i="4"/>
  <c r="P934" i="4" s="1"/>
  <c r="O935" i="4"/>
  <c r="P935" i="4" s="1"/>
  <c r="O936" i="4"/>
  <c r="P936" i="4" s="1"/>
  <c r="O937" i="4"/>
  <c r="P937" i="4" s="1"/>
  <c r="O938" i="4"/>
  <c r="P938" i="4" s="1"/>
  <c r="O939" i="4"/>
  <c r="P939" i="4" s="1"/>
  <c r="O940" i="4"/>
  <c r="P940" i="4" s="1"/>
  <c r="O941" i="4"/>
  <c r="P941" i="4" s="1"/>
  <c r="O942" i="4"/>
  <c r="P942" i="4" s="1"/>
  <c r="O943" i="4"/>
  <c r="P943" i="4" s="1"/>
  <c r="O944" i="4"/>
  <c r="P944" i="4" s="1"/>
  <c r="O945" i="4"/>
  <c r="P945" i="4" s="1"/>
  <c r="O946" i="4"/>
  <c r="P946" i="4" s="1"/>
  <c r="O947" i="4"/>
  <c r="P947" i="4" s="1"/>
  <c r="O948" i="4"/>
  <c r="P948" i="4" s="1"/>
  <c r="O949" i="4"/>
  <c r="P949" i="4" s="1"/>
  <c r="O950" i="4"/>
  <c r="P950" i="4" s="1"/>
  <c r="O951" i="4"/>
  <c r="P951" i="4" s="1"/>
  <c r="O952" i="4"/>
  <c r="P952" i="4" s="1"/>
  <c r="O953" i="4"/>
  <c r="P953" i="4" s="1"/>
  <c r="O954" i="4"/>
  <c r="P954" i="4" s="1"/>
  <c r="O955" i="4"/>
  <c r="P955" i="4" s="1"/>
  <c r="O956" i="4"/>
  <c r="P956" i="4" s="1"/>
  <c r="O957" i="4"/>
  <c r="P957" i="4" s="1"/>
  <c r="O958" i="4"/>
  <c r="P958" i="4" s="1"/>
  <c r="O959" i="4"/>
  <c r="P959" i="4" s="1"/>
  <c r="O960" i="4"/>
  <c r="P960" i="4" s="1"/>
  <c r="O961" i="4"/>
  <c r="P961" i="4" s="1"/>
  <c r="O962" i="4"/>
  <c r="P962" i="4" s="1"/>
  <c r="O963" i="4"/>
  <c r="P963" i="4" s="1"/>
  <c r="O964" i="4"/>
  <c r="P964" i="4" s="1"/>
  <c r="O965" i="4"/>
  <c r="P965" i="4" s="1"/>
  <c r="O966" i="4"/>
  <c r="P966" i="4" s="1"/>
  <c r="O967" i="4"/>
  <c r="P967" i="4" s="1"/>
  <c r="O968" i="4"/>
  <c r="P968" i="4" s="1"/>
  <c r="O969" i="4"/>
  <c r="P969" i="4" s="1"/>
  <c r="O970" i="4"/>
  <c r="P970" i="4" s="1"/>
  <c r="O971" i="4"/>
  <c r="P971" i="4" s="1"/>
  <c r="O972" i="4"/>
  <c r="P972" i="4" s="1"/>
  <c r="O973" i="4"/>
  <c r="P973" i="4" s="1"/>
  <c r="O974" i="4"/>
  <c r="P974" i="4" s="1"/>
  <c r="O975" i="4"/>
  <c r="P975" i="4" s="1"/>
  <c r="O976" i="4"/>
  <c r="P976" i="4" s="1"/>
  <c r="O977" i="4"/>
  <c r="P977" i="4" s="1"/>
  <c r="O978" i="4"/>
  <c r="P978" i="4" s="1"/>
  <c r="O979" i="4"/>
  <c r="P979" i="4" s="1"/>
  <c r="O980" i="4"/>
  <c r="P980" i="4" s="1"/>
  <c r="O981" i="4"/>
  <c r="P981" i="4" s="1"/>
  <c r="O982" i="4"/>
  <c r="P982" i="4" s="1"/>
  <c r="O983" i="4"/>
  <c r="P983" i="4" s="1"/>
  <c r="O984" i="4"/>
  <c r="P984" i="4" s="1"/>
  <c r="O985" i="4"/>
  <c r="P985" i="4" s="1"/>
  <c r="O986" i="4"/>
  <c r="P986" i="4" s="1"/>
  <c r="O987" i="4"/>
  <c r="P987" i="4" s="1"/>
  <c r="O988" i="4"/>
  <c r="P988" i="4" s="1"/>
  <c r="O989" i="4"/>
  <c r="P989" i="4" s="1"/>
  <c r="O990" i="4"/>
  <c r="P990" i="4" s="1"/>
  <c r="O991" i="4"/>
  <c r="P991" i="4" s="1"/>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Z20" i="3"/>
  <c r="Z19" i="3"/>
  <c r="Z18" i="3"/>
  <c r="Z17" i="3"/>
  <c r="Z16" i="3"/>
  <c r="Z15" i="3"/>
  <c r="Z14" i="3"/>
  <c r="Z13" i="3"/>
  <c r="Z12" i="3"/>
  <c r="Z11" i="3"/>
  <c r="Z10" i="3"/>
  <c r="Z9" i="3"/>
  <c r="Z8" i="3"/>
  <c r="Z7" i="3"/>
  <c r="Z6" i="3"/>
  <c r="Z5" i="3"/>
  <c r="Z4"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4" i="3"/>
  <c r="V13" i="3"/>
  <c r="V12" i="3"/>
  <c r="V11" i="3"/>
  <c r="V8" i="3"/>
  <c r="V7" i="3"/>
  <c r="V6" i="3"/>
  <c r="V5" i="3"/>
  <c r="V4" i="3"/>
  <c r="J14" i="3"/>
  <c r="J13" i="3"/>
  <c r="J12" i="3"/>
  <c r="J11" i="3"/>
  <c r="E5" i="5"/>
  <c r="E6" i="5"/>
  <c r="AA3" i="5" l="1" a="1"/>
  <c r="AA3" i="5" s="1"/>
  <c r="AI8" i="5"/>
  <c r="AI14" i="5"/>
  <c r="AI9" i="5"/>
  <c r="AI15" i="5"/>
  <c r="AI4" i="5"/>
  <c r="AI10" i="5"/>
  <c r="AI16" i="5"/>
  <c r="AI5" i="5"/>
  <c r="AI11" i="5"/>
  <c r="AI17" i="5"/>
  <c r="AI6" i="5"/>
  <c r="AI12" i="5"/>
  <c r="AI18" i="5"/>
  <c r="AI7" i="5"/>
  <c r="AI13" i="5"/>
  <c r="AI19" i="5"/>
  <c r="U17" i="5"/>
  <c r="U23" i="5"/>
  <c r="U29" i="5"/>
  <c r="U35" i="5"/>
  <c r="U5" i="5"/>
  <c r="U41" i="5"/>
  <c r="U11" i="5"/>
  <c r="U47" i="5"/>
  <c r="U6" i="5"/>
  <c r="U12" i="5"/>
  <c r="U18" i="5"/>
  <c r="U24" i="5"/>
  <c r="U30" i="5"/>
  <c r="U36" i="5"/>
  <c r="U42" i="5"/>
  <c r="U48" i="5"/>
  <c r="U7" i="5"/>
  <c r="U13" i="5"/>
  <c r="U19" i="5"/>
  <c r="U25" i="5"/>
  <c r="U31" i="5"/>
  <c r="U37" i="5"/>
  <c r="U43" i="5"/>
  <c r="U49" i="5"/>
  <c r="U8" i="5"/>
  <c r="U14" i="5"/>
  <c r="U20" i="5"/>
  <c r="U26" i="5"/>
  <c r="U32" i="5"/>
  <c r="U38" i="5"/>
  <c r="U44" i="5"/>
  <c r="U50" i="5"/>
  <c r="U9" i="5"/>
  <c r="U15" i="5"/>
  <c r="U21" i="5"/>
  <c r="U27" i="5"/>
  <c r="U33" i="5"/>
  <c r="U39" i="5"/>
  <c r="U45" i="5"/>
  <c r="U51" i="5"/>
  <c r="U4" i="5"/>
  <c r="U10" i="5"/>
  <c r="U16" i="5"/>
  <c r="U22" i="5"/>
  <c r="U28" i="5"/>
  <c r="U34" i="5"/>
  <c r="U40" i="5"/>
  <c r="U46" i="5"/>
  <c r="U52" i="5"/>
  <c r="W8" i="3"/>
  <c r="W14" i="3"/>
  <c r="W24" i="3"/>
  <c r="W11" i="3"/>
  <c r="W36" i="3"/>
  <c r="W19" i="3"/>
  <c r="W31" i="3"/>
  <c r="W43" i="3"/>
  <c r="W4" i="3"/>
  <c r="W20" i="3"/>
  <c r="W32" i="3"/>
  <c r="W44" i="3"/>
  <c r="AA13" i="3"/>
  <c r="AA19" i="3"/>
  <c r="W30" i="3"/>
  <c r="W25" i="3"/>
  <c r="W37" i="3"/>
  <c r="W12" i="3"/>
  <c r="W26" i="3"/>
  <c r="W38" i="3"/>
  <c r="AA7" i="3"/>
  <c r="W13" i="3"/>
  <c r="W21" i="3"/>
  <c r="W27" i="3"/>
  <c r="W33" i="3"/>
  <c r="W39" i="3"/>
  <c r="W45" i="3"/>
  <c r="AA8" i="3"/>
  <c r="AA14" i="3"/>
  <c r="AA20" i="3"/>
  <c r="W42" i="3"/>
  <c r="W34" i="3"/>
  <c r="W18" i="3"/>
  <c r="W22" i="3"/>
  <c r="W28" i="3"/>
  <c r="W40" i="3"/>
  <c r="W46" i="3"/>
  <c r="W7" i="3"/>
  <c r="W17" i="3"/>
  <c r="W23" i="3"/>
  <c r="W29" i="3"/>
  <c r="W35" i="3"/>
  <c r="W41" i="3"/>
  <c r="AA4" i="3"/>
  <c r="AA10" i="3"/>
  <c r="AA16" i="3"/>
  <c r="AA11" i="3"/>
  <c r="AA17" i="3"/>
  <c r="AA12" i="3"/>
  <c r="W6" i="3"/>
  <c r="AA6" i="3"/>
  <c r="AA18" i="3"/>
  <c r="AA9" i="3"/>
  <c r="W5" i="3"/>
  <c r="AA5" i="3"/>
  <c r="AA15" i="3"/>
  <c r="E7" i="5"/>
  <c r="AK1" i="5" l="1"/>
  <c r="AJ1" i="5"/>
  <c r="V1" i="5"/>
  <c r="Y1" i="5"/>
  <c r="X1" i="5"/>
  <c r="W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<sst xmlns="http://schemas.openxmlformats.org/spreadsheetml/2006/main" count="3807" uniqueCount="226">
  <si>
    <t>EntrNo</t>
  </si>
  <si>
    <t>EntrName</t>
  </si>
  <si>
    <t>EntrDetails</t>
  </si>
  <si>
    <t>Manufacturing Date</t>
  </si>
  <si>
    <t>Acquisiton</t>
  </si>
  <si>
    <t>UnitPrice</t>
  </si>
  <si>
    <t>Honda CBR500R</t>
  </si>
  <si>
    <t>Sport / Parallel-twin, liquid-cooled, 471cc, 6-speed</t>
  </si>
  <si>
    <t>Yamaha MT-15</t>
  </si>
  <si>
    <t>Naked bike / Single cylinder, liquid-cooled, 155cc, 6-speed</t>
  </si>
  <si>
    <t>Kawasaki Ninja 400</t>
  </si>
  <si>
    <t>Sport / Parallel-twin, liquid-cooled, 399cc, 6-speed</t>
  </si>
  <si>
    <t>Suzuki Raider R150 Fi</t>
  </si>
  <si>
    <t>Underbone / Single cylinder, liquid-cooled, 150cc, 6-speed</t>
  </si>
  <si>
    <t>Royal Enfield Classic 350</t>
  </si>
  <si>
    <t>Classic / Single cylinder, air-cooled, 349cc, 5-speed</t>
  </si>
  <si>
    <t>CFMoto 300NK</t>
  </si>
  <si>
    <t>Naked bike / Single cylinder, liquid-cooled, 292cc, 6-speed</t>
  </si>
  <si>
    <t>Bristol Veloce 500</t>
  </si>
  <si>
    <t>Cafe racer / Twin cylinder, air-cooled, 471cc, 6-speed</t>
  </si>
  <si>
    <t>KTM Duke 200</t>
  </si>
  <si>
    <t>Naked bike / Single cylinder, liquid-cooled, 199cc, 6-speed</t>
  </si>
  <si>
    <t>Yamaha XSR155</t>
  </si>
  <si>
    <t>Retro / Single cylinder, liquid-cooled, 155cc, 6-speed</t>
  </si>
  <si>
    <t>Bajaj Dominar 400</t>
  </si>
  <si>
    <t>Sport touring / Single cylinder, liquid-cooled, 373cc, 6-speed</t>
  </si>
  <si>
    <t>Yamaha NMAX 155</t>
  </si>
  <si>
    <t>Scooter / Single cylinder, liquid-cooled, 155cc, CVT</t>
  </si>
  <si>
    <t>Honda ADV 160</t>
  </si>
  <si>
    <t>Scooter / Single cylinder, liquid-cooled, 157cc, CVT</t>
  </si>
  <si>
    <t>Suzuki Avenis 125</t>
  </si>
  <si>
    <t>Scooter / Single cylinder, air-cooled, 124cc, CVT</t>
  </si>
  <si>
    <t>KTM RC 200</t>
  </si>
  <si>
    <t>Sport / Single cylinder, liquid-cooled, 199cc, 6-speed</t>
  </si>
  <si>
    <t>BMW G 310 GS</t>
  </si>
  <si>
    <t>Adventure / Single cylinder, liquid-cooled, 313cc, 6-speed</t>
  </si>
  <si>
    <t>TVS Apache RTR 200 4V</t>
  </si>
  <si>
    <t>Naked bike / Single cylinder, oil-cooled, 197cc, 5-speed</t>
  </si>
  <si>
    <t>Husqvarna Svartpilen 401</t>
  </si>
  <si>
    <t>Scrambler / Single cylinder, liquid-cooled, 373cc, 6-speed</t>
  </si>
  <si>
    <t>Vespa Primavera 150</t>
  </si>
  <si>
    <t>Scooter / Single cylinder, air-cooled, 150cc, CVT</t>
  </si>
  <si>
    <t>Suzuki GSX-S150</t>
  </si>
  <si>
    <t>Naked bike / Single cylinder, liquid-cooled, 147cc, 6-speed</t>
  </si>
  <si>
    <t>Kawasaki Z400</t>
  </si>
  <si>
    <t>Naked bike / Parallel-twin, liquid-cooled, 399cc, 6-speed</t>
  </si>
  <si>
    <t>Yamaha Aerox 155</t>
  </si>
  <si>
    <t>Bristol Bobber 650</t>
  </si>
  <si>
    <t>Cruiser / Parallel-twin, liquid-cooled, 649cc, 6-speed</t>
  </si>
  <si>
    <t>Keeway RKS 150 Sport</t>
  </si>
  <si>
    <t>Standard / Single cylinder, air-cooled, 149cc, 5-speed</t>
  </si>
  <si>
    <t>Motorstar Xplorer 250R</t>
  </si>
  <si>
    <t>Adventure / Single cylinder, oil-cooled, 223cc, 6-speed</t>
  </si>
  <si>
    <t>CFMoto 650MT</t>
  </si>
  <si>
    <t>Touring / Parallel-twin, liquid-cooled, 649cc, 6-speed</t>
  </si>
  <si>
    <t>Honda Click 125i</t>
  </si>
  <si>
    <t>Scooter / Single cylinder, liquid-cooled, 125cc, CVT</t>
  </si>
  <si>
    <t>Yamaha Sniper 155</t>
  </si>
  <si>
    <t>Underbone / Single cylinder, liquid-cooled, 155cc, 6-speed</t>
  </si>
  <si>
    <t>Bajaj CT125</t>
  </si>
  <si>
    <t>Commuter / Single cylinder, air-cooled, 125cc, 4-speed</t>
  </si>
  <si>
    <t>Honda CRF300L</t>
  </si>
  <si>
    <t>Dual-sport / Single cylinder, liquid-cooled, 286cc, 6-speed</t>
  </si>
  <si>
    <t>Rusi Flash 125</t>
  </si>
  <si>
    <t>SYM Jet X 150</t>
  </si>
  <si>
    <t>Scooter / Single cylinder, liquid-cooled, 149cc, CVT</t>
  </si>
  <si>
    <t>Harley-Davidson Street 750</t>
  </si>
  <si>
    <t>Cruiser / V-twin, liquid-cooled, 749cc, 6-speed</t>
  </si>
  <si>
    <t>Zontes 310X</t>
  </si>
  <si>
    <t>Adventure / Single cylinder, liquid-cooled, 312cc, 6-speed</t>
  </si>
  <si>
    <t>Aprilia SR GT 200</t>
  </si>
  <si>
    <t>Scooter / Single cylinder, liquid-cooled, 174cc, CVT</t>
  </si>
  <si>
    <t>Yamaha XMAX 300</t>
  </si>
  <si>
    <t>Scooter / Single cylinder, liquid-cooled, 292cc, CVT</t>
  </si>
  <si>
    <t>Benelli 502C</t>
  </si>
  <si>
    <t>Cruiser / Parallel-twin, liquid-cooled, 500cc, 6-speed</t>
  </si>
  <si>
    <t>Moto Morini X-Cape 650</t>
  </si>
  <si>
    <t>Adventure / Parallel-twin, liquid-cooled, 649cc, 6-speed</t>
  </si>
  <si>
    <t>Yamaha FZi 150</t>
  </si>
  <si>
    <t>Street / Single cylinder, air-cooled, 149cc, 5-speed</t>
  </si>
  <si>
    <t>Vespa GTS Super 300</t>
  </si>
  <si>
    <t>Scooter / Single cylinder, liquid-cooled, 278cc, CVT</t>
  </si>
  <si>
    <t>Kawasaki KLX 230</t>
  </si>
  <si>
    <t>Dual-sport / Single cylinder, air-cooled, 233cc, 6-speed</t>
  </si>
  <si>
    <t>BMW R nineT</t>
  </si>
  <si>
    <t>Heritage / Flat twin, air/oil-cooled, 1170cc, 6-speed</t>
  </si>
  <si>
    <t>Honda Rebel 1100</t>
  </si>
  <si>
    <t>Cruiser / Parallel-twin, liquid-cooled, 1084cc, 6-speed</t>
  </si>
  <si>
    <t>KTM 790 Duke</t>
  </si>
  <si>
    <t>Naked bike / Parallel-twin, liquid-cooled, 799cc, 6-speed</t>
  </si>
  <si>
    <t>CFMoto 300SR</t>
  </si>
  <si>
    <t>Sport / Single cylinder, liquid-cooled, 292cc, 6-speed</t>
  </si>
  <si>
    <t>Italjet Dragster 200</t>
  </si>
  <si>
    <t>Scooter / Single cylinder, liquid-cooled, 181cc, CVT</t>
  </si>
  <si>
    <t>Yamaha Serow 250</t>
  </si>
  <si>
    <t>Dual-sport / Single cylinder, air-cooled, 249cc, 5-speed</t>
  </si>
  <si>
    <t>Suzuki Burgman Street 125</t>
  </si>
  <si>
    <t>Zontes GK350</t>
  </si>
  <si>
    <t>Cafe racer / Single cylinder, liquid-cooled, 348cc, 6-speed</t>
  </si>
  <si>
    <t>Moto Guzzi V7 Stone</t>
  </si>
  <si>
    <t>Heritage / V-twin, air-cooled, 853cc, 6-speed</t>
  </si>
  <si>
    <t>SYM Husky 150</t>
  </si>
  <si>
    <t>Underbone / Single cylinder, air-cooled, 150cc, CVT</t>
  </si>
  <si>
    <t>Product ID Number</t>
  </si>
  <si>
    <t>Product Name</t>
  </si>
  <si>
    <t>Product Type</t>
  </si>
  <si>
    <t>Unit Price (PHP)</t>
  </si>
  <si>
    <t>Engine Type</t>
  </si>
  <si>
    <t>Cooling System</t>
  </si>
  <si>
    <t>Displacement (cc)</t>
  </si>
  <si>
    <t>Transmission</t>
  </si>
  <si>
    <t>Date of Acquisition</t>
  </si>
  <si>
    <t>Sport</t>
  </si>
  <si>
    <t>Parallel-twin</t>
  </si>
  <si>
    <t>liquid-cooled</t>
  </si>
  <si>
    <t>471cc</t>
  </si>
  <si>
    <t>6-speed</t>
  </si>
  <si>
    <t>Naked bike</t>
  </si>
  <si>
    <t>Single cylinder</t>
  </si>
  <si>
    <t>155cc</t>
  </si>
  <si>
    <t>399cc</t>
  </si>
  <si>
    <t>Underbone</t>
  </si>
  <si>
    <t>150cc</t>
  </si>
  <si>
    <t>Classic</t>
  </si>
  <si>
    <t>air-cooled</t>
  </si>
  <si>
    <t>349cc</t>
  </si>
  <si>
    <t>5-speed</t>
  </si>
  <si>
    <t>292cc</t>
  </si>
  <si>
    <t>Cafe racer</t>
  </si>
  <si>
    <t>Twin cylinder</t>
  </si>
  <si>
    <t>199cc</t>
  </si>
  <si>
    <t>Retro</t>
  </si>
  <si>
    <t>Sport touring</t>
  </si>
  <si>
    <t>373cc</t>
  </si>
  <si>
    <t>Scooter</t>
  </si>
  <si>
    <t>CVT</t>
  </si>
  <si>
    <t>157cc</t>
  </si>
  <si>
    <t>124cc</t>
  </si>
  <si>
    <t>Adventure</t>
  </si>
  <si>
    <t>313cc</t>
  </si>
  <si>
    <t>oil-cooled</t>
  </si>
  <si>
    <t>197cc</t>
  </si>
  <si>
    <t>Scrambler</t>
  </si>
  <si>
    <t>147cc</t>
  </si>
  <si>
    <t>Cruiser</t>
  </si>
  <si>
    <t>649cc</t>
  </si>
  <si>
    <t>Standard</t>
  </si>
  <si>
    <t>149cc</t>
  </si>
  <si>
    <t>223cc</t>
  </si>
  <si>
    <t>Touring</t>
  </si>
  <si>
    <t>125cc</t>
  </si>
  <si>
    <t>Commuter</t>
  </si>
  <si>
    <t>4-speed</t>
  </si>
  <si>
    <t>Dual-sport</t>
  </si>
  <si>
    <t>286cc</t>
  </si>
  <si>
    <t>V-twin</t>
  </si>
  <si>
    <t>749cc</t>
  </si>
  <si>
    <t>312cc</t>
  </si>
  <si>
    <t>174cc</t>
  </si>
  <si>
    <t>500cc</t>
  </si>
  <si>
    <t>Street</t>
  </si>
  <si>
    <t>278cc</t>
  </si>
  <si>
    <t>233cc</t>
  </si>
  <si>
    <t>Heritage</t>
  </si>
  <si>
    <t>Flat twin</t>
  </si>
  <si>
    <t>air</t>
  </si>
  <si>
    <t>1084cc</t>
  </si>
  <si>
    <t>799cc</t>
  </si>
  <si>
    <t>181cc</t>
  </si>
  <si>
    <t>249cc</t>
  </si>
  <si>
    <t>348cc</t>
  </si>
  <si>
    <t>853cc</t>
  </si>
  <si>
    <t>Mean</t>
  </si>
  <si>
    <t>Standard Error</t>
  </si>
  <si>
    <t>Median</t>
  </si>
  <si>
    <t>Mode</t>
  </si>
  <si>
    <t>Standard Deviation</t>
  </si>
  <si>
    <t>Sample Variance</t>
  </si>
  <si>
    <t>Kurtosis</t>
  </si>
  <si>
    <t>Skewness</t>
  </si>
  <si>
    <t>Range</t>
  </si>
  <si>
    <t>Minimum</t>
  </si>
  <si>
    <t>Maximum</t>
  </si>
  <si>
    <t>Sum</t>
  </si>
  <si>
    <t>Count</t>
  </si>
  <si>
    <t>Count %</t>
  </si>
  <si>
    <t>Grand Total</t>
  </si>
  <si>
    <t>Manufactured</t>
  </si>
  <si>
    <t>Year</t>
  </si>
  <si>
    <t>Acquisition</t>
  </si>
  <si>
    <t>Average Unit Price (PHP)</t>
  </si>
  <si>
    <t>Total Unit Price (PHP)</t>
  </si>
  <si>
    <t>Acquisition %</t>
  </si>
  <si>
    <t>Product Count</t>
  </si>
  <si>
    <t>Retail</t>
  </si>
  <si>
    <t>Cash</t>
  </si>
  <si>
    <t>Wholesale</t>
  </si>
  <si>
    <t>Credit card</t>
  </si>
  <si>
    <t>Transfer</t>
  </si>
  <si>
    <t>Date</t>
  </si>
  <si>
    <t>Client_Type</t>
  </si>
  <si>
    <t>Product</t>
  </si>
  <si>
    <t>Quantity</t>
  </si>
  <si>
    <t>Total</t>
  </si>
  <si>
    <t>Payment</t>
  </si>
  <si>
    <t>Month</t>
  </si>
  <si>
    <t>Day</t>
  </si>
  <si>
    <t>Row Labels</t>
  </si>
  <si>
    <t>Sum of Total</t>
  </si>
  <si>
    <t>Sum of Quantity</t>
  </si>
  <si>
    <t>January</t>
  </si>
  <si>
    <t>June</t>
  </si>
  <si>
    <t>July</t>
  </si>
  <si>
    <t>August</t>
  </si>
  <si>
    <t>Total Sales</t>
  </si>
  <si>
    <t>Total Profit</t>
  </si>
  <si>
    <t>Profit Percentage</t>
  </si>
  <si>
    <t>Segment</t>
  </si>
  <si>
    <t>Mid-range</t>
  </si>
  <si>
    <t>Entry-level</t>
  </si>
  <si>
    <t>Premium</t>
  </si>
  <si>
    <t>Mark up Rate</t>
  </si>
  <si>
    <t>Sum of Mark up Rate</t>
  </si>
  <si>
    <t>Sales</t>
  </si>
  <si>
    <t>Profit</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</si>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</sst>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PHP]\ #,##0.00"/>
    <numFmt numFmtId="166" formatCode="[$₱]#,##0"/>
  </numFmts>
  <fonts count="15" x14ac:knownFonts="1">
    <font>
      <sz val="10"/>
      <color rgb="FF000000"/>
      <name val="Arial"/>
      <scheme val="minor"/>
    </font>
    <font>
      <sz val="11"/>
      <color theme="1"/>
      <name val="Arial"/>
      <family val="2"/>
      <scheme val="minor"/>
    </font>
    <font>
      <sz val="10"/>
      <color theme="1"/>
      <name val="Arial"/>
      <scheme val="minor"/>
    </font>
    <font>
      <b/>
      <sz val="11"/>
      <color rgb="FFFFFFFF"/>
      <name val="Nunito"/>
    </font>
    <font>
      <sz val="10"/>
      <color theme="1"/>
      <name val="Nunito"/>
    </font>
    <font>
      <sz val="10"/>
      <color rgb="FF000000"/>
      <name val="Arial"/>
      <scheme val="minor"/>
    </font>
    <font>
      <i/>
      <sz val="10"/>
      <color rgb="FF000000"/>
      <name val="Arial"/>
      <family val="2"/>
      <scheme val="minor"/>
    </font>
    <font>
      <b/>
      <sz val="10"/>
      <color rgb="FF000000"/>
      <name val="Arial"/>
      <family val="2"/>
      <scheme val="minor"/>
    </font>
    <font>
      <b/>
      <sz val="10"/>
      <color theme="1"/>
      <name val="Arial"/>
      <family val="2"/>
      <scheme val="minor"/>
    </font>
    <font>
      <b/>
      <sz val="11"/>
      <color theme="1"/>
      <name val="Arial"/>
      <family val="2"/>
      <scheme val="minor"/>
    </font>
    <font>
      <sz val="8"/>
      <name val="Arial"/>
      <scheme val="minor"/>
    </font>
    <font>
      <sz val="9"/>
      <color theme="1"/>
      <name val="Nunito Light"/>
    </font>
    <font>
      <sz val="10"/>
      <color rgb="FF000000"/>
      <name val="Arial"/>
      <family val="2"/>
      <scheme val="minor"/>
    </font>
    <font>
      <sz val="8"/>
      <color rgb="FF000000"/>
      <name val="Arial"/>
      <family val="2"/>
      <scheme val="minor"/>
    </font>
    <font>
      <sz val="8"/>
      <color theme="1"/>
      <name val="Arial"/>
      <family val="2"/>
      <scheme val="minor"/>
    </font>
  </fonts>
  <fills count="4">
    <fill>
      <patternFill patternType="none"/>
    </fill>
    <fill>
      <patternFill patternType="gray125"/>
    </fill>
    <fill>
      <patternFill patternType="solid">
        <fgColor rgb="FF1C4587"/>
        <bgColor rgb="FF1C4587"/>
      </patternFill>
    </fill>
    <fill>
      <patternFill patternType="solid">
        <fgColor theme="4" tint="0.79998168889431442"/>
        <bgColor theme="4" tint="0.79998168889431442"/>
      </patternFill>
    </fill>
  </fills>
  <borders count="17">
    <border>
      <left/>
      <right/>
      <top/>
      <bottom/>
      <diagonal/>
    </border>
    <border>
      <left style="thin">
        <color rgb="FF666666"/>
      </left>
      <right style="hair">
        <color rgb="FF000000"/>
      </right>
      <top style="thin">
        <color rgb="FF666666"/>
      </top>
      <bottom style="thin">
        <color rgb="FF666666"/>
      </bottom>
      <diagonal/>
    </border>
    <border>
      <left style="hair">
        <color rgb="FF000000"/>
      </left>
      <right style="hair">
        <color rgb="FF000000"/>
      </right>
      <top style="thin">
        <color rgb="FF666666"/>
      </top>
      <bottom style="thin">
        <color rgb="FF666666"/>
      </bottom>
      <diagonal/>
    </border>
    <border>
      <left style="hair">
        <color rgb="FF000000"/>
      </left>
      <right style="thin">
        <color rgb="FF666666"/>
      </right>
      <top style="thin">
        <color rgb="FF666666"/>
      </top>
      <bottom style="thin">
        <color rgb="FF666666"/>
      </bottom>
      <diagonal/>
    </border>
    <border>
      <left style="thin">
        <color rgb="FF666666"/>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666666"/>
      </right>
      <top/>
      <bottom style="hair">
        <color rgb="FF000000"/>
      </bottom>
      <diagonal/>
    </border>
    <border>
      <left style="thin">
        <color rgb="FF666666"/>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666666"/>
      </right>
      <top style="hair">
        <color rgb="FF000000"/>
      </top>
      <bottom style="hair">
        <color rgb="FF000000"/>
      </bottom>
      <diagonal/>
    </border>
    <border>
      <left style="thin">
        <color rgb="FF666666"/>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666666"/>
      </right>
      <top/>
      <bottom style="thin">
        <color rgb="FF000000"/>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5" fillId="0" borderId="0" applyFont="0" applyFill="0" applyBorder="0" applyAlignment="0" applyProtection="0"/>
    <xf numFmtId="0" fontId="1" fillId="0" borderId="0"/>
  </cellStyleXfs>
  <cellXfs count="56">
    <xf numFmtId="0" fontId="0" fillId="0" borderId="0" xfId="0"/>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164" fontId="3" fillId="2" borderId="2" xfId="0" applyNumberFormat="1"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right" vertical="center" wrapText="1"/>
    </xf>
    <xf numFmtId="0" fontId="4" fillId="0" borderId="4" xfId="0" applyFont="1" applyBorder="1" applyAlignment="1">
      <alignment horizontal="center"/>
    </xf>
    <xf numFmtId="0" fontId="4" fillId="0" borderId="5" xfId="0" applyFont="1" applyBorder="1" applyAlignment="1">
      <alignment horizontal="left"/>
    </xf>
    <xf numFmtId="164" fontId="4" fillId="0" borderId="5" xfId="0" applyNumberFormat="1" applyFont="1" applyBorder="1" applyAlignment="1">
      <alignment horizontal="right"/>
    </xf>
    <xf numFmtId="0" fontId="4" fillId="0" borderId="5" xfId="0" applyFont="1" applyBorder="1" applyAlignment="1">
      <alignment horizontal="right"/>
    </xf>
    <xf numFmtId="0" fontId="4" fillId="0" borderId="6" xfId="0" applyFont="1" applyBorder="1" applyAlignment="1">
      <alignment horizontal="right"/>
    </xf>
    <xf numFmtId="0" fontId="4" fillId="0" borderId="7" xfId="0" applyFont="1" applyBorder="1" applyAlignment="1">
      <alignment horizontal="center"/>
    </xf>
    <xf numFmtId="0" fontId="4" fillId="0" borderId="8" xfId="0" applyFont="1" applyBorder="1" applyAlignment="1">
      <alignment horizontal="left"/>
    </xf>
    <xf numFmtId="164" fontId="4" fillId="0" borderId="8" xfId="0" applyNumberFormat="1" applyFont="1" applyBorder="1" applyAlignment="1">
      <alignment horizontal="right"/>
    </xf>
    <xf numFmtId="0" fontId="4" fillId="0" borderId="8" xfId="0" applyFont="1" applyBorder="1" applyAlignment="1">
      <alignment horizontal="right"/>
    </xf>
    <xf numFmtId="0" fontId="4" fillId="0" borderId="9" xfId="0" applyFont="1" applyBorder="1" applyAlignment="1">
      <alignment horizontal="right"/>
    </xf>
    <xf numFmtId="0" fontId="4" fillId="0" borderId="10" xfId="0" applyFont="1" applyBorder="1" applyAlignment="1">
      <alignment horizontal="center"/>
    </xf>
    <xf numFmtId="0" fontId="4" fillId="0" borderId="11" xfId="0" applyFont="1" applyBorder="1" applyAlignment="1">
      <alignment horizontal="left"/>
    </xf>
    <xf numFmtId="164" fontId="4" fillId="0" borderId="11" xfId="0" applyNumberFormat="1" applyFont="1" applyBorder="1" applyAlignment="1">
      <alignment horizontal="right"/>
    </xf>
    <xf numFmtId="0" fontId="4" fillId="0" borderId="11" xfId="0" applyFont="1" applyBorder="1" applyAlignment="1">
      <alignment horizontal="right"/>
    </xf>
    <xf numFmtId="0" fontId="4" fillId="0" borderId="12" xfId="0" applyFont="1" applyBorder="1" applyAlignment="1">
      <alignment horizontal="right"/>
    </xf>
    <xf numFmtId="0" fontId="0" fillId="0" borderId="13" xfId="0" applyBorder="1"/>
    <xf numFmtId="0" fontId="6" fillId="0" borderId="14" xfId="0" applyFont="1" applyBorder="1" applyAlignment="1">
      <alignment horizontal="centerContinuous"/>
    </xf>
    <xf numFmtId="1" fontId="0" fillId="0" borderId="0" xfId="0" applyNumberFormat="1"/>
    <xf numFmtId="1" fontId="0" fillId="0" borderId="13" xfId="0" applyNumberFormat="1" applyBorder="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vertical="center"/>
    </xf>
    <xf numFmtId="9" fontId="0" fillId="0" borderId="0" xfId="1" applyFont="1" applyAlignment="1">
      <alignment horizontal="center"/>
    </xf>
    <xf numFmtId="0" fontId="8" fillId="3" borderId="15" xfId="0" applyFont="1" applyFill="1" applyBorder="1" applyAlignment="1">
      <alignment horizontal="center"/>
    </xf>
    <xf numFmtId="0" fontId="8" fillId="3" borderId="16" xfId="0" applyFont="1" applyFill="1" applyBorder="1" applyAlignment="1">
      <alignment horizontal="center"/>
    </xf>
    <xf numFmtId="0" fontId="7" fillId="0" borderId="0" xfId="0" applyFont="1"/>
    <xf numFmtId="0" fontId="7" fillId="0" borderId="0" xfId="0" applyFont="1" applyAlignment="1">
      <alignment horizontal="center"/>
    </xf>
    <xf numFmtId="3" fontId="0" fillId="0" borderId="0" xfId="0" applyNumberFormat="1" applyAlignment="1">
      <alignment horizontal="center"/>
    </xf>
    <xf numFmtId="0" fontId="1" fillId="0" borderId="0" xfId="2"/>
    <xf numFmtId="165" fontId="1" fillId="0" borderId="0" xfId="2" applyNumberFormat="1"/>
    <xf numFmtId="0" fontId="9" fillId="0" borderId="0" xfId="2" applyFont="1"/>
    <xf numFmtId="165" fontId="9" fillId="0" borderId="0" xfId="2" applyNumberFormat="1" applyFont="1"/>
    <xf numFmtId="14" fontId="11" fillId="0" borderId="0" xfId="2" applyNumberFormat="1" applyFont="1"/>
    <xf numFmtId="0" fontId="11" fillId="0" borderId="0" xfId="2" applyFont="1"/>
    <xf numFmtId="164" fontId="11" fillId="0" borderId="0" xfId="0" applyNumberFormat="1" applyFont="1" applyAlignment="1">
      <alignment horizontal="right"/>
    </xf>
    <xf numFmtId="164" fontId="0" fillId="0" borderId="0" xfId="0" applyNumberFormat="1"/>
    <xf numFmtId="0" fontId="12" fillId="0" borderId="0" xfId="0" applyFont="1"/>
    <xf numFmtId="0" fontId="3" fillId="2" borderId="0" xfId="0" applyFont="1" applyFill="1" applyAlignment="1">
      <alignment horizontal="right" vertical="center" wrapText="1"/>
    </xf>
    <xf numFmtId="164" fontId="12" fillId="0" borderId="0" xfId="0" applyNumberFormat="1" applyFont="1"/>
    <xf numFmtId="0" fontId="13" fillId="0" borderId="0" xfId="0" applyFont="1"/>
    <xf numFmtId="166" fontId="14" fillId="0" borderId="8" xfId="0" applyNumberFormat="1" applyFont="1" applyBorder="1" applyAlignment="1">
      <alignment horizontal="right"/>
    </xf>
    <xf numFmtId="166" fontId="4" fillId="0" borderId="8" xfId="0" applyNumberFormat="1" applyFont="1" applyBorder="1" applyAlignment="1">
      <alignment horizontal="right"/>
    </xf>
    <xf numFmtId="166" fontId="0" fillId="0" borderId="0" xfId="0" applyNumberFormat="1"/>
    <xf numFmtId="0" fontId="0" fillId="0" borderId="0" xfId="0" applyNumberFormat="1"/>
    <xf numFmtId="0" fontId="0" fillId="0" borderId="0" xfId="0" pivotButton="1" applyProtection="1">
      <protection locked="0"/>
    </xf>
  </cellXfs>
  <cellStyles count="3">
    <cellStyle name="Normal" xfId="0" builtinId="0"/>
    <cellStyle name="Normal 2" xfId="2" xr:uid="{5A49F430-1122-41EA-839C-610CD50A89F4}"/>
    <cellStyle name="Percent" xfId="1" builtinId="5"/>
  </cellStyles>
  <dxfs count="41">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font>
        <strike val="0"/>
        <outline val="0"/>
        <shadow val="0"/>
        <u val="none"/>
        <vertAlign val="baseline"/>
        <sz val="9"/>
        <color theme="1"/>
        <name val="Nunito Light"/>
        <scheme val="none"/>
      </font>
      <numFmt numFmtId="0" formatCode="General"/>
    </dxf>
    <dxf>
      <font>
        <b val="0"/>
        <i val="0"/>
        <strike val="0"/>
        <condense val="0"/>
        <extend val="0"/>
        <outline val="0"/>
        <shadow val="0"/>
        <u val="none"/>
        <vertAlign val="baseline"/>
        <sz val="9"/>
        <color theme="1"/>
        <name val="Nunito Light"/>
        <scheme val="none"/>
      </font>
      <numFmt numFmtId="16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Nunito Light"/>
        <scheme val="none"/>
      </font>
      <numFmt numFmtId="0" formatCode="General"/>
      <fill>
        <patternFill patternType="none">
          <fgColor indexed="64"/>
          <bgColor indexed="65"/>
        </patternFill>
      </fill>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dxf>
    <dxf>
      <font>
        <strike val="0"/>
        <outline val="0"/>
        <shadow val="0"/>
        <u val="none"/>
        <vertAlign val="baseline"/>
        <sz val="9"/>
        <color theme="1"/>
        <name val="Nunito Light"/>
        <scheme val="none"/>
      </font>
      <numFmt numFmtId="164" formatCode="[$₱]#,##0.00"/>
      <alignment horizontal="right" vertical="bottom" textRotation="0" wrapText="0" indent="0" justifyLastLine="0" shrinkToFit="0" readingOrder="0"/>
    </dxf>
    <dxf>
      <font>
        <strike val="0"/>
        <outline val="0"/>
        <shadow val="0"/>
        <u val="none"/>
        <vertAlign val="baseline"/>
        <sz val="9"/>
        <color theme="1"/>
        <name val="Nunito Light"/>
        <scheme val="none"/>
      </font>
    </dxf>
    <dxf>
      <font>
        <strike val="0"/>
        <outline val="0"/>
        <shadow val="0"/>
        <u val="none"/>
        <vertAlign val="baseline"/>
        <sz val="9"/>
        <color theme="1"/>
        <name val="Nunito Light"/>
        <scheme val="none"/>
      </font>
      <numFmt numFmtId="164" formatCode="[$₱]#,##0.00"/>
      <alignment horizontal="right" vertical="bottom" textRotation="0" wrapText="0" indent="0" justifyLastLine="0" shrinkToFit="0" readingOrder="0"/>
    </dxf>
    <dxf>
      <font>
        <strike val="0"/>
        <outline val="0"/>
        <shadow val="0"/>
        <u val="none"/>
        <vertAlign val="baseline"/>
        <sz val="9"/>
        <color theme="1"/>
        <name val="Nunito Light"/>
        <scheme val="none"/>
      </font>
    </dxf>
    <dxf>
      <font>
        <strike val="0"/>
        <outline val="0"/>
        <shadow val="0"/>
        <u val="none"/>
        <vertAlign val="baseline"/>
        <sz val="9"/>
        <color theme="1"/>
        <name val="Nunito Light"/>
        <scheme val="none"/>
      </font>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numFmt numFmtId="0" formatCode="General"/>
    </dxf>
    <dxf>
      <font>
        <strike val="0"/>
        <outline val="0"/>
        <shadow val="0"/>
        <u val="none"/>
        <vertAlign val="baseline"/>
        <sz val="9"/>
        <color theme="1"/>
        <name val="Nunito Light"/>
        <scheme val="none"/>
      </font>
      <numFmt numFmtId="19" formatCode="m/d/yyyy"/>
    </dxf>
    <dxf>
      <font>
        <strike val="0"/>
        <outline val="0"/>
        <shadow val="0"/>
        <u val="none"/>
        <vertAlign val="baseline"/>
        <sz val="9"/>
        <color theme="1"/>
        <name val="Nunito Light"/>
        <scheme val="none"/>
      </font>
    </dxf>
    <dxf>
      <font>
        <b/>
      </font>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[MO-IT106 - Homework_ MotorPH Products List Report_Sheets (H2101 ) Singh SK, Singh JK, Oreta MC, Sumatra DR.xlsx]Sales 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Analysis'!$B$1</c:f>
              <c:strCache>
                <c:ptCount val="1"/>
                <c:pt idx="0">
                  <c:v>Total</c:v>
                </c:pt>
              </c:strCache>
            </c:strRef>
          </c:tx>
          <c:spPr>
            <a:solidFill>
              <a:schemeClr val="accent1"/>
            </a:solidFill>
            <a:ln w="25400">
              <a:noFill/>
            </a:ln>
            <a:effectLst/>
          </c:spPr>
          <c:cat>
            <c:strRef>
              <c:f>'Sales 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'Sales Analysis'!$B$2:$B$32</c:f>
              <c:numCache>
                <c:formatCode>[$₱]#,##0.00</c:formatCode>
                <c:ptCount val="31"/>
                <c:pt idx="0">
                  <c:v>173417000</c:v>
                </c:pt>
                <c:pt idx="1">
                  <c:v>152285900</c:v>
                </c:pt>
                <c:pt idx="2">
                  <c:v>195578000</c:v>
                </c:pt>
                <c:pt idx="3">
                  <c:v>105095800</c:v>
                </c:pt>
                <c:pt idx="4">
                  <c:v>171255800</c:v>
                </c:pt>
                <c:pt idx="5">
                  <c:v>110759200</c:v>
                </c:pt>
                <c:pt idx="6">
                  <c:v>129450900</c:v>
                </c:pt>
                <c:pt idx="7">
                  <c:v>144301800</c:v>
                </c:pt>
                <c:pt idx="8">
                  <c:v>121906400</c:v>
                </c:pt>
                <c:pt idx="9">
                  <c:v>128942300</c:v>
                </c:pt>
                <c:pt idx="10">
                  <c:v>100593700</c:v>
                </c:pt>
                <c:pt idx="11">
                  <c:v>158048600</c:v>
                </c:pt>
                <c:pt idx="12">
                  <c:v>115194100</c:v>
                </c:pt>
                <c:pt idx="13">
                  <c:v>199164800</c:v>
                </c:pt>
                <c:pt idx="14">
                  <c:v>153205700</c:v>
                </c:pt>
                <c:pt idx="15">
                  <c:v>75438800</c:v>
                </c:pt>
                <c:pt idx="16">
                  <c:v>182334200</c:v>
                </c:pt>
                <c:pt idx="17">
                  <c:v>141175700</c:v>
                </c:pt>
                <c:pt idx="18">
                  <c:v>89101900</c:v>
                </c:pt>
                <c:pt idx="19">
                  <c:v>71876800</c:v>
                </c:pt>
                <c:pt idx="20">
                  <c:v>147760500</c:v>
                </c:pt>
                <c:pt idx="21">
                  <c:v>170132200</c:v>
                </c:pt>
                <c:pt idx="22">
                  <c:v>138171000</c:v>
                </c:pt>
                <c:pt idx="23">
                  <c:v>149633300</c:v>
                </c:pt>
                <c:pt idx="24">
                  <c:v>184962300</c:v>
                </c:pt>
                <c:pt idx="25">
                  <c:v>177020800</c:v>
                </c:pt>
                <c:pt idx="26">
                  <c:v>154963200</c:v>
                </c:pt>
                <c:pt idx="27">
                  <c:v>152515700</c:v>
                </c:pt>
                <c:pt idx="28">
                  <c:v>145642200</c:v>
                </c:pt>
                <c:pt idx="29">
                  <c:v>158382600</c:v>
                </c:pt>
                <c:pt idx="30">
                  <c:v>147250600</c:v>
                </c:pt>
              </c:numCache>
            </c:numRef>
          </c:val>
          <c:extLst>
            <c:ext xmlns:c16="http://schemas.microsoft.com/office/drawing/2014/chart" uri="{C3380CC4-5D6E-409C-BE32-E72D297353CC}">
              <c16:uniqueId val="{00000001-D861-4311-A84C-0A5A59D3279D}"/>
            </c:ext>
          </c:extLst>
        </c:ser>
        <c:dLbls>
          <c:showLegendKey val="0"/>
          <c:showVal val="0"/>
          <c:showCatName val="0"/>
          <c:showSerName val="0"/>
          <c:showPercent val="0"/>
          <c:showBubbleSize val="0"/>
        </c:dLbls>
        <c:axId val="1585157664"/>
        <c:axId val="1585165344"/>
      </c:areaChart>
      <c:catAx>
        <c:axId val="158515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165344"/>
        <c:crosses val="autoZero"/>
        <c:auto val="1"/>
        <c:lblAlgn val="ctr"/>
        <c:lblOffset val="100"/>
        <c:noMultiLvlLbl val="0"/>
      </c:catAx>
      <c:valAx>
        <c:axId val="1585165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157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'Sales Analysis'!$L$2</c:f>
              <c:strCache>
                <c:ptCount val="1"/>
                <c:pt idx="0">
                  <c:v>Sales</c:v>
                </c:pt>
              </c:strCache>
            </c:strRef>
          </c:tx>
          <c:spPr>
            <a:solidFill>
              <a:schemeClr val="accent1"/>
            </a:solidFill>
            <a:ln>
              <a:noFill/>
            </a:ln>
            <a:effectLst/>
          </c:spPr>
          <c:invertIfNegative val="0"/>
          <c:cat>
            <c:strRef>
              <c:f>'Sales Analysis'!$K$3:$K$6</c:f>
              <c:strCache>
                <c:ptCount val="4"/>
                <c:pt idx="0">
                  <c:v>January</c:v>
                </c:pt>
                <c:pt idx="1">
                  <c:v>June</c:v>
                </c:pt>
                <c:pt idx="2">
                  <c:v>July</c:v>
                </c:pt>
                <c:pt idx="3">
                  <c:v>August</c:v>
                </c:pt>
              </c:strCache>
            </c:strRef>
          </c:cat>
          <c:val>
            <c:numRef>
              <c:f>'Sales Analysis'!$L$3:$L$6</c:f>
              <c:numCache>
                <c:formatCode>[$₱]#,##0.00</c:formatCode>
                <c:ptCount val="4"/>
                <c:pt idx="0">
                  <c:v>11738200</c:v>
                </c:pt>
                <c:pt idx="1">
                  <c:v>1515957700</c:v>
                </c:pt>
                <c:pt idx="2">
                  <c:v>1493211800</c:v>
                </c:pt>
                <c:pt idx="3">
                  <c:v>1424654100</c:v>
                </c:pt>
              </c:numCache>
            </c:numRef>
          </c:val>
          <c:extLst>
            <c:ext xmlns:c16="http://schemas.microsoft.com/office/drawing/2014/chart" uri="{C3380CC4-5D6E-409C-BE32-E72D297353CC}">
              <c16:uniqueId val="{00000000-9E55-4DF7-9CC7-ED1EAADCB160}"/>
            </c:ext>
          </c:extLst>
        </c:ser>
        <c:ser>
          <c:idx val="1"/>
          <c:order val="1"/>
          <c:tx>
            <c:strRef>
              <c:f>'Sales Analysis'!$M$2</c:f>
              <c:strCache>
                <c:ptCount val="1"/>
                <c:pt idx="0">
                  <c:v>Profit</c:v>
                </c:pt>
              </c:strCache>
            </c:strRef>
          </c:tx>
          <c:spPr>
            <a:solidFill>
              <a:schemeClr val="accent2"/>
            </a:solidFill>
            <a:ln>
              <a:noFill/>
            </a:ln>
            <a:effectLst/>
          </c:spPr>
          <c:invertIfNegative val="0"/>
          <c:dLbls>
            <c:dLbl>
              <c:idx val="0"/>
              <c:tx>
                <c:rich>
                  <a:bodyPr/>
                  <a:lstStyle/>
                  <a:p>
                    <a:fld id="{BFD39D11-6C1A-4BA2-8506-6A8BF3F950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E55-4DF7-9CC7-ED1EAADCB160}"/>
                </c:ext>
              </c:extLst>
            </c:dLbl>
            <c:dLbl>
              <c:idx val="1"/>
              <c:tx>
                <c:rich>
                  <a:bodyPr/>
                  <a:lstStyle/>
                  <a:p>
                    <a:fld id="{3A0043BA-E383-476B-9502-56A9E15D93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E55-4DF7-9CC7-ED1EAADCB160}"/>
                </c:ext>
              </c:extLst>
            </c:dLbl>
            <c:dLbl>
              <c:idx val="2"/>
              <c:tx>
                <c:rich>
                  <a:bodyPr/>
                  <a:lstStyle/>
                  <a:p>
                    <a:fld id="{6511CA88-422C-453A-9890-5A7FD1727C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E55-4DF7-9CC7-ED1EAADCB160}"/>
                </c:ext>
              </c:extLst>
            </c:dLbl>
            <c:dLbl>
              <c:idx val="3"/>
              <c:tx>
                <c:rich>
                  <a:bodyPr/>
                  <a:lstStyle/>
                  <a:p>
                    <a:fld id="{8F83C3E2-5F3A-4610-A863-CF0EBEAF45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E55-4DF7-9CC7-ED1EAADCB1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'Sales Analysis'!$K$3:$K$6</c:f>
              <c:strCache>
                <c:ptCount val="4"/>
                <c:pt idx="0">
                  <c:v>January</c:v>
                </c:pt>
                <c:pt idx="1">
                  <c:v>June</c:v>
                </c:pt>
                <c:pt idx="2">
                  <c:v>July</c:v>
                </c:pt>
                <c:pt idx="3">
                  <c:v>August</c:v>
                </c:pt>
              </c:strCache>
            </c:strRef>
          </c:cat>
          <c:val>
            <c:numRef>
              <c:f>'Sales Analysis'!$M$3:$M$6</c:f>
              <c:numCache>
                <c:formatCode>[$₱]#,##0.00</c:formatCode>
                <c:ptCount val="4"/>
                <c:pt idx="0">
                  <c:v>2708815.3846153859</c:v>
                </c:pt>
                <c:pt idx="1">
                  <c:v>361169042.69434357</c:v>
                </c:pt>
                <c:pt idx="2">
                  <c:v>346357670.16687083</c:v>
                </c:pt>
                <c:pt idx="3">
                  <c:v>329087550.95645165</c:v>
                </c:pt>
              </c:numCache>
            </c:numRef>
          </c:val>
          <c:extLst>
            <c:ext xmlns:c15="http://schemas.microsoft.com/office/drawing/2012/chart" uri="{02D57815-91ED-43cb-92C2-25804820EDAC}">
              <c15:datalabelsRange>
                <c15:f>'Sales Analysis'!$N$3:$N$6</c15:f>
                <c15:dlblRangeCache>
                  <c:ptCount val="4"/>
                  <c:pt idx="0">
                    <c:v>30%</c:v>
                  </c:pt>
                  <c:pt idx="1">
                    <c:v>31%</c:v>
                  </c:pt>
                  <c:pt idx="2">
                    <c:v>30%</c:v>
                  </c:pt>
                  <c:pt idx="3">
                    <c:v>30%</c:v>
                  </c:pt>
                </c15:dlblRangeCache>
              </c15:datalabelsRange>
            </c:ext>
            <c:ext xmlns:c16="http://schemas.microsoft.com/office/drawing/2014/chart" uri="{C3380CC4-5D6E-409C-BE32-E72D297353CC}">
              <c16:uniqueId val="{00000005-9E55-4DF7-9CC7-ED1EAADCB160}"/>
            </c:ext>
          </c:extLst>
        </c:ser>
        <c:ser>
          <c:idx val="2"/>
          <c:order val="2"/>
          <c:tx>
            <c:strRef>
              <c:f>'Sales Analysis'!$N$2</c:f>
              <c:strCache>
                <c:ptCount val="1"/>
                <c:pt idx="0">
                  <c:v>Profit %</c:v>
                </c:pt>
              </c:strCache>
            </c:strRef>
          </c:tx>
          <c:spPr>
            <a:solidFill>
              <a:schemeClr val="accent3"/>
            </a:solidFill>
            <a:ln>
              <a:noFill/>
            </a:ln>
            <a:effectLst/>
          </c:spPr>
          <c:invertIfNegative val="0"/>
          <c:cat>
            <c:strRef>
              <c:f>'Sales Analysis'!$K$3:$K$6</c:f>
              <c:strCache>
                <c:ptCount val="4"/>
                <c:pt idx="0">
                  <c:v>January</c:v>
                </c:pt>
                <c:pt idx="1">
                  <c:v>June</c:v>
                </c:pt>
                <c:pt idx="2">
                  <c:v>July</c:v>
                </c:pt>
                <c:pt idx="3">
                  <c:v>August</c:v>
                </c:pt>
              </c:strCache>
            </c:strRef>
          </c:cat>
          <c:val>
            <c:numRef>
              <c:f>'Sales Analysis'!$N$3:$N$6</c:f>
              <c:numCache>
                <c:formatCode>0%</c:formatCode>
                <c:ptCount val="4"/>
                <c:pt idx="0">
                  <c:v>0.30000000000000021</c:v>
                </c:pt>
                <c:pt idx="1">
                  <c:v>0.31275769848399815</c:v>
                </c:pt>
                <c:pt idx="2">
                  <c:v>0.30200673403623435</c:v>
                </c:pt>
                <c:pt idx="3">
                  <c:v>0.30038116008904409</c:v>
                </c:pt>
              </c:numCache>
            </c:numRef>
          </c:val>
          <c:extLst>
            <c:ext xmlns:c16="http://schemas.microsoft.com/office/drawing/2014/chart" uri="{C3380CC4-5D6E-409C-BE32-E72D297353CC}">
              <c16:uniqueId val="{00000006-9E55-4DF7-9CC7-ED1EAADCB160}"/>
            </c:ext>
          </c:extLst>
        </c:ser>
        <c:dLbls>
          <c:showLegendKey val="0"/>
          <c:showVal val="0"/>
          <c:showCatName val="0"/>
          <c:showSerName val="0"/>
          <c:showPercent val="0"/>
          <c:showBubbleSize val="0"/>
        </c:dLbls>
        <c:gapWidth val="50"/>
        <c:overlap val="100"/>
        <c:axId val="1351920496"/>
        <c:axId val="1351904656"/>
      </c:barChart>
      <c:catAx>
        <c:axId val="13519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04656"/>
        <c:crosses val="autoZero"/>
        <c:auto val="1"/>
        <c:lblAlgn val="ctr"/>
        <c:lblOffset val="100"/>
        <c:noMultiLvlLbl val="0"/>
      </c:catAx>
      <c:valAx>
        <c:axId val="1351904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2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'Sales Analysis'!$AA$3:$AA$12</c:f>
              <c:strCache>
                <c:ptCount val="10"/>
                <c:pt idx="0">
                  <c:v>Aprilia SR GT 200</c:v>
                </c:pt>
                <c:pt idx="1">
                  <c:v>Bajaj CT125</c:v>
                </c:pt>
                <c:pt idx="2">
                  <c:v>Bajaj Dominar 400</c:v>
                </c:pt>
                <c:pt idx="3">
                  <c:v>Benelli 502C</c:v>
                </c:pt>
                <c:pt idx="4">
                  <c:v>BMW G 310 GS</c:v>
                </c:pt>
                <c:pt idx="5">
                  <c:v>BMW R nineT</c:v>
                </c:pt>
                <c:pt idx="6">
                  <c:v>Bristol Bobber 650</c:v>
                </c:pt>
                <c:pt idx="7">
                  <c:v>Bristol Veloce 500</c:v>
                </c:pt>
                <c:pt idx="8">
                  <c:v>CFMoto 300NK</c:v>
                </c:pt>
                <c:pt idx="9">
                  <c:v>CFMoto 300SR</c:v>
                </c:pt>
              </c:strCache>
            </c:strRef>
          </c:cat>
          <c:val>
            <c:numRef>
              <c:f>'Sales Analysis'!$AB$3:$AB$12</c:f>
              <c:numCache>
                <c:formatCode>[$₱]#,##0</c:formatCode>
                <c:ptCount val="10"/>
                <c:pt idx="0">
                  <c:v>67233000</c:v>
                </c:pt>
                <c:pt idx="1">
                  <c:v>34561100</c:v>
                </c:pt>
                <c:pt idx="2">
                  <c:v>83558200</c:v>
                </c:pt>
                <c:pt idx="3">
                  <c:v>134016000</c:v>
                </c:pt>
                <c:pt idx="4">
                  <c:v>136320000</c:v>
                </c:pt>
                <c:pt idx="5">
                  <c:v>225865000</c:v>
                </c:pt>
                <c:pt idx="6">
                  <c:v>228850000</c:v>
                </c:pt>
                <c:pt idx="7">
                  <c:v>75440000</c:v>
                </c:pt>
                <c:pt idx="8">
                  <c:v>70620000</c:v>
                </c:pt>
                <c:pt idx="9">
                  <c:v>81840000</c:v>
                </c:pt>
              </c:numCache>
            </c:numRef>
          </c:val>
          <c:extLst>
            <c:ext xmlns:c16="http://schemas.microsoft.com/office/drawing/2014/chart" uri="{C3380CC4-5D6E-409C-BE32-E72D297353CC}">
              <c16:uniqueId val="{00000006-04FD-4550-8976-E098FDF18BFC}"/>
            </c:ext>
          </c:extLst>
        </c:ser>
        <c:dLbls>
          <c:showLegendKey val="0"/>
          <c:showVal val="0"/>
          <c:showCatName val="0"/>
          <c:showSerName val="0"/>
          <c:showPercent val="0"/>
          <c:showBubbleSize val="0"/>
        </c:dLbls>
        <c:gapWidth val="50"/>
        <c:axId val="1351910416"/>
        <c:axId val="1351915216"/>
      </c:barChart>
      <c:catAx>
        <c:axId val="135191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15216"/>
        <c:crosses val="autoZero"/>
        <c:auto val="1"/>
        <c:lblAlgn val="ctr"/>
        <c:lblOffset val="100"/>
        <c:noMultiLvlLbl val="0"/>
      </c:catAx>
      <c:valAx>
        <c:axId val="1351915216"/>
        <c:scaling>
          <c:orientation val="minMax"/>
        </c:scaling>
        <c:delete val="1"/>
        <c:axPos val="b"/>
        <c:numFmt formatCode="[$₱]#,##0" sourceLinked="1"/>
        <c:majorTickMark val="none"/>
        <c:minorTickMark val="none"/>
        <c:tickLblPos val="nextTo"/>
        <c:crossAx val="135191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[MO-IT106 - Homework_ MotorPH Products List Report_Sheets (H2101 ) Singh SK, Singh JK, Oreta MC, Sumatra DR.xlsx]Sales Analysis!PivotTable8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Analysis'!$AN$1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9-4C2F-A7A3-3B41014ED6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9-4C2F-A7A3-3B41014ED6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Analysis'!$AM$2:$AM$3</c:f>
              <c:strCache>
                <c:ptCount val="2"/>
                <c:pt idx="0">
                  <c:v>Retail</c:v>
                </c:pt>
                <c:pt idx="1">
                  <c:v>Wholesale</c:v>
                </c:pt>
              </c:strCache>
            </c:strRef>
          </c:cat>
          <c:val>
            <c:numRef>
              <c:f>'Sales Analysis'!$AN$2:$AN$3</c:f>
              <c:numCache>
                <c:formatCode>[$₱]#,##0.00</c:formatCode>
                <c:ptCount val="2"/>
                <c:pt idx="0">
                  <c:v>2399268400</c:v>
                </c:pt>
                <c:pt idx="1">
                  <c:v>2046293400</c:v>
                </c:pt>
              </c:numCache>
            </c:numRef>
          </c:val>
          <c:extLst>
            <c:ext xmlns:c16="http://schemas.microsoft.com/office/drawing/2014/chart" uri="{C3380CC4-5D6E-409C-BE32-E72D297353CC}">
              <c16:uniqueId val="{00000005-080E-484C-90B3-3086700B5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[MO-IT106 - Homework_ MotorPH Products List Report_Sheets (H2101 ) Singh SK, Singh JK, Oreta MC, Sumatra DR.xlsx]Sales Analysis!PivotTable9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'Sales Analysis'!$AQ$1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7-4D31-8FFF-B8CBF5E971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7-4D31-8FFF-B8CBF5E971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7-4D31-8FFF-B8CBF5E97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Analysis'!$AP$2:$AP$4</c:f>
              <c:strCache>
                <c:ptCount val="3"/>
                <c:pt idx="0">
                  <c:v>Cash</c:v>
                </c:pt>
                <c:pt idx="1">
                  <c:v>Credit card</c:v>
                </c:pt>
                <c:pt idx="2">
                  <c:v>Transfer</c:v>
                </c:pt>
              </c:strCache>
            </c:strRef>
          </c:cat>
          <c:val>
            <c:numRef>
              <c:f>'Sales Analysis'!$AQ$2:$AQ$4</c:f>
              <c:numCache>
                <c:formatCode>[$₱]#,##0.00</c:formatCode>
                <c:ptCount val="3"/>
                <c:pt idx="0">
                  <c:v>1412997900</c:v>
                </c:pt>
                <c:pt idx="1">
                  <c:v>1570042600</c:v>
                </c:pt>
                <c:pt idx="2">
                  <c:v>1462521300</c:v>
                </c:pt>
              </c:numCache>
            </c:numRef>
          </c:val>
          <c:extLst>
            <c:ext xmlns:c16="http://schemas.microsoft.com/office/drawing/2014/chart" uri="{C3380CC4-5D6E-409C-BE32-E72D297353CC}">
              <c16:uniqueId val="{00000007-D983-475C-9DD9-5E79883F1E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22046CBF-DEB8-469E-AC8A-CEFB83B6E929}">
          <cx:tx>
            <cx:txData>
              <cx:f>_xlchart.v1.2</cx:f>
              <cx:v>Row Labels</cx:v>
            </cx:txData>
          </cx:tx>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Sales Analysis'!$L$1" lockText="1" noThreeD="1"/>
</file>

<file path=xl/ctrlProps/ctrlProp2.xml><?xml version="1.0" encoding="utf-8"?>
<formControlPr xmlns="http://schemas.microsoft.com/office/spreadsheetml/2009/9/main" objectType="CheckBox" checked="Checked" fmlaLink="'Sales Analysis'!$M$1" lockText="1" noThreeD="1"/>
</file>

<file path=xl/ctrlProps/ctrlProp3.xml><?xml version="1.0" encoding="utf-8"?>
<formControlPr xmlns="http://schemas.microsoft.com/office/spreadsheetml/2009/9/main" objectType="CheckBox" checked="Checked" fmlaLink="'Sales Analysis'!$N$1" lockText="1" noThreeD="1"/>
</file>

<file path=xl/ctrlProps/ctrlProp4.xml><?xml version="1.0" encoding="utf-8"?>
<formControlPr xmlns="http://schemas.microsoft.com/office/spreadsheetml/2009/9/main" objectType="Scroll" dx="22" fmlaLink="'Sales Analysis'!$AA$1" max="100" min="1" page="10"/>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microsoft.com/office/2014/relationships/chartEx" Target="../charts/chartEx1.xml"/><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155690</xdr:colOff>
      <xdr:row>42</xdr:row>
      <xdr:rowOff>65399</xdr:rowOff>
    </xdr:to>
    <xdr:sp macro="" textlink="">
      <xdr:nvSpPr>
        <xdr:cNvPr id="29" name="Rectangle: Rounded Corners 28">
          <a:extLst>
            <a:ext uri="{FF2B5EF4-FFF2-40B4-BE49-F238E27FC236}">
              <a16:creationId xmlns:a16="http://schemas.microsoft.com/office/drawing/2014/main" id="{DFFF127B-187F-1BEC-6028-66AA8520ED16}"/>
            </a:ext>
          </a:extLst>
        </xdr:cNvPr>
        <xdr:cNvSpPr/>
      </xdr:nvSpPr>
      <xdr:spPr>
        <a:xfrm>
          <a:off x="0" y="0"/>
          <a:ext cx="12258043" cy="6654458"/>
        </a:xfrm>
        <a:prstGeom prst="roundRect">
          <a:avLst>
            <a:gd name="adj" fmla="val 0"/>
          </a:avLst>
        </a:prstGeom>
        <a:solidFill>
          <a:srgbClr val="E8E8E8">
            <a:lumMod val="50000"/>
          </a:srgbClr>
        </a:solidFill>
        <a:ln>
          <a:noFill/>
        </a:ln>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17</xdr:col>
      <xdr:colOff>313456</xdr:colOff>
      <xdr:row>6</xdr:row>
      <xdr:rowOff>14252</xdr:rowOff>
    </xdr:from>
    <xdr:to>
      <xdr:col>19</xdr:col>
      <xdr:colOff>528238</xdr:colOff>
      <xdr:row>7</xdr:row>
      <xdr:rowOff>49703</xdr:rowOff>
    </xdr:to>
    <xdr:sp macro="" textlink="">
      <xdr:nvSpPr>
        <xdr:cNvPr id="30" name="Trapezoid 29">
          <a:extLst>
            <a:ext uri="{FF2B5EF4-FFF2-40B4-BE49-F238E27FC236}">
              <a16:creationId xmlns:a16="http://schemas.microsoft.com/office/drawing/2014/main" id="{3D83C696-7BF9-A652-48E2-D4A19A8F1639}"/>
            </a:ext>
          </a:extLst>
        </xdr:cNvPr>
        <xdr:cNvSpPr/>
      </xdr:nvSpPr>
      <xdr:spPr>
        <a:xfrm>
          <a:off x="10600456" y="955546"/>
          <a:ext cx="1425017" cy="192333"/>
        </a:xfrm>
        <a:prstGeom prst="trapezoid">
          <a:avLst/>
        </a:prstGeom>
        <a:gradFill flip="none" rotWithShape="1">
          <a:gsLst>
            <a:gs pos="0">
              <a:srgbClr val="156082">
                <a:lumMod val="67000"/>
              </a:srgbClr>
            </a:gs>
            <a:gs pos="48000">
              <a:srgbClr val="156082">
                <a:lumMod val="97000"/>
                <a:lumOff val="3000"/>
              </a:srgbClr>
            </a:gs>
            <a:gs pos="100000">
              <a:srgbClr val="156082">
                <a:lumMod val="60000"/>
                <a:lumOff val="40000"/>
              </a:srgbClr>
            </a:gs>
          </a:gsLst>
          <a:lin ang="16200000" scaled="1"/>
          <a:tileRect/>
        </a:gradFill>
        <a:ln>
          <a:noFill/>
        </a:ln>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14</xdr:col>
      <xdr:colOff>555809</xdr:colOff>
      <xdr:row>6</xdr:row>
      <xdr:rowOff>29532</xdr:rowOff>
    </xdr:from>
    <xdr:to>
      <xdr:col>17</xdr:col>
      <xdr:colOff>160991</xdr:colOff>
      <xdr:row>7</xdr:row>
      <xdr:rowOff>59941</xdr:rowOff>
    </xdr:to>
    <xdr:sp macro="" textlink="">
      <xdr:nvSpPr>
        <xdr:cNvPr id="31" name="Trapezoid 30">
          <a:extLst>
            <a:ext uri="{FF2B5EF4-FFF2-40B4-BE49-F238E27FC236}">
              <a16:creationId xmlns:a16="http://schemas.microsoft.com/office/drawing/2014/main" id="{66946C5B-DEC3-81E0-5F9F-FD94D6FF452B}"/>
            </a:ext>
          </a:extLst>
        </xdr:cNvPr>
        <xdr:cNvSpPr/>
      </xdr:nvSpPr>
      <xdr:spPr>
        <a:xfrm>
          <a:off x="9027456" y="970826"/>
          <a:ext cx="1420535" cy="187291"/>
        </a:xfrm>
        <a:prstGeom prst="trapezoid">
          <a:avLst/>
        </a:prstGeom>
        <a:gradFill flip="none" rotWithShape="1">
          <a:gsLst>
            <a:gs pos="0">
              <a:srgbClr val="156082">
                <a:lumMod val="67000"/>
              </a:srgbClr>
            </a:gs>
            <a:gs pos="48000">
              <a:srgbClr val="156082">
                <a:lumMod val="97000"/>
                <a:lumOff val="3000"/>
              </a:srgbClr>
            </a:gs>
            <a:gs pos="100000">
              <a:srgbClr val="156082">
                <a:lumMod val="60000"/>
                <a:lumOff val="40000"/>
              </a:srgbClr>
            </a:gs>
          </a:gsLst>
          <a:lin ang="16200000" scaled="1"/>
          <a:tileRect/>
        </a:gradFill>
        <a:ln>
          <a:noFill/>
        </a:ln>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0</xdr:col>
      <xdr:colOff>201645</xdr:colOff>
      <xdr:row>0</xdr:row>
      <xdr:rowOff>78441</xdr:rowOff>
    </xdr:from>
    <xdr:to>
      <xdr:col>7</xdr:col>
      <xdr:colOff>11205</xdr:colOff>
      <xdr:row>5</xdr:row>
      <xdr:rowOff>100853</xdr:rowOff>
    </xdr:to>
    <xdr:sp macro="" textlink="">
      <xdr:nvSpPr>
        <xdr:cNvPr id="32" name="Rectangle: Rounded Corners 31">
          <a:extLst>
            <a:ext uri="{FF2B5EF4-FFF2-40B4-BE49-F238E27FC236}">
              <a16:creationId xmlns:a16="http://schemas.microsoft.com/office/drawing/2014/main" id="{031C359F-B316-13E3-C5D3-DCA7BFF33EDF}"/>
            </a:ext>
          </a:extLst>
        </xdr:cNvPr>
        <xdr:cNvSpPr/>
      </xdr:nvSpPr>
      <xdr:spPr>
        <a:xfrm>
          <a:off x="201645" y="78441"/>
          <a:ext cx="4045384" cy="806824"/>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74644</xdr:colOff>
      <xdr:row>0</xdr:row>
      <xdr:rowOff>67236</xdr:rowOff>
    </xdr:from>
    <xdr:to>
      <xdr:col>19</xdr:col>
      <xdr:colOff>490735</xdr:colOff>
      <xdr:row>5</xdr:row>
      <xdr:rowOff>123264</xdr:rowOff>
    </xdr:to>
    <xdr:sp macro="" textlink="">
      <xdr:nvSpPr>
        <xdr:cNvPr id="33" name="Rectangle: Rounded Corners 32">
          <a:extLst>
            <a:ext uri="{FF2B5EF4-FFF2-40B4-BE49-F238E27FC236}">
              <a16:creationId xmlns:a16="http://schemas.microsoft.com/office/drawing/2014/main" id="{D2DA1EC8-1821-2B1E-0A46-02F63FD3A0B9}"/>
            </a:ext>
          </a:extLst>
        </xdr:cNvPr>
        <xdr:cNvSpPr/>
      </xdr:nvSpPr>
      <xdr:spPr>
        <a:xfrm>
          <a:off x="4310468" y="67236"/>
          <a:ext cx="7677502" cy="840440"/>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0</xdr:col>
      <xdr:colOff>201645</xdr:colOff>
      <xdr:row>6</xdr:row>
      <xdr:rowOff>27641</xdr:rowOff>
    </xdr:from>
    <xdr:to>
      <xdr:col>2</xdr:col>
      <xdr:colOff>219190</xdr:colOff>
      <xdr:row>12</xdr:row>
      <xdr:rowOff>125967</xdr:rowOff>
    </xdr:to>
    <xdr:sp macro="" textlink="">
      <xdr:nvSpPr>
        <xdr:cNvPr id="34" name="Rectangle: Rounded Corners 33">
          <a:extLst>
            <a:ext uri="{FF2B5EF4-FFF2-40B4-BE49-F238E27FC236}">
              <a16:creationId xmlns:a16="http://schemas.microsoft.com/office/drawing/2014/main" id="{95616AAC-A4CD-DAA0-DC0D-B0206248D4F7}"/>
            </a:ext>
          </a:extLst>
        </xdr:cNvPr>
        <xdr:cNvSpPr/>
      </xdr:nvSpPr>
      <xdr:spPr>
        <a:xfrm>
          <a:off x="201645" y="968935"/>
          <a:ext cx="1227780" cy="1039620"/>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0</xdr:col>
      <xdr:colOff>201645</xdr:colOff>
      <xdr:row>13</xdr:row>
      <xdr:rowOff>44823</xdr:rowOff>
    </xdr:from>
    <xdr:to>
      <xdr:col>2</xdr:col>
      <xdr:colOff>219190</xdr:colOff>
      <xdr:row>34</xdr:row>
      <xdr:rowOff>52700</xdr:rowOff>
    </xdr:to>
    <xdr:sp macro="" textlink="">
      <xdr:nvSpPr>
        <xdr:cNvPr id="35" name="Rectangle: Rounded Corners 34">
          <a:extLst>
            <a:ext uri="{FF2B5EF4-FFF2-40B4-BE49-F238E27FC236}">
              <a16:creationId xmlns:a16="http://schemas.microsoft.com/office/drawing/2014/main" id="{EB4FD40D-3BB6-6C0A-E21E-6A1AA10EB500}"/>
            </a:ext>
          </a:extLst>
        </xdr:cNvPr>
        <xdr:cNvSpPr/>
      </xdr:nvSpPr>
      <xdr:spPr>
        <a:xfrm>
          <a:off x="201645" y="2084294"/>
          <a:ext cx="1227780" cy="3302406"/>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0</xdr:col>
      <xdr:colOff>201645</xdr:colOff>
      <xdr:row>35</xdr:row>
      <xdr:rowOff>38331</xdr:rowOff>
    </xdr:from>
    <xdr:to>
      <xdr:col>2</xdr:col>
      <xdr:colOff>219190</xdr:colOff>
      <xdr:row>41</xdr:row>
      <xdr:rowOff>57643</xdr:rowOff>
    </xdr:to>
    <xdr:sp macro="" textlink="">
      <xdr:nvSpPr>
        <xdr:cNvPr id="36" name="Rectangle: Rounded Corners 35">
          <a:extLst>
            <a:ext uri="{FF2B5EF4-FFF2-40B4-BE49-F238E27FC236}">
              <a16:creationId xmlns:a16="http://schemas.microsoft.com/office/drawing/2014/main" id="{307B25D3-24BE-A9C4-2B7D-25BFBDB5B52D}"/>
            </a:ext>
          </a:extLst>
        </xdr:cNvPr>
        <xdr:cNvSpPr/>
      </xdr:nvSpPr>
      <xdr:spPr>
        <a:xfrm>
          <a:off x="201645" y="5705706"/>
          <a:ext cx="1236745" cy="990862"/>
        </a:xfrm>
        <a:prstGeom prst="roundRect">
          <a:avLst>
            <a:gd name="adj" fmla="val 44864"/>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2</xdr:col>
      <xdr:colOff>390129</xdr:colOff>
      <xdr:row>6</xdr:row>
      <xdr:rowOff>50053</xdr:rowOff>
    </xdr:from>
    <xdr:to>
      <xdr:col>6</xdr:col>
      <xdr:colOff>294011</xdr:colOff>
      <xdr:row>11</xdr:row>
      <xdr:rowOff>81704</xdr:rowOff>
    </xdr:to>
    <xdr:sp macro="" textlink="">
      <xdr:nvSpPr>
        <xdr:cNvPr id="37" name="Rectangle: Rounded Corners 36">
          <a:extLst>
            <a:ext uri="{FF2B5EF4-FFF2-40B4-BE49-F238E27FC236}">
              <a16:creationId xmlns:a16="http://schemas.microsoft.com/office/drawing/2014/main" id="{24FCED8E-53AF-F58C-1100-5EF4E29E47C8}"/>
            </a:ext>
          </a:extLst>
        </xdr:cNvPr>
        <xdr:cNvSpPr/>
      </xdr:nvSpPr>
      <xdr:spPr>
        <a:xfrm>
          <a:off x="1609329" y="1021603"/>
          <a:ext cx="2342282" cy="841276"/>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2</xdr:col>
      <xdr:colOff>356512</xdr:colOff>
      <xdr:row>12</xdr:row>
      <xdr:rowOff>13908</xdr:rowOff>
    </xdr:from>
    <xdr:to>
      <xdr:col>7</xdr:col>
      <xdr:colOff>548512</xdr:colOff>
      <xdr:row>26</xdr:row>
      <xdr:rowOff>86958</xdr:rowOff>
    </xdr:to>
    <xdr:sp macro="" textlink="">
      <xdr:nvSpPr>
        <xdr:cNvPr id="38" name="Rectangle: Rounded Corners 37">
          <a:extLst>
            <a:ext uri="{FF2B5EF4-FFF2-40B4-BE49-F238E27FC236}">
              <a16:creationId xmlns:a16="http://schemas.microsoft.com/office/drawing/2014/main" id="{FCDA4DA4-02A0-B40B-3F4D-5F8190FD53EC}"/>
            </a:ext>
          </a:extLst>
        </xdr:cNvPr>
        <xdr:cNvSpPr/>
      </xdr:nvSpPr>
      <xdr:spPr>
        <a:xfrm>
          <a:off x="1566747" y="1896496"/>
          <a:ext cx="3217589" cy="2269403"/>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8</xdr:col>
      <xdr:colOff>22412</xdr:colOff>
      <xdr:row>12</xdr:row>
      <xdr:rowOff>34431</xdr:rowOff>
    </xdr:from>
    <xdr:to>
      <xdr:col>11</xdr:col>
      <xdr:colOff>571500</xdr:colOff>
      <xdr:row>26</xdr:row>
      <xdr:rowOff>107481</xdr:rowOff>
    </xdr:to>
    <xdr:sp macro="" textlink="">
      <xdr:nvSpPr>
        <xdr:cNvPr id="39" name="Rectangle: Rounded Corners 38">
          <a:extLst>
            <a:ext uri="{FF2B5EF4-FFF2-40B4-BE49-F238E27FC236}">
              <a16:creationId xmlns:a16="http://schemas.microsoft.com/office/drawing/2014/main" id="{F32D120C-F0EB-3EB4-7B45-E92C962A1294}"/>
            </a:ext>
          </a:extLst>
        </xdr:cNvPr>
        <xdr:cNvSpPr/>
      </xdr:nvSpPr>
      <xdr:spPr>
        <a:xfrm>
          <a:off x="4863353" y="1917019"/>
          <a:ext cx="2364441" cy="2269403"/>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12</xdr:col>
      <xdr:colOff>22205</xdr:colOff>
      <xdr:row>12</xdr:row>
      <xdr:rowOff>53507</xdr:rowOff>
    </xdr:from>
    <xdr:to>
      <xdr:col>14</xdr:col>
      <xdr:colOff>605117</xdr:colOff>
      <xdr:row>26</xdr:row>
      <xdr:rowOff>126557</xdr:rowOff>
    </xdr:to>
    <xdr:sp macro="" textlink="">
      <xdr:nvSpPr>
        <xdr:cNvPr id="40" name="Rectangle: Rounded Corners 39">
          <a:extLst>
            <a:ext uri="{FF2B5EF4-FFF2-40B4-BE49-F238E27FC236}">
              <a16:creationId xmlns:a16="http://schemas.microsoft.com/office/drawing/2014/main" id="{28B91632-0172-0138-C322-18F4244BC956}"/>
            </a:ext>
          </a:extLst>
        </xdr:cNvPr>
        <xdr:cNvSpPr/>
      </xdr:nvSpPr>
      <xdr:spPr>
        <a:xfrm>
          <a:off x="7283617" y="1936095"/>
          <a:ext cx="1793147" cy="2269403"/>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6</xdr:col>
      <xdr:colOff>389445</xdr:colOff>
      <xdr:row>6</xdr:row>
      <xdr:rowOff>50053</xdr:rowOff>
    </xdr:from>
    <xdr:to>
      <xdr:col>10</xdr:col>
      <xdr:colOff>394812</xdr:colOff>
      <xdr:row>11</xdr:row>
      <xdr:rowOff>81704</xdr:rowOff>
    </xdr:to>
    <xdr:sp macro="" textlink="">
      <xdr:nvSpPr>
        <xdr:cNvPr id="41" name="Rectangle: Rounded Corners 40">
          <a:extLst>
            <a:ext uri="{FF2B5EF4-FFF2-40B4-BE49-F238E27FC236}">
              <a16:creationId xmlns:a16="http://schemas.microsoft.com/office/drawing/2014/main" id="{136B3447-BE05-85BA-9ADD-64D3915290EE}"/>
            </a:ext>
          </a:extLst>
        </xdr:cNvPr>
        <xdr:cNvSpPr/>
      </xdr:nvSpPr>
      <xdr:spPr>
        <a:xfrm>
          <a:off x="4020151" y="991347"/>
          <a:ext cx="2425837" cy="816063"/>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10</xdr:col>
      <xdr:colOff>479039</xdr:colOff>
      <xdr:row>6</xdr:row>
      <xdr:rowOff>40737</xdr:rowOff>
    </xdr:from>
    <xdr:to>
      <xdr:col>14</xdr:col>
      <xdr:colOff>484406</xdr:colOff>
      <xdr:row>11</xdr:row>
      <xdr:rowOff>72388</xdr:rowOff>
    </xdr:to>
    <xdr:sp macro="" textlink="">
      <xdr:nvSpPr>
        <xdr:cNvPr id="42" name="Rectangle: Rounded Corners 41">
          <a:extLst>
            <a:ext uri="{FF2B5EF4-FFF2-40B4-BE49-F238E27FC236}">
              <a16:creationId xmlns:a16="http://schemas.microsoft.com/office/drawing/2014/main" id="{1EF3DB58-C600-8DE7-9D88-580688753132}"/>
            </a:ext>
          </a:extLst>
        </xdr:cNvPr>
        <xdr:cNvSpPr/>
      </xdr:nvSpPr>
      <xdr:spPr>
        <a:xfrm>
          <a:off x="6530215" y="982031"/>
          <a:ext cx="2425838" cy="816063"/>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12</xdr:col>
      <xdr:colOff>55823</xdr:colOff>
      <xdr:row>27</xdr:row>
      <xdr:rowOff>34458</xdr:rowOff>
    </xdr:from>
    <xdr:to>
      <xdr:col>14</xdr:col>
      <xdr:colOff>593912</xdr:colOff>
      <xdr:row>41</xdr:row>
      <xdr:rowOff>102466</xdr:rowOff>
    </xdr:to>
    <xdr:sp macro="" textlink="">
      <xdr:nvSpPr>
        <xdr:cNvPr id="43" name="Rectangle: Rounded Corners 42">
          <a:extLst>
            <a:ext uri="{FF2B5EF4-FFF2-40B4-BE49-F238E27FC236}">
              <a16:creationId xmlns:a16="http://schemas.microsoft.com/office/drawing/2014/main" id="{5741F53E-78C5-357E-4F70-8F63E0E83EDA}"/>
            </a:ext>
          </a:extLst>
        </xdr:cNvPr>
        <xdr:cNvSpPr/>
      </xdr:nvSpPr>
      <xdr:spPr>
        <a:xfrm>
          <a:off x="7317235" y="4270282"/>
          <a:ext cx="1748324" cy="2264360"/>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2</xdr:col>
      <xdr:colOff>378923</xdr:colOff>
      <xdr:row>27</xdr:row>
      <xdr:rowOff>12046</xdr:rowOff>
    </xdr:from>
    <xdr:to>
      <xdr:col>11</xdr:col>
      <xdr:colOff>511790</xdr:colOff>
      <xdr:row>41</xdr:row>
      <xdr:rowOff>80054</xdr:rowOff>
    </xdr:to>
    <xdr:sp macro="" textlink="">
      <xdr:nvSpPr>
        <xdr:cNvPr id="44" name="Rectangle: Rounded Corners 43">
          <a:extLst>
            <a:ext uri="{FF2B5EF4-FFF2-40B4-BE49-F238E27FC236}">
              <a16:creationId xmlns:a16="http://schemas.microsoft.com/office/drawing/2014/main" id="{BA250CFF-C28A-71C9-A0C4-3F04D7A72FB2}"/>
            </a:ext>
          </a:extLst>
        </xdr:cNvPr>
        <xdr:cNvSpPr/>
      </xdr:nvSpPr>
      <xdr:spPr>
        <a:xfrm>
          <a:off x="1589158" y="4247870"/>
          <a:ext cx="5578926" cy="2264360"/>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15</xdr:col>
      <xdr:colOff>145611</xdr:colOff>
      <xdr:row>6</xdr:row>
      <xdr:rowOff>18326</xdr:rowOff>
    </xdr:from>
    <xdr:to>
      <xdr:col>17</xdr:col>
      <xdr:colOff>6411</xdr:colOff>
      <xdr:row>17</xdr:row>
      <xdr:rowOff>32109</xdr:rowOff>
    </xdr:to>
    <xdr:sp macro="" textlink="">
      <xdr:nvSpPr>
        <xdr:cNvPr id="45" name="Flowchart: Off-page Connector 44">
          <a:extLst>
            <a:ext uri="{FF2B5EF4-FFF2-40B4-BE49-F238E27FC236}">
              <a16:creationId xmlns:a16="http://schemas.microsoft.com/office/drawing/2014/main" id="{CEEBE76C-0A40-79D0-CB24-AC1045328F85}"/>
            </a:ext>
          </a:extLst>
        </xdr:cNvPr>
        <xdr:cNvSpPr/>
      </xdr:nvSpPr>
      <xdr:spPr>
        <a:xfrm>
          <a:off x="9222376" y="959620"/>
          <a:ext cx="1071035" cy="1739489"/>
        </a:xfrm>
        <a:prstGeom prst="flowChartOffpageConnector">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17</xdr:col>
      <xdr:colOff>468035</xdr:colOff>
      <xdr:row>6</xdr:row>
      <xdr:rowOff>14251</xdr:rowOff>
    </xdr:from>
    <xdr:to>
      <xdr:col>19</xdr:col>
      <xdr:colOff>329711</xdr:colOff>
      <xdr:row>17</xdr:row>
      <xdr:rowOff>33076</xdr:rowOff>
    </xdr:to>
    <xdr:sp macro="" textlink="">
      <xdr:nvSpPr>
        <xdr:cNvPr id="46" name="Flowchart: Off-page Connector 45">
          <a:extLst>
            <a:ext uri="{FF2B5EF4-FFF2-40B4-BE49-F238E27FC236}">
              <a16:creationId xmlns:a16="http://schemas.microsoft.com/office/drawing/2014/main" id="{B6DE2BF0-EFB3-5041-6770-61E6C3FB8C32}"/>
            </a:ext>
          </a:extLst>
        </xdr:cNvPr>
        <xdr:cNvSpPr/>
      </xdr:nvSpPr>
      <xdr:spPr>
        <a:xfrm>
          <a:off x="10806323" y="981405"/>
          <a:ext cx="1077946" cy="1791940"/>
        </a:xfrm>
        <a:prstGeom prst="flowChartOffpageConnector">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15</xdr:col>
      <xdr:colOff>145611</xdr:colOff>
      <xdr:row>17</xdr:row>
      <xdr:rowOff>52338</xdr:rowOff>
    </xdr:from>
    <xdr:to>
      <xdr:col>19</xdr:col>
      <xdr:colOff>490735</xdr:colOff>
      <xdr:row>41</xdr:row>
      <xdr:rowOff>113673</xdr:rowOff>
    </xdr:to>
    <xdr:sp macro="" textlink="">
      <xdr:nvSpPr>
        <xdr:cNvPr id="47" name="Rectangle: Rounded Corners 46">
          <a:extLst>
            <a:ext uri="{FF2B5EF4-FFF2-40B4-BE49-F238E27FC236}">
              <a16:creationId xmlns:a16="http://schemas.microsoft.com/office/drawing/2014/main" id="{D5EECE1D-83AC-0FFC-1738-BCDAB77D54EA}"/>
            </a:ext>
          </a:extLst>
        </xdr:cNvPr>
        <xdr:cNvSpPr/>
      </xdr:nvSpPr>
      <xdr:spPr>
        <a:xfrm>
          <a:off x="9222376" y="2719338"/>
          <a:ext cx="2765594" cy="3826511"/>
        </a:xfrm>
        <a:prstGeom prst="roundRect">
          <a:avLst/>
        </a:prstGeom>
        <a:solidFill>
          <a:srgbClr val="156082">
            <a:lumMod val="75000"/>
          </a:srgb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15</xdr:col>
      <xdr:colOff>224117</xdr:colOff>
      <xdr:row>6</xdr:row>
      <xdr:rowOff>67234</xdr:rowOff>
    </xdr:from>
    <xdr:to>
      <xdr:col>16</xdr:col>
      <xdr:colOff>526677</xdr:colOff>
      <xdr:row>16</xdr:row>
      <xdr:rowOff>112057</xdr:rowOff>
    </xdr:to>
    <xdr:sp macro="" textlink="">
      <xdr:nvSpPr>
        <xdr:cNvPr id="48" name="Flowchart: Off-page Connector 47">
          <a:extLst>
            <a:ext uri="{FF2B5EF4-FFF2-40B4-BE49-F238E27FC236}">
              <a16:creationId xmlns:a16="http://schemas.microsoft.com/office/drawing/2014/main" id="{0417BAE0-E25A-C432-C863-C84A98B69F28}"/>
            </a:ext>
          </a:extLst>
        </xdr:cNvPr>
        <xdr:cNvSpPr/>
      </xdr:nvSpPr>
      <xdr:spPr>
        <a:xfrm>
          <a:off x="9300882" y="1008528"/>
          <a:ext cx="907677" cy="1613647"/>
        </a:xfrm>
        <a:prstGeom prst="flowChartOffpageConnector">
          <a:avLst/>
        </a:prstGeom>
        <a:solidFill>
          <a:srgbClr val="156082">
            <a:lumMod val="75000"/>
          </a:srgbClr>
        </a:solidFill>
        <a:ln>
          <a:solidFill>
            <a:sysClr val="window" lastClr="FFFFFF"/>
          </a:solidFill>
          <a:prstDash val="lgDash"/>
        </a:ln>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17</xdr:col>
      <xdr:colOff>564173</xdr:colOff>
      <xdr:row>6</xdr:row>
      <xdr:rowOff>80596</xdr:rowOff>
    </xdr:from>
    <xdr:to>
      <xdr:col>19</xdr:col>
      <xdr:colOff>249114</xdr:colOff>
      <xdr:row>16</xdr:row>
      <xdr:rowOff>89647</xdr:rowOff>
    </xdr:to>
    <xdr:sp macro="" textlink="">
      <xdr:nvSpPr>
        <xdr:cNvPr id="49" name="Flowchart: Off-page Connector 48">
          <a:extLst>
            <a:ext uri="{FF2B5EF4-FFF2-40B4-BE49-F238E27FC236}">
              <a16:creationId xmlns:a16="http://schemas.microsoft.com/office/drawing/2014/main" id="{780B8774-0A68-EA53-0EB8-34328E729C08}"/>
            </a:ext>
          </a:extLst>
        </xdr:cNvPr>
        <xdr:cNvSpPr/>
      </xdr:nvSpPr>
      <xdr:spPr>
        <a:xfrm>
          <a:off x="10902461" y="1047750"/>
          <a:ext cx="901211" cy="1620974"/>
        </a:xfrm>
        <a:prstGeom prst="flowChartOffpageConnector">
          <a:avLst/>
        </a:prstGeom>
        <a:solidFill>
          <a:srgbClr val="156082">
            <a:lumMod val="75000"/>
          </a:srgbClr>
        </a:solidFill>
        <a:ln>
          <a:solidFill>
            <a:sysClr val="window" lastClr="FFFFFF"/>
          </a:solidFill>
          <a:prstDash val="lgDash"/>
        </a:ln>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3</xdr:col>
      <xdr:colOff>22536</xdr:colOff>
      <xdr:row>14</xdr:row>
      <xdr:rowOff>96028</xdr:rowOff>
    </xdr:from>
    <xdr:to>
      <xdr:col>7</xdr:col>
      <xdr:colOff>280202</xdr:colOff>
      <xdr:row>14</xdr:row>
      <xdr:rowOff>96028</xdr:rowOff>
    </xdr:to>
    <xdr:cxnSp macro="">
      <xdr:nvCxnSpPr>
        <xdr:cNvPr id="50" name="Straight Connector 49">
          <a:extLst>
            <a:ext uri="{FF2B5EF4-FFF2-40B4-BE49-F238E27FC236}">
              <a16:creationId xmlns:a16="http://schemas.microsoft.com/office/drawing/2014/main" id="{BD06AB81-94F0-946F-8E27-75EDFE63719B}"/>
            </a:ext>
          </a:extLst>
        </xdr:cNvPr>
        <xdr:cNvCxnSpPr>
          <a:cxnSpLocks/>
        </xdr:cNvCxnSpPr>
      </xdr:nvCxnSpPr>
      <xdr:spPr>
        <a:xfrm>
          <a:off x="1837889" y="2292381"/>
          <a:ext cx="2678137" cy="0"/>
        </a:xfrm>
        <a:prstGeom prst="line">
          <a:avLst/>
        </a:prstGeom>
        <a:noFill/>
        <a:ln w="19050" cap="flat" cmpd="sng" algn="ctr">
          <a:solidFill>
            <a:srgbClr val="156082"/>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187011</xdr:colOff>
      <xdr:row>14</xdr:row>
      <xdr:rowOff>120666</xdr:rowOff>
    </xdr:from>
    <xdr:to>
      <xdr:col>11</xdr:col>
      <xdr:colOff>368191</xdr:colOff>
      <xdr:row>14</xdr:row>
      <xdr:rowOff>124463</xdr:rowOff>
    </xdr:to>
    <xdr:cxnSp macro="">
      <xdr:nvCxnSpPr>
        <xdr:cNvPr id="51" name="Straight Connector 50">
          <a:extLst>
            <a:ext uri="{FF2B5EF4-FFF2-40B4-BE49-F238E27FC236}">
              <a16:creationId xmlns:a16="http://schemas.microsoft.com/office/drawing/2014/main" id="{A07924D5-91FB-3FE8-9D44-8D7F1BBA934B}"/>
            </a:ext>
          </a:extLst>
        </xdr:cNvPr>
        <xdr:cNvCxnSpPr>
          <a:cxnSpLocks/>
        </xdr:cNvCxnSpPr>
      </xdr:nvCxnSpPr>
      <xdr:spPr>
        <a:xfrm flipV="1">
          <a:off x="5027952" y="2317019"/>
          <a:ext cx="1996533" cy="3797"/>
        </a:xfrm>
        <a:prstGeom prst="line">
          <a:avLst/>
        </a:prstGeom>
        <a:noFill/>
        <a:ln w="19050" cap="flat" cmpd="sng" algn="ctr">
          <a:solidFill>
            <a:srgbClr val="156082"/>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184201</xdr:colOff>
      <xdr:row>14</xdr:row>
      <xdr:rowOff>140851</xdr:rowOff>
    </xdr:from>
    <xdr:to>
      <xdr:col>14</xdr:col>
      <xdr:colOff>374425</xdr:colOff>
      <xdr:row>14</xdr:row>
      <xdr:rowOff>140851</xdr:rowOff>
    </xdr:to>
    <xdr:cxnSp macro="">
      <xdr:nvCxnSpPr>
        <xdr:cNvPr id="52" name="Straight Connector 51">
          <a:extLst>
            <a:ext uri="{FF2B5EF4-FFF2-40B4-BE49-F238E27FC236}">
              <a16:creationId xmlns:a16="http://schemas.microsoft.com/office/drawing/2014/main" id="{60D6A56B-5985-8DF9-7CA6-CFA24F6512D5}"/>
            </a:ext>
          </a:extLst>
        </xdr:cNvPr>
        <xdr:cNvCxnSpPr>
          <a:cxnSpLocks/>
        </xdr:cNvCxnSpPr>
      </xdr:nvCxnSpPr>
      <xdr:spPr>
        <a:xfrm>
          <a:off x="7445613" y="2337204"/>
          <a:ext cx="1400459" cy="0"/>
        </a:xfrm>
        <a:prstGeom prst="line">
          <a:avLst/>
        </a:prstGeom>
        <a:noFill/>
        <a:ln w="19050" cap="flat" cmpd="sng" algn="ctr">
          <a:solidFill>
            <a:srgbClr val="156082"/>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447666</xdr:colOff>
      <xdr:row>30</xdr:row>
      <xdr:rowOff>11708</xdr:rowOff>
    </xdr:from>
    <xdr:to>
      <xdr:col>11</xdr:col>
      <xdr:colOff>295081</xdr:colOff>
      <xdr:row>30</xdr:row>
      <xdr:rowOff>11708</xdr:rowOff>
    </xdr:to>
    <xdr:cxnSp macro="">
      <xdr:nvCxnSpPr>
        <xdr:cNvPr id="53" name="Straight Connector 52">
          <a:extLst>
            <a:ext uri="{FF2B5EF4-FFF2-40B4-BE49-F238E27FC236}">
              <a16:creationId xmlns:a16="http://schemas.microsoft.com/office/drawing/2014/main" id="{CF2E13D4-8A0C-13A0-2FB1-BDA6E4DB54F8}"/>
            </a:ext>
          </a:extLst>
        </xdr:cNvPr>
        <xdr:cNvCxnSpPr>
          <a:cxnSpLocks/>
        </xdr:cNvCxnSpPr>
      </xdr:nvCxnSpPr>
      <xdr:spPr>
        <a:xfrm>
          <a:off x="1657901" y="4718179"/>
          <a:ext cx="5293474" cy="0"/>
        </a:xfrm>
        <a:prstGeom prst="line">
          <a:avLst/>
        </a:prstGeom>
        <a:noFill/>
        <a:ln w="19050" cap="flat" cmpd="sng" algn="ctr">
          <a:solidFill>
            <a:srgbClr val="156082"/>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186191</xdr:colOff>
      <xdr:row>30</xdr:row>
      <xdr:rowOff>502</xdr:rowOff>
    </xdr:from>
    <xdr:to>
      <xdr:col>14</xdr:col>
      <xdr:colOff>365240</xdr:colOff>
      <xdr:row>30</xdr:row>
      <xdr:rowOff>502</xdr:rowOff>
    </xdr:to>
    <xdr:cxnSp macro="">
      <xdr:nvCxnSpPr>
        <xdr:cNvPr id="54" name="Straight Connector 53">
          <a:extLst>
            <a:ext uri="{FF2B5EF4-FFF2-40B4-BE49-F238E27FC236}">
              <a16:creationId xmlns:a16="http://schemas.microsoft.com/office/drawing/2014/main" id="{2102A479-B68D-9D3A-45D0-21F980814229}"/>
            </a:ext>
          </a:extLst>
        </xdr:cNvPr>
        <xdr:cNvCxnSpPr>
          <a:cxnSpLocks/>
        </xdr:cNvCxnSpPr>
      </xdr:nvCxnSpPr>
      <xdr:spPr>
        <a:xfrm>
          <a:off x="7447603" y="4706973"/>
          <a:ext cx="1389284" cy="0"/>
        </a:xfrm>
        <a:prstGeom prst="line">
          <a:avLst/>
        </a:prstGeom>
        <a:noFill/>
        <a:ln w="19050" cap="flat" cmpd="sng" algn="ctr">
          <a:solidFill>
            <a:srgbClr val="156082"/>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288986</xdr:colOff>
      <xdr:row>20</xdr:row>
      <xdr:rowOff>64376</xdr:rowOff>
    </xdr:from>
    <xdr:to>
      <xdr:col>19</xdr:col>
      <xdr:colOff>328835</xdr:colOff>
      <xdr:row>20</xdr:row>
      <xdr:rowOff>64376</xdr:rowOff>
    </xdr:to>
    <xdr:cxnSp macro="">
      <xdr:nvCxnSpPr>
        <xdr:cNvPr id="55" name="Straight Connector 54">
          <a:extLst>
            <a:ext uri="{FF2B5EF4-FFF2-40B4-BE49-F238E27FC236}">
              <a16:creationId xmlns:a16="http://schemas.microsoft.com/office/drawing/2014/main" id="{BBC3558C-7422-2C22-88A6-933581E09490}"/>
            </a:ext>
          </a:extLst>
        </xdr:cNvPr>
        <xdr:cNvCxnSpPr>
          <a:cxnSpLocks/>
        </xdr:cNvCxnSpPr>
      </xdr:nvCxnSpPr>
      <xdr:spPr>
        <a:xfrm>
          <a:off x="9365751" y="3202023"/>
          <a:ext cx="2460319" cy="0"/>
        </a:xfrm>
        <a:prstGeom prst="line">
          <a:avLst/>
        </a:prstGeom>
        <a:noFill/>
        <a:ln w="19050" cap="flat" cmpd="sng" algn="ctr">
          <a:solidFill>
            <a:srgbClr val="156082"/>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370914</xdr:colOff>
      <xdr:row>35</xdr:row>
      <xdr:rowOff>42023</xdr:rowOff>
    </xdr:from>
    <xdr:to>
      <xdr:col>2</xdr:col>
      <xdr:colOff>70597</xdr:colOff>
      <xdr:row>40</xdr:row>
      <xdr:rowOff>141755</xdr:rowOff>
    </xdr:to>
    <xdr:pic>
      <xdr:nvPicPr>
        <xdr:cNvPr id="57" name="Graphic 56" descr="Shopping cart with solid fill">
          <a:extLst>
            <a:ext uri="{FF2B5EF4-FFF2-40B4-BE49-F238E27FC236}">
              <a16:creationId xmlns:a16="http://schemas.microsoft.com/office/drawing/2014/main" id="{77524A04-8C83-CFAB-977A-D6DC289F5C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0914" y="5532905"/>
          <a:ext cx="909918" cy="884144"/>
        </a:xfrm>
        <a:prstGeom prst="rect">
          <a:avLst/>
        </a:prstGeom>
      </xdr:spPr>
    </xdr:pic>
    <xdr:clientData/>
  </xdr:twoCellAnchor>
  <xdr:twoCellAnchor editAs="oneCell">
    <xdr:from>
      <xdr:col>0</xdr:col>
      <xdr:colOff>208151</xdr:colOff>
      <xdr:row>0</xdr:row>
      <xdr:rowOff>34711</xdr:rowOff>
    </xdr:from>
    <xdr:to>
      <xdr:col>1</xdr:col>
      <xdr:colOff>347383</xdr:colOff>
      <xdr:row>4</xdr:row>
      <xdr:rowOff>141756</xdr:rowOff>
    </xdr:to>
    <xdr:pic>
      <xdr:nvPicPr>
        <xdr:cNvPr id="59" name="Graphic 58" descr="Presentation with bar chart with solid fill">
          <a:extLst>
            <a:ext uri="{FF2B5EF4-FFF2-40B4-BE49-F238E27FC236}">
              <a16:creationId xmlns:a16="http://schemas.microsoft.com/office/drawing/2014/main" id="{95E8AA9D-1F2F-713A-2DD5-B5FB71580F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151" y="34711"/>
          <a:ext cx="744350" cy="734574"/>
        </a:xfrm>
        <a:prstGeom prst="rect">
          <a:avLst/>
        </a:prstGeom>
      </xdr:spPr>
    </xdr:pic>
    <xdr:clientData/>
  </xdr:twoCellAnchor>
  <xdr:twoCellAnchor editAs="oneCell">
    <xdr:from>
      <xdr:col>9</xdr:col>
      <xdr:colOff>380280</xdr:colOff>
      <xdr:row>7</xdr:row>
      <xdr:rowOff>12745</xdr:rowOff>
    </xdr:from>
    <xdr:to>
      <xdr:col>10</xdr:col>
      <xdr:colOff>352425</xdr:colOff>
      <xdr:row>10</xdr:row>
      <xdr:rowOff>108536</xdr:rowOff>
    </xdr:to>
    <xdr:pic>
      <xdr:nvPicPr>
        <xdr:cNvPr id="61" name="Graphic 60" descr="Bar graph with upward trend with solid fill">
          <a:extLst>
            <a:ext uri="{FF2B5EF4-FFF2-40B4-BE49-F238E27FC236}">
              <a16:creationId xmlns:a16="http://schemas.microsoft.com/office/drawing/2014/main" id="{AFC27633-D2A4-393B-457C-59C09B336D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66680" y="1146220"/>
          <a:ext cx="581745" cy="581566"/>
        </a:xfrm>
        <a:prstGeom prst="rect">
          <a:avLst/>
        </a:prstGeom>
      </xdr:spPr>
    </xdr:pic>
    <xdr:clientData/>
  </xdr:twoCellAnchor>
  <xdr:twoCellAnchor editAs="oneCell">
    <xdr:from>
      <xdr:col>5</xdr:col>
      <xdr:colOff>333375</xdr:colOff>
      <xdr:row>7</xdr:row>
      <xdr:rowOff>47624</xdr:rowOff>
    </xdr:from>
    <xdr:to>
      <xdr:col>6</xdr:col>
      <xdr:colOff>245409</xdr:colOff>
      <xdr:row>10</xdr:row>
      <xdr:rowOff>49761</xdr:rowOff>
    </xdr:to>
    <xdr:pic>
      <xdr:nvPicPr>
        <xdr:cNvPr id="63" name="Graphic 62" descr="Money with solid fill">
          <a:extLst>
            <a:ext uri="{FF2B5EF4-FFF2-40B4-BE49-F238E27FC236}">
              <a16:creationId xmlns:a16="http://schemas.microsoft.com/office/drawing/2014/main" id="{AB371BC1-7882-F980-E61C-CE32D0CCD6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81375" y="1181099"/>
          <a:ext cx="521634" cy="487912"/>
        </a:xfrm>
        <a:prstGeom prst="rect">
          <a:avLst/>
        </a:prstGeom>
      </xdr:spPr>
    </xdr:pic>
    <xdr:clientData/>
  </xdr:twoCellAnchor>
  <xdr:twoCellAnchor editAs="oneCell">
    <xdr:from>
      <xdr:col>13</xdr:col>
      <xdr:colOff>300719</xdr:colOff>
      <xdr:row>6</xdr:row>
      <xdr:rowOff>114300</xdr:rowOff>
    </xdr:from>
    <xdr:to>
      <xdr:col>14</xdr:col>
      <xdr:colOff>370623</xdr:colOff>
      <xdr:row>10</xdr:row>
      <xdr:rowOff>153082</xdr:rowOff>
    </xdr:to>
    <xdr:pic>
      <xdr:nvPicPr>
        <xdr:cNvPr id="65" name="Graphic 64" descr="Piggy Bank with solid fill">
          <a:extLst>
            <a:ext uri="{FF2B5EF4-FFF2-40B4-BE49-F238E27FC236}">
              <a16:creationId xmlns:a16="http://schemas.microsoft.com/office/drawing/2014/main" id="{410049BA-EF9A-E67E-9B0F-2683AEF01A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25519" y="1085850"/>
          <a:ext cx="679504" cy="686482"/>
        </a:xfrm>
        <a:prstGeom prst="rect">
          <a:avLst/>
        </a:prstGeom>
      </xdr:spPr>
    </xdr:pic>
    <xdr:clientData/>
  </xdr:twoCellAnchor>
  <xdr:twoCellAnchor editAs="oneCell">
    <xdr:from>
      <xdr:col>18</xdr:col>
      <xdr:colOff>229720</xdr:colOff>
      <xdr:row>13</xdr:row>
      <xdr:rowOff>123265</xdr:rowOff>
    </xdr:from>
    <xdr:to>
      <xdr:col>18</xdr:col>
      <xdr:colOff>580177</xdr:colOff>
      <xdr:row>15</xdr:row>
      <xdr:rowOff>148197</xdr:rowOff>
    </xdr:to>
    <xdr:pic>
      <xdr:nvPicPr>
        <xdr:cNvPr id="67" name="Graphic 66" descr="Ribbon with solid fill">
          <a:extLst>
            <a:ext uri="{FF2B5EF4-FFF2-40B4-BE49-F238E27FC236}">
              <a16:creationId xmlns:a16="http://schemas.microsoft.com/office/drawing/2014/main" id="{03228BE8-A850-6FF5-77EF-1CAA34F31E9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21838" y="2162736"/>
          <a:ext cx="350457" cy="338696"/>
        </a:xfrm>
        <a:prstGeom prst="rect">
          <a:avLst/>
        </a:prstGeom>
      </xdr:spPr>
    </xdr:pic>
    <xdr:clientData/>
  </xdr:twoCellAnchor>
  <xdr:twoCellAnchor editAs="oneCell">
    <xdr:from>
      <xdr:col>15</xdr:col>
      <xdr:colOff>500184</xdr:colOff>
      <xdr:row>13</xdr:row>
      <xdr:rowOff>96838</xdr:rowOff>
    </xdr:from>
    <xdr:to>
      <xdr:col>16</xdr:col>
      <xdr:colOff>224118</xdr:colOff>
      <xdr:row>15</xdr:row>
      <xdr:rowOff>102656</xdr:rowOff>
    </xdr:to>
    <xdr:pic>
      <xdr:nvPicPr>
        <xdr:cNvPr id="69" name="Graphic 68" descr="Trophy with solid fill">
          <a:extLst>
            <a:ext uri="{FF2B5EF4-FFF2-40B4-BE49-F238E27FC236}">
              <a16:creationId xmlns:a16="http://schemas.microsoft.com/office/drawing/2014/main" id="{22D1B646-C85C-00F9-9A06-BC09B587DFD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576949" y="2136309"/>
          <a:ext cx="329051" cy="319582"/>
        </a:xfrm>
        <a:prstGeom prst="rect">
          <a:avLst/>
        </a:prstGeom>
      </xdr:spPr>
    </xdr:pic>
    <xdr:clientData/>
  </xdr:twoCellAnchor>
  <xdr:twoCellAnchor editAs="oneCell">
    <xdr:from>
      <xdr:col>12</xdr:col>
      <xdr:colOff>134471</xdr:colOff>
      <xdr:row>27</xdr:row>
      <xdr:rowOff>95806</xdr:rowOff>
    </xdr:from>
    <xdr:to>
      <xdr:col>12</xdr:col>
      <xdr:colOff>470647</xdr:colOff>
      <xdr:row>29</xdr:row>
      <xdr:rowOff>108696</xdr:rowOff>
    </xdr:to>
    <xdr:pic>
      <xdr:nvPicPr>
        <xdr:cNvPr id="71" name="Graphic 70" descr="Coins with solid fill">
          <a:extLst>
            <a:ext uri="{FF2B5EF4-FFF2-40B4-BE49-F238E27FC236}">
              <a16:creationId xmlns:a16="http://schemas.microsoft.com/office/drawing/2014/main" id="{3EC38B34-357C-FD75-645C-E0A78FCFCDF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395883" y="4331630"/>
          <a:ext cx="336176" cy="326654"/>
        </a:xfrm>
        <a:prstGeom prst="rect">
          <a:avLst/>
        </a:prstGeom>
      </xdr:spPr>
    </xdr:pic>
    <xdr:clientData/>
  </xdr:twoCellAnchor>
  <xdr:twoCellAnchor editAs="oneCell">
    <xdr:from>
      <xdr:col>3</xdr:col>
      <xdr:colOff>1401</xdr:colOff>
      <xdr:row>12</xdr:row>
      <xdr:rowOff>44824</xdr:rowOff>
    </xdr:from>
    <xdr:to>
      <xdr:col>3</xdr:col>
      <xdr:colOff>337657</xdr:colOff>
      <xdr:row>14</xdr:row>
      <xdr:rowOff>56030</xdr:rowOff>
    </xdr:to>
    <xdr:pic>
      <xdr:nvPicPr>
        <xdr:cNvPr id="73" name="Graphic 72" descr="Flip calendar with solid fill">
          <a:extLst>
            <a:ext uri="{FF2B5EF4-FFF2-40B4-BE49-F238E27FC236}">
              <a16:creationId xmlns:a16="http://schemas.microsoft.com/office/drawing/2014/main" id="{10A61CD9-C5B5-FD65-C01E-A994D93341C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816754" y="1927412"/>
          <a:ext cx="336256" cy="324971"/>
        </a:xfrm>
        <a:prstGeom prst="rect">
          <a:avLst/>
        </a:prstGeom>
      </xdr:spPr>
    </xdr:pic>
    <xdr:clientData/>
  </xdr:twoCellAnchor>
  <xdr:twoCellAnchor editAs="oneCell">
    <xdr:from>
      <xdr:col>2</xdr:col>
      <xdr:colOff>565459</xdr:colOff>
      <xdr:row>27</xdr:row>
      <xdr:rowOff>78441</xdr:rowOff>
    </xdr:from>
    <xdr:to>
      <xdr:col>3</xdr:col>
      <xdr:colOff>318990</xdr:colOff>
      <xdr:row>29</xdr:row>
      <xdr:rowOff>107699</xdr:rowOff>
    </xdr:to>
    <xdr:pic>
      <xdr:nvPicPr>
        <xdr:cNvPr id="75" name="Graphic 74" descr="Daily calendar with solid fill">
          <a:extLst>
            <a:ext uri="{FF2B5EF4-FFF2-40B4-BE49-F238E27FC236}">
              <a16:creationId xmlns:a16="http://schemas.microsoft.com/office/drawing/2014/main" id="{2065EDD0-44D5-7CEE-4624-A5D77C7E0B1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775694" y="4314265"/>
          <a:ext cx="358649" cy="343022"/>
        </a:xfrm>
        <a:prstGeom prst="rect">
          <a:avLst/>
        </a:prstGeom>
      </xdr:spPr>
    </xdr:pic>
    <xdr:clientData/>
  </xdr:twoCellAnchor>
  <xdr:twoCellAnchor editAs="oneCell">
    <xdr:from>
      <xdr:col>15</xdr:col>
      <xdr:colOff>291913</xdr:colOff>
      <xdr:row>17</xdr:row>
      <xdr:rowOff>76392</xdr:rowOff>
    </xdr:from>
    <xdr:to>
      <xdr:col>16</xdr:col>
      <xdr:colOff>134470</xdr:colOff>
      <xdr:row>20</xdr:row>
      <xdr:rowOff>45385</xdr:rowOff>
    </xdr:to>
    <xdr:pic>
      <xdr:nvPicPr>
        <xdr:cNvPr id="77" name="Graphic 76" descr="Pyramid with levels with solid fill">
          <a:extLst>
            <a:ext uri="{FF2B5EF4-FFF2-40B4-BE49-F238E27FC236}">
              <a16:creationId xmlns:a16="http://schemas.microsoft.com/office/drawing/2014/main" id="{99641E41-A18E-DDE7-0705-EB74C3400AE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368678" y="2743392"/>
          <a:ext cx="447674" cy="439640"/>
        </a:xfrm>
        <a:prstGeom prst="rect">
          <a:avLst/>
        </a:prstGeom>
      </xdr:spPr>
    </xdr:pic>
    <xdr:clientData/>
  </xdr:twoCellAnchor>
  <xdr:twoCellAnchor editAs="oneCell">
    <xdr:from>
      <xdr:col>8</xdr:col>
      <xdr:colOff>212912</xdr:colOff>
      <xdr:row>12</xdr:row>
      <xdr:rowOff>59174</xdr:rowOff>
    </xdr:from>
    <xdr:to>
      <xdr:col>8</xdr:col>
      <xdr:colOff>575422</xdr:colOff>
      <xdr:row>14</xdr:row>
      <xdr:rowOff>101414</xdr:rowOff>
    </xdr:to>
    <xdr:pic>
      <xdr:nvPicPr>
        <xdr:cNvPr id="79" name="Graphic 78" descr="Continuous Improvement with solid fill">
          <a:extLst>
            <a:ext uri="{FF2B5EF4-FFF2-40B4-BE49-F238E27FC236}">
              <a16:creationId xmlns:a16="http://schemas.microsoft.com/office/drawing/2014/main" id="{56C28921-5B91-B971-0CD2-2BC84FB1D71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053853" y="1941762"/>
          <a:ext cx="362510" cy="356005"/>
        </a:xfrm>
        <a:prstGeom prst="rect">
          <a:avLst/>
        </a:prstGeom>
      </xdr:spPr>
    </xdr:pic>
    <xdr:clientData/>
  </xdr:twoCellAnchor>
  <xdr:twoCellAnchor editAs="oneCell">
    <xdr:from>
      <xdr:col>12</xdr:col>
      <xdr:colOff>216834</xdr:colOff>
      <xdr:row>12</xdr:row>
      <xdr:rowOff>89647</xdr:rowOff>
    </xdr:from>
    <xdr:to>
      <xdr:col>12</xdr:col>
      <xdr:colOff>531095</xdr:colOff>
      <xdr:row>14</xdr:row>
      <xdr:rowOff>81242</xdr:rowOff>
    </xdr:to>
    <xdr:pic>
      <xdr:nvPicPr>
        <xdr:cNvPr id="81" name="Graphic 80" descr="Register with solid fill">
          <a:extLst>
            <a:ext uri="{FF2B5EF4-FFF2-40B4-BE49-F238E27FC236}">
              <a16:creationId xmlns:a16="http://schemas.microsoft.com/office/drawing/2014/main" id="{098B41CD-3B3F-E1CE-EB23-FB620501D7D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478246" y="1972235"/>
          <a:ext cx="314261" cy="305360"/>
        </a:xfrm>
        <a:prstGeom prst="rect">
          <a:avLst/>
        </a:prstGeom>
      </xdr:spPr>
    </xdr:pic>
    <xdr:clientData/>
  </xdr:twoCellAnchor>
  <xdr:twoCellAnchor editAs="oneCell">
    <xdr:from>
      <xdr:col>17</xdr:col>
      <xdr:colOff>207691</xdr:colOff>
      <xdr:row>0</xdr:row>
      <xdr:rowOff>67235</xdr:rowOff>
    </xdr:from>
    <xdr:to>
      <xdr:col>19</xdr:col>
      <xdr:colOff>392205</xdr:colOff>
      <xdr:row>5</xdr:row>
      <xdr:rowOff>123264</xdr:rowOff>
    </xdr:to>
    <xdr:pic>
      <xdr:nvPicPr>
        <xdr:cNvPr id="84" name="Picture 83">
          <a:extLst>
            <a:ext uri="{FF2B5EF4-FFF2-40B4-BE49-F238E27FC236}">
              <a16:creationId xmlns:a16="http://schemas.microsoft.com/office/drawing/2014/main" id="{ECBF5F84-942C-549A-841E-167C97C8895D}"/>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494691" y="67235"/>
          <a:ext cx="1394749" cy="840441"/>
        </a:xfrm>
        <a:prstGeom prst="rect">
          <a:avLst/>
        </a:prstGeom>
      </xdr:spPr>
    </xdr:pic>
    <xdr:clientData/>
  </xdr:twoCellAnchor>
  <xdr:twoCellAnchor>
    <xdr:from>
      <xdr:col>1</xdr:col>
      <xdr:colOff>392204</xdr:colOff>
      <xdr:row>0</xdr:row>
      <xdr:rowOff>134471</xdr:rowOff>
    </xdr:from>
    <xdr:to>
      <xdr:col>6</xdr:col>
      <xdr:colOff>414617</xdr:colOff>
      <xdr:row>3</xdr:row>
      <xdr:rowOff>89647</xdr:rowOff>
    </xdr:to>
    <xdr:sp macro="" textlink="">
      <xdr:nvSpPr>
        <xdr:cNvPr id="87" name="TextBox 86">
          <a:extLst>
            <a:ext uri="{FF2B5EF4-FFF2-40B4-BE49-F238E27FC236}">
              <a16:creationId xmlns:a16="http://schemas.microsoft.com/office/drawing/2014/main" id="{B94C9262-E789-71E6-B708-E32E2B0E08E8}"/>
            </a:ext>
          </a:extLst>
        </xdr:cNvPr>
        <xdr:cNvSpPr txBox="1"/>
      </xdr:nvSpPr>
      <xdr:spPr>
        <a:xfrm>
          <a:off x="997322" y="134471"/>
          <a:ext cx="3048001" cy="42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Sales Dashboard</a:t>
          </a:r>
        </a:p>
        <a:p>
          <a:endParaRPr lang="en-US" sz="2400" b="1">
            <a:solidFill>
              <a:schemeClr val="bg1"/>
            </a:solidFill>
          </a:endParaRPr>
        </a:p>
      </xdr:txBody>
    </xdr:sp>
    <xdr:clientData/>
  </xdr:twoCellAnchor>
  <xdr:twoCellAnchor>
    <xdr:from>
      <xdr:col>1</xdr:col>
      <xdr:colOff>410133</xdr:colOff>
      <xdr:row>3</xdr:row>
      <xdr:rowOff>40342</xdr:rowOff>
    </xdr:from>
    <xdr:to>
      <xdr:col>6</xdr:col>
      <xdr:colOff>432546</xdr:colOff>
      <xdr:row>4</xdr:row>
      <xdr:rowOff>141195</xdr:rowOff>
    </xdr:to>
    <xdr:sp macro="" textlink="">
      <xdr:nvSpPr>
        <xdr:cNvPr id="88" name="TextBox 87">
          <a:extLst>
            <a:ext uri="{FF2B5EF4-FFF2-40B4-BE49-F238E27FC236}">
              <a16:creationId xmlns:a16="http://schemas.microsoft.com/office/drawing/2014/main" id="{8A0DD283-568F-43F7-B408-07E0966DDBA5}"/>
            </a:ext>
          </a:extLst>
        </xdr:cNvPr>
        <xdr:cNvSpPr txBox="1"/>
      </xdr:nvSpPr>
      <xdr:spPr>
        <a:xfrm>
          <a:off x="1015251" y="510989"/>
          <a:ext cx="3048001"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solidFill>
            </a:rPr>
            <a:t>MotorPH</a:t>
          </a:r>
        </a:p>
      </xdr:txBody>
    </xdr:sp>
    <xdr:clientData/>
  </xdr:twoCellAnchor>
  <xdr:twoCellAnchor>
    <xdr:from>
      <xdr:col>3</xdr:col>
      <xdr:colOff>432545</xdr:colOff>
      <xdr:row>12</xdr:row>
      <xdr:rowOff>96372</xdr:rowOff>
    </xdr:from>
    <xdr:to>
      <xdr:col>6</xdr:col>
      <xdr:colOff>89647</xdr:colOff>
      <xdr:row>14</xdr:row>
      <xdr:rowOff>33618</xdr:rowOff>
    </xdr:to>
    <xdr:sp macro="" textlink="">
      <xdr:nvSpPr>
        <xdr:cNvPr id="89" name="TextBox 88">
          <a:extLst>
            <a:ext uri="{FF2B5EF4-FFF2-40B4-BE49-F238E27FC236}">
              <a16:creationId xmlns:a16="http://schemas.microsoft.com/office/drawing/2014/main" id="{8755C377-21B8-4304-B90D-69FF1E850F8B}"/>
            </a:ext>
          </a:extLst>
        </xdr:cNvPr>
        <xdr:cNvSpPr txBox="1"/>
      </xdr:nvSpPr>
      <xdr:spPr>
        <a:xfrm>
          <a:off x="2247898" y="1978960"/>
          <a:ext cx="1472455"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Monthly</a:t>
          </a:r>
        </a:p>
      </xdr:txBody>
    </xdr:sp>
    <xdr:clientData/>
  </xdr:twoCellAnchor>
  <xdr:twoCellAnchor>
    <xdr:from>
      <xdr:col>15</xdr:col>
      <xdr:colOff>293594</xdr:colOff>
      <xdr:row>6</xdr:row>
      <xdr:rowOff>69477</xdr:rowOff>
    </xdr:from>
    <xdr:to>
      <xdr:col>16</xdr:col>
      <xdr:colOff>481855</xdr:colOff>
      <xdr:row>9</xdr:row>
      <xdr:rowOff>44823</xdr:rowOff>
    </xdr:to>
    <xdr:sp macro="" textlink="">
      <xdr:nvSpPr>
        <xdr:cNvPr id="90" name="TextBox 89">
          <a:extLst>
            <a:ext uri="{FF2B5EF4-FFF2-40B4-BE49-F238E27FC236}">
              <a16:creationId xmlns:a16="http://schemas.microsoft.com/office/drawing/2014/main" id="{70D95BAA-1051-4141-84D6-E5D12ED98C8E}"/>
            </a:ext>
          </a:extLst>
        </xdr:cNvPr>
        <xdr:cNvSpPr txBox="1"/>
      </xdr:nvSpPr>
      <xdr:spPr>
        <a:xfrm>
          <a:off x="9370359" y="1010771"/>
          <a:ext cx="793378" cy="445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3"/>
              </a:solidFill>
            </a:rPr>
            <a:t>Top Product</a:t>
          </a:r>
        </a:p>
      </xdr:txBody>
    </xdr:sp>
    <xdr:clientData/>
  </xdr:twoCellAnchor>
  <xdr:twoCellAnchor>
    <xdr:from>
      <xdr:col>3</xdr:col>
      <xdr:colOff>289110</xdr:colOff>
      <xdr:row>27</xdr:row>
      <xdr:rowOff>98612</xdr:rowOff>
    </xdr:from>
    <xdr:to>
      <xdr:col>8</xdr:col>
      <xdr:colOff>311523</xdr:colOff>
      <xdr:row>29</xdr:row>
      <xdr:rowOff>42583</xdr:rowOff>
    </xdr:to>
    <xdr:sp macro="" textlink="">
      <xdr:nvSpPr>
        <xdr:cNvPr id="91" name="TextBox 90">
          <a:extLst>
            <a:ext uri="{FF2B5EF4-FFF2-40B4-BE49-F238E27FC236}">
              <a16:creationId xmlns:a16="http://schemas.microsoft.com/office/drawing/2014/main" id="{401701A0-B573-4DF7-89CA-9F74FDE82665}"/>
            </a:ext>
          </a:extLst>
        </xdr:cNvPr>
        <xdr:cNvSpPr txBox="1"/>
      </xdr:nvSpPr>
      <xdr:spPr>
        <a:xfrm>
          <a:off x="2104463" y="4334436"/>
          <a:ext cx="3048001"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Daily</a:t>
          </a:r>
        </a:p>
      </xdr:txBody>
    </xdr:sp>
    <xdr:clientData/>
  </xdr:twoCellAnchor>
  <xdr:twoCellAnchor>
    <xdr:from>
      <xdr:col>12</xdr:col>
      <xdr:colOff>519951</xdr:colOff>
      <xdr:row>12</xdr:row>
      <xdr:rowOff>150161</xdr:rowOff>
    </xdr:from>
    <xdr:to>
      <xdr:col>14</xdr:col>
      <xdr:colOff>437029</xdr:colOff>
      <xdr:row>14</xdr:row>
      <xdr:rowOff>56029</xdr:rowOff>
    </xdr:to>
    <xdr:sp macro="" textlink="">
      <xdr:nvSpPr>
        <xdr:cNvPr id="92" name="TextBox 91">
          <a:extLst>
            <a:ext uri="{FF2B5EF4-FFF2-40B4-BE49-F238E27FC236}">
              <a16:creationId xmlns:a16="http://schemas.microsoft.com/office/drawing/2014/main" id="{9302E840-BBFE-44CC-9CDF-38C3BCF4DD97}"/>
            </a:ext>
          </a:extLst>
        </xdr:cNvPr>
        <xdr:cNvSpPr txBox="1"/>
      </xdr:nvSpPr>
      <xdr:spPr>
        <a:xfrm>
          <a:off x="7781363" y="2032749"/>
          <a:ext cx="1127313" cy="21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Sales</a:t>
          </a:r>
          <a:r>
            <a:rPr lang="en-US" sz="1100" b="1" baseline="0">
              <a:solidFill>
                <a:schemeClr val="bg1"/>
              </a:solidFill>
            </a:rPr>
            <a:t> Type</a:t>
          </a:r>
          <a:endParaRPr lang="en-US" sz="1100" b="1">
            <a:solidFill>
              <a:schemeClr val="bg1"/>
            </a:solidFill>
          </a:endParaRPr>
        </a:p>
      </xdr:txBody>
    </xdr:sp>
    <xdr:clientData/>
  </xdr:twoCellAnchor>
  <xdr:twoCellAnchor>
    <xdr:from>
      <xdr:col>12</xdr:col>
      <xdr:colOff>437027</xdr:colOff>
      <xdr:row>27</xdr:row>
      <xdr:rowOff>123265</xdr:rowOff>
    </xdr:from>
    <xdr:to>
      <xdr:col>14</xdr:col>
      <xdr:colOff>481852</xdr:colOff>
      <xdr:row>29</xdr:row>
      <xdr:rowOff>89647</xdr:rowOff>
    </xdr:to>
    <xdr:sp macro="" textlink="">
      <xdr:nvSpPr>
        <xdr:cNvPr id="93" name="TextBox 92">
          <a:extLst>
            <a:ext uri="{FF2B5EF4-FFF2-40B4-BE49-F238E27FC236}">
              <a16:creationId xmlns:a16="http://schemas.microsoft.com/office/drawing/2014/main" id="{846EC057-0F6C-49CA-A156-5011AFFD1C79}"/>
            </a:ext>
          </a:extLst>
        </xdr:cNvPr>
        <xdr:cNvSpPr txBox="1"/>
      </xdr:nvSpPr>
      <xdr:spPr>
        <a:xfrm>
          <a:off x="7698439" y="4359089"/>
          <a:ext cx="1255060" cy="28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Payment Mode</a:t>
          </a:r>
        </a:p>
      </xdr:txBody>
    </xdr:sp>
    <xdr:clientData/>
  </xdr:twoCellAnchor>
  <xdr:twoCellAnchor>
    <xdr:from>
      <xdr:col>2</xdr:col>
      <xdr:colOff>410766</xdr:colOff>
      <xdr:row>6</xdr:row>
      <xdr:rowOff>88527</xdr:rowOff>
    </xdr:from>
    <xdr:to>
      <xdr:col>4</xdr:col>
      <xdr:colOff>298708</xdr:colOff>
      <xdr:row>7</xdr:row>
      <xdr:rowOff>153590</xdr:rowOff>
    </xdr:to>
    <xdr:sp macro="" textlink="">
      <xdr:nvSpPr>
        <xdr:cNvPr id="94" name="TextBox 93">
          <a:extLst>
            <a:ext uri="{FF2B5EF4-FFF2-40B4-BE49-F238E27FC236}">
              <a16:creationId xmlns:a16="http://schemas.microsoft.com/office/drawing/2014/main" id="{204B64A8-6449-4D67-9F59-8B6FAD8648D8}"/>
            </a:ext>
          </a:extLst>
        </xdr:cNvPr>
        <xdr:cNvSpPr txBox="1"/>
      </xdr:nvSpPr>
      <xdr:spPr>
        <a:xfrm>
          <a:off x="1629966" y="1060077"/>
          <a:ext cx="1107142" cy="226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3"/>
              </a:solidFill>
            </a:rPr>
            <a:t>Total Sales</a:t>
          </a:r>
        </a:p>
      </xdr:txBody>
    </xdr:sp>
    <xdr:clientData/>
  </xdr:twoCellAnchor>
  <xdr:twoCellAnchor>
    <xdr:from>
      <xdr:col>16</xdr:col>
      <xdr:colOff>192739</xdr:colOff>
      <xdr:row>18</xdr:row>
      <xdr:rowOff>35860</xdr:rowOff>
    </xdr:from>
    <xdr:to>
      <xdr:col>19</xdr:col>
      <xdr:colOff>123265</xdr:colOff>
      <xdr:row>19</xdr:row>
      <xdr:rowOff>123264</xdr:rowOff>
    </xdr:to>
    <xdr:sp macro="" textlink="">
      <xdr:nvSpPr>
        <xdr:cNvPr id="95" name="TextBox 94">
          <a:extLst>
            <a:ext uri="{FF2B5EF4-FFF2-40B4-BE49-F238E27FC236}">
              <a16:creationId xmlns:a16="http://schemas.microsoft.com/office/drawing/2014/main" id="{B1316B40-7A25-4251-B84A-F6DF0FA19008}"/>
            </a:ext>
          </a:extLst>
        </xdr:cNvPr>
        <xdr:cNvSpPr txBox="1"/>
      </xdr:nvSpPr>
      <xdr:spPr>
        <a:xfrm>
          <a:off x="9874621" y="2859742"/>
          <a:ext cx="1745879" cy="2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Category</a:t>
          </a:r>
        </a:p>
      </xdr:txBody>
    </xdr:sp>
    <xdr:clientData/>
  </xdr:twoCellAnchor>
  <xdr:twoCellAnchor>
    <xdr:from>
      <xdr:col>6</xdr:col>
      <xdr:colOff>441511</xdr:colOff>
      <xdr:row>6</xdr:row>
      <xdr:rowOff>87967</xdr:rowOff>
    </xdr:from>
    <xdr:to>
      <xdr:col>8</xdr:col>
      <xdr:colOff>329454</xdr:colOff>
      <xdr:row>8</xdr:row>
      <xdr:rowOff>114860</xdr:rowOff>
    </xdr:to>
    <xdr:sp macro="" textlink="">
      <xdr:nvSpPr>
        <xdr:cNvPr id="96" name="TextBox 95">
          <a:extLst>
            <a:ext uri="{FF2B5EF4-FFF2-40B4-BE49-F238E27FC236}">
              <a16:creationId xmlns:a16="http://schemas.microsoft.com/office/drawing/2014/main" id="{FAC319F3-BF7D-4620-80B0-D97476E7972C}"/>
            </a:ext>
          </a:extLst>
        </xdr:cNvPr>
        <xdr:cNvSpPr txBox="1"/>
      </xdr:nvSpPr>
      <xdr:spPr>
        <a:xfrm>
          <a:off x="4099111" y="1059517"/>
          <a:ext cx="1107143" cy="35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3"/>
              </a:solidFill>
            </a:rPr>
            <a:t>Total Profit</a:t>
          </a:r>
        </a:p>
      </xdr:txBody>
    </xdr:sp>
    <xdr:clientData/>
  </xdr:twoCellAnchor>
  <xdr:twoCellAnchor>
    <xdr:from>
      <xdr:col>10</xdr:col>
      <xdr:colOff>553010</xdr:colOff>
      <xdr:row>6</xdr:row>
      <xdr:rowOff>103655</xdr:rowOff>
    </xdr:from>
    <xdr:to>
      <xdr:col>12</xdr:col>
      <xdr:colOff>440953</xdr:colOff>
      <xdr:row>8</xdr:row>
      <xdr:rowOff>135591</xdr:rowOff>
    </xdr:to>
    <xdr:sp macro="" textlink="">
      <xdr:nvSpPr>
        <xdr:cNvPr id="97" name="TextBox 96">
          <a:extLst>
            <a:ext uri="{FF2B5EF4-FFF2-40B4-BE49-F238E27FC236}">
              <a16:creationId xmlns:a16="http://schemas.microsoft.com/office/drawing/2014/main" id="{BD92F6D4-3F85-4231-94CA-29F6E6DE9A50}"/>
            </a:ext>
          </a:extLst>
        </xdr:cNvPr>
        <xdr:cNvSpPr txBox="1"/>
      </xdr:nvSpPr>
      <xdr:spPr>
        <a:xfrm>
          <a:off x="6649010" y="1075205"/>
          <a:ext cx="1107143" cy="35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3"/>
              </a:solidFill>
            </a:rPr>
            <a:t>Profit %</a:t>
          </a:r>
        </a:p>
      </xdr:txBody>
    </xdr:sp>
    <xdr:clientData/>
  </xdr:twoCellAnchor>
  <xdr:twoCellAnchor>
    <xdr:from>
      <xdr:col>8</xdr:col>
      <xdr:colOff>600633</xdr:colOff>
      <xdr:row>12</xdr:row>
      <xdr:rowOff>118784</xdr:rowOff>
    </xdr:from>
    <xdr:to>
      <xdr:col>10</xdr:col>
      <xdr:colOff>488576</xdr:colOff>
      <xdr:row>14</xdr:row>
      <xdr:rowOff>145677</xdr:rowOff>
    </xdr:to>
    <xdr:sp macro="" textlink="">
      <xdr:nvSpPr>
        <xdr:cNvPr id="98" name="TextBox 97">
          <a:extLst>
            <a:ext uri="{FF2B5EF4-FFF2-40B4-BE49-F238E27FC236}">
              <a16:creationId xmlns:a16="http://schemas.microsoft.com/office/drawing/2014/main" id="{059F99ED-6368-457D-896D-042018D15C10}"/>
            </a:ext>
          </a:extLst>
        </xdr:cNvPr>
        <xdr:cNvSpPr txBox="1"/>
      </xdr:nvSpPr>
      <xdr:spPr>
        <a:xfrm>
          <a:off x="5441574" y="2001372"/>
          <a:ext cx="1098178"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Product</a:t>
          </a:r>
        </a:p>
      </xdr:txBody>
    </xdr:sp>
    <xdr:clientData/>
  </xdr:twoCellAnchor>
  <xdr:twoCellAnchor>
    <xdr:from>
      <xdr:col>18</xdr:col>
      <xdr:colOff>20170</xdr:colOff>
      <xdr:row>6</xdr:row>
      <xdr:rowOff>70168</xdr:rowOff>
    </xdr:from>
    <xdr:to>
      <xdr:col>19</xdr:col>
      <xdr:colOff>208431</xdr:colOff>
      <xdr:row>9</xdr:row>
      <xdr:rowOff>45514</xdr:rowOff>
    </xdr:to>
    <xdr:sp macro="" textlink="">
      <xdr:nvSpPr>
        <xdr:cNvPr id="100" name="TextBox 99">
          <a:extLst>
            <a:ext uri="{FF2B5EF4-FFF2-40B4-BE49-F238E27FC236}">
              <a16:creationId xmlns:a16="http://schemas.microsoft.com/office/drawing/2014/main" id="{E73C38A8-B80F-46BE-88D5-3B86DC16E00E}"/>
            </a:ext>
          </a:extLst>
        </xdr:cNvPr>
        <xdr:cNvSpPr txBox="1"/>
      </xdr:nvSpPr>
      <xdr:spPr>
        <a:xfrm>
          <a:off x="10966593" y="1037322"/>
          <a:ext cx="796396" cy="45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3"/>
              </a:solidFill>
            </a:rPr>
            <a:t>Top Category</a:t>
          </a:r>
        </a:p>
      </xdr:txBody>
    </xdr:sp>
    <xdr:clientData/>
  </xdr:twoCellAnchor>
  <xdr:twoCellAnchor>
    <xdr:from>
      <xdr:col>2</xdr:col>
      <xdr:colOff>352425</xdr:colOff>
      <xdr:row>7</xdr:row>
      <xdr:rowOff>141194</xdr:rowOff>
    </xdr:from>
    <xdr:to>
      <xdr:col>5</xdr:col>
      <xdr:colOff>400050</xdr:colOff>
      <xdr:row>10</xdr:row>
      <xdr:rowOff>76200</xdr:rowOff>
    </xdr:to>
    <xdr:sp macro="" textlink="'Sales Analysis'!E5">
      <xdr:nvSpPr>
        <xdr:cNvPr id="101" name="TextBox 100">
          <a:extLst>
            <a:ext uri="{FF2B5EF4-FFF2-40B4-BE49-F238E27FC236}">
              <a16:creationId xmlns:a16="http://schemas.microsoft.com/office/drawing/2014/main" id="{FE1D40F6-77B7-4BBA-AAA6-5964895B2752}"/>
            </a:ext>
          </a:extLst>
        </xdr:cNvPr>
        <xdr:cNvSpPr txBox="1"/>
      </xdr:nvSpPr>
      <xdr:spPr>
        <a:xfrm>
          <a:off x="1571625" y="1274669"/>
          <a:ext cx="1876425" cy="42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FF692D-8728-4473-8596-81032182878F}" type="TxLink">
            <a:rPr lang="en-US" sz="1800" b="1" i="0" u="none" strike="noStrike">
              <a:solidFill>
                <a:schemeClr val="bg1"/>
              </a:solidFill>
              <a:latin typeface="Nunito"/>
            </a:rPr>
            <a:pPr/>
            <a:t>₱4,445,561,800</a:t>
          </a:fld>
          <a:endParaRPr lang="en-US" sz="2400" b="1">
            <a:solidFill>
              <a:schemeClr val="bg1"/>
            </a:solidFill>
          </a:endParaRPr>
        </a:p>
      </xdr:txBody>
    </xdr:sp>
    <xdr:clientData/>
  </xdr:twoCellAnchor>
  <xdr:twoCellAnchor>
    <xdr:from>
      <xdr:col>6</xdr:col>
      <xdr:colOff>398930</xdr:colOff>
      <xdr:row>8</xdr:row>
      <xdr:rowOff>8405</xdr:rowOff>
    </xdr:from>
    <xdr:to>
      <xdr:col>9</xdr:col>
      <xdr:colOff>552450</xdr:colOff>
      <xdr:row>10</xdr:row>
      <xdr:rowOff>40341</xdr:rowOff>
    </xdr:to>
    <xdr:sp macro="" textlink="'Sales Analysis'!E6">
      <xdr:nvSpPr>
        <xdr:cNvPr id="102" name="TextBox 101">
          <a:extLst>
            <a:ext uri="{FF2B5EF4-FFF2-40B4-BE49-F238E27FC236}">
              <a16:creationId xmlns:a16="http://schemas.microsoft.com/office/drawing/2014/main" id="{286A2AE0-7D4C-4A18-8C03-5EA478B877A2}"/>
            </a:ext>
          </a:extLst>
        </xdr:cNvPr>
        <xdr:cNvSpPr txBox="1"/>
      </xdr:nvSpPr>
      <xdr:spPr>
        <a:xfrm>
          <a:off x="4056530" y="1303805"/>
          <a:ext cx="1982320" cy="35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1F40BA-2635-4B3A-BF4B-E6625A6A61DB}" type="TxLink">
            <a:rPr lang="en-US" sz="1800" b="1" i="0" u="none" strike="noStrike">
              <a:solidFill>
                <a:schemeClr val="bg1"/>
              </a:solidFill>
              <a:latin typeface="Nunito"/>
            </a:rPr>
            <a:pPr/>
            <a:t>₱1,039,323,079</a:t>
          </a:fld>
          <a:endParaRPr lang="en-US" sz="2400" b="1">
            <a:solidFill>
              <a:schemeClr val="bg1"/>
            </a:solidFill>
          </a:endParaRPr>
        </a:p>
      </xdr:txBody>
    </xdr:sp>
    <xdr:clientData/>
  </xdr:twoCellAnchor>
  <xdr:twoCellAnchor>
    <xdr:from>
      <xdr:col>11</xdr:col>
      <xdr:colOff>584948</xdr:colOff>
      <xdr:row>8</xdr:row>
      <xdr:rowOff>15128</xdr:rowOff>
    </xdr:from>
    <xdr:to>
      <xdr:col>13</xdr:col>
      <xdr:colOff>472891</xdr:colOff>
      <xdr:row>10</xdr:row>
      <xdr:rowOff>47064</xdr:rowOff>
    </xdr:to>
    <xdr:sp macro="" textlink="'Sales Analysis'!E7">
      <xdr:nvSpPr>
        <xdr:cNvPr id="103" name="TextBox 102">
          <a:extLst>
            <a:ext uri="{FF2B5EF4-FFF2-40B4-BE49-F238E27FC236}">
              <a16:creationId xmlns:a16="http://schemas.microsoft.com/office/drawing/2014/main" id="{57D403C7-6984-49BE-A4B2-EADB5445348A}"/>
            </a:ext>
          </a:extLst>
        </xdr:cNvPr>
        <xdr:cNvSpPr txBox="1"/>
      </xdr:nvSpPr>
      <xdr:spPr>
        <a:xfrm>
          <a:off x="7290548" y="1310528"/>
          <a:ext cx="1107143" cy="35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D511C6-F4C9-405D-A218-81F74726F42E}" type="TxLink">
            <a:rPr lang="en-US" sz="1800" b="1" i="0" u="none" strike="noStrike">
              <a:solidFill>
                <a:schemeClr val="bg1"/>
              </a:solidFill>
              <a:latin typeface="Arial"/>
              <a:cs typeface="Arial"/>
            </a:rPr>
            <a:pPr/>
            <a:t>31%</a:t>
          </a:fld>
          <a:endParaRPr lang="en-US" sz="2400" b="1">
            <a:solidFill>
              <a:schemeClr val="bg1"/>
            </a:solidFill>
          </a:endParaRPr>
        </a:p>
      </xdr:txBody>
    </xdr:sp>
    <xdr:clientData/>
  </xdr:twoCellAnchor>
  <xdr:twoCellAnchor>
    <xdr:from>
      <xdr:col>15</xdr:col>
      <xdr:colOff>228600</xdr:colOff>
      <xdr:row>9</xdr:row>
      <xdr:rowOff>67236</xdr:rowOff>
    </xdr:from>
    <xdr:to>
      <xdr:col>16</xdr:col>
      <xdr:colOff>542925</xdr:colOff>
      <xdr:row>12</xdr:row>
      <xdr:rowOff>1</xdr:rowOff>
    </xdr:to>
    <xdr:sp macro="" textlink="'Sales Analysis'!V1">
      <xdr:nvSpPr>
        <xdr:cNvPr id="104" name="TextBox 103">
          <a:extLst>
            <a:ext uri="{FF2B5EF4-FFF2-40B4-BE49-F238E27FC236}">
              <a16:creationId xmlns:a16="http://schemas.microsoft.com/office/drawing/2014/main" id="{FF6019CC-6B7D-4283-87FA-D3D7C4063244}"/>
            </a:ext>
          </a:extLst>
        </xdr:cNvPr>
        <xdr:cNvSpPr txBox="1"/>
      </xdr:nvSpPr>
      <xdr:spPr>
        <a:xfrm>
          <a:off x="9372600" y="1524561"/>
          <a:ext cx="923925" cy="418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CF95E8-14E5-4D84-9F5C-5DCAC80D8740}" type="TxLink">
            <a:rPr lang="en-US" sz="1050" b="1" i="0" u="none" strike="noStrike">
              <a:solidFill>
                <a:schemeClr val="bg1"/>
              </a:solidFill>
              <a:latin typeface="Arial"/>
              <a:cs typeface="Arial"/>
            </a:rPr>
            <a:pPr algn="ctr"/>
            <a:t>Moto Guzzi V7 Stone</a:t>
          </a:fld>
          <a:endParaRPr lang="en-US" sz="1200" b="1">
            <a:solidFill>
              <a:schemeClr val="bg1"/>
            </a:solidFill>
          </a:endParaRPr>
        </a:p>
      </xdr:txBody>
    </xdr:sp>
    <xdr:clientData/>
  </xdr:twoCellAnchor>
  <xdr:twoCellAnchor>
    <xdr:from>
      <xdr:col>17</xdr:col>
      <xdr:colOff>604084</xdr:colOff>
      <xdr:row>10</xdr:row>
      <xdr:rowOff>1122</xdr:rowOff>
    </xdr:from>
    <xdr:to>
      <xdr:col>19</xdr:col>
      <xdr:colOff>220067</xdr:colOff>
      <xdr:row>11</xdr:row>
      <xdr:rowOff>131886</xdr:rowOff>
    </xdr:to>
    <xdr:sp macro="" textlink="'Sales Analysis'!AJ1">
      <xdr:nvSpPr>
        <xdr:cNvPr id="105" name="TextBox 104">
          <a:extLst>
            <a:ext uri="{FF2B5EF4-FFF2-40B4-BE49-F238E27FC236}">
              <a16:creationId xmlns:a16="http://schemas.microsoft.com/office/drawing/2014/main" id="{FEC6981A-023E-4624-9499-AC149F88B0C0}"/>
            </a:ext>
          </a:extLst>
        </xdr:cNvPr>
        <xdr:cNvSpPr txBox="1"/>
      </xdr:nvSpPr>
      <xdr:spPr>
        <a:xfrm>
          <a:off x="10942372" y="1613045"/>
          <a:ext cx="832253" cy="291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336180-86E5-446A-BFA0-B1C5EDEE3A54}" type="TxLink">
            <a:rPr lang="en-US" sz="1100" b="1" i="0" u="none" strike="noStrike">
              <a:solidFill>
                <a:schemeClr val="bg1"/>
              </a:solidFill>
              <a:latin typeface="Arial"/>
              <a:cs typeface="Arial"/>
            </a:rPr>
            <a:pPr algn="ctr"/>
            <a:t>Scooter</a:t>
          </a:fld>
          <a:endParaRPr lang="en-US" sz="1400" b="1">
            <a:solidFill>
              <a:schemeClr val="bg1"/>
            </a:solidFill>
          </a:endParaRPr>
        </a:p>
      </xdr:txBody>
    </xdr:sp>
    <xdr:clientData/>
  </xdr:twoCellAnchor>
  <xdr:twoCellAnchor>
    <xdr:from>
      <xdr:col>15</xdr:col>
      <xdr:colOff>184547</xdr:colOff>
      <xdr:row>11</xdr:row>
      <xdr:rowOff>134191</xdr:rowOff>
    </xdr:from>
    <xdr:to>
      <xdr:col>16</xdr:col>
      <xdr:colOff>600807</xdr:colOff>
      <xdr:row>13</xdr:row>
      <xdr:rowOff>142875</xdr:rowOff>
    </xdr:to>
    <xdr:sp macro="" textlink="'Sales Analysis'!X1">
      <xdr:nvSpPr>
        <xdr:cNvPr id="106" name="TextBox 105">
          <a:extLst>
            <a:ext uri="{FF2B5EF4-FFF2-40B4-BE49-F238E27FC236}">
              <a16:creationId xmlns:a16="http://schemas.microsoft.com/office/drawing/2014/main" id="{F3C21B43-E987-4E7C-A489-54EAC475FC6E}"/>
            </a:ext>
          </a:extLst>
        </xdr:cNvPr>
        <xdr:cNvSpPr txBox="1"/>
      </xdr:nvSpPr>
      <xdr:spPr>
        <a:xfrm>
          <a:off x="9306566" y="1907306"/>
          <a:ext cx="1024395" cy="331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91CD89-A687-43FE-AF4D-9F2AB5059E66}" type="TxLink">
            <a:rPr lang="en-US" sz="1050" b="1" i="0" u="none" strike="noStrike">
              <a:solidFill>
                <a:schemeClr val="bg1"/>
              </a:solidFill>
              <a:latin typeface="Arial"/>
              <a:cs typeface="Arial"/>
            </a:rPr>
            <a:pPr/>
            <a:t>₱317,629,000</a:t>
          </a:fld>
          <a:endParaRPr lang="en-US" sz="1200" b="1">
            <a:solidFill>
              <a:schemeClr val="bg1"/>
            </a:solidFill>
          </a:endParaRPr>
        </a:p>
      </xdr:txBody>
    </xdr:sp>
    <xdr:clientData/>
  </xdr:twoCellAnchor>
  <xdr:twoCellAnchor>
    <xdr:from>
      <xdr:col>17</xdr:col>
      <xdr:colOff>497682</xdr:colOff>
      <xdr:row>11</xdr:row>
      <xdr:rowOff>84184</xdr:rowOff>
    </xdr:from>
    <xdr:to>
      <xdr:col>19</xdr:col>
      <xdr:colOff>315057</xdr:colOff>
      <xdr:row>13</xdr:row>
      <xdr:rowOff>92868</xdr:rowOff>
    </xdr:to>
    <xdr:sp macro="" textlink="'Sales Analysis'!AK1">
      <xdr:nvSpPr>
        <xdr:cNvPr id="107" name="TextBox 106">
          <a:extLst>
            <a:ext uri="{FF2B5EF4-FFF2-40B4-BE49-F238E27FC236}">
              <a16:creationId xmlns:a16="http://schemas.microsoft.com/office/drawing/2014/main" id="{648584F1-5F27-43DB-A54C-EEBDFAB40D3E}"/>
            </a:ext>
          </a:extLst>
        </xdr:cNvPr>
        <xdr:cNvSpPr txBox="1"/>
      </xdr:nvSpPr>
      <xdr:spPr>
        <a:xfrm>
          <a:off x="10835970" y="1857299"/>
          <a:ext cx="1033645" cy="331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98ED6F-212E-48D8-BFE8-10EEC031BDDE}" type="TxLink">
            <a:rPr lang="en-US" sz="1050" b="1" i="0" u="none" strike="noStrike">
              <a:solidFill>
                <a:schemeClr val="bg1"/>
              </a:solidFill>
              <a:latin typeface="Arial"/>
              <a:cs typeface="Arial"/>
            </a:rPr>
            <a:pPr algn="ctr"/>
            <a:t>₱753,773,100</a:t>
          </a:fld>
          <a:endParaRPr lang="en-US" sz="1200" b="1">
            <a:solidFill>
              <a:schemeClr val="bg1"/>
            </a:solidFill>
          </a:endParaRPr>
        </a:p>
      </xdr:txBody>
    </xdr:sp>
    <xdr:clientData/>
  </xdr:twoCellAnchor>
  <xdr:twoCellAnchor>
    <xdr:from>
      <xdr:col>2</xdr:col>
      <xdr:colOff>488674</xdr:colOff>
      <xdr:row>30</xdr:row>
      <xdr:rowOff>33131</xdr:rowOff>
    </xdr:from>
    <xdr:to>
      <xdr:col>11</xdr:col>
      <xdr:colOff>381000</xdr:colOff>
      <xdr:row>40</xdr:row>
      <xdr:rowOff>115956</xdr:rowOff>
    </xdr:to>
    <xdr:graphicFrame macro="">
      <xdr:nvGraphicFramePr>
        <xdr:cNvPr id="109" name="Chart 108">
          <a:extLst>
            <a:ext uri="{FF2B5EF4-FFF2-40B4-BE49-F238E27FC236}">
              <a16:creationId xmlns:a16="http://schemas.microsoft.com/office/drawing/2014/main" id="{636FD51E-2FAC-46A2-84F8-8F5223C63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0</xdr:col>
      <xdr:colOff>257735</xdr:colOff>
      <xdr:row>15</xdr:row>
      <xdr:rowOff>1</xdr:rowOff>
    </xdr:from>
    <xdr:to>
      <xdr:col>2</xdr:col>
      <xdr:colOff>112059</xdr:colOff>
      <xdr:row>26</xdr:row>
      <xdr:rowOff>67236</xdr:rowOff>
    </xdr:to>
    <mc:AlternateContent xmlns:mc="http://schemas.openxmlformats.org/markup-compatibility/2006">
      <mc:Choice xmlns:a14="http://schemas.microsoft.com/office/drawing/2010/main" Requires="a14">
        <xdr:graphicFrame macro="">
          <xdr:nvGraphicFramePr>
            <xdr:cNvPr id="114" name="Month">
              <a:extLst>
                <a:ext uri="{FF2B5EF4-FFF2-40B4-BE49-F238E27FC236}">
                  <a16:creationId xmlns:a16="http://schemas.microsoft.com/office/drawing/2014/main" id="{E1781B6C-09CA-42A2-9348-23E7E8F0E6F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7735" y="2428876"/>
              <a:ext cx="1073524" cy="1848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0</xdr:col>
      <xdr:colOff>201706</xdr:colOff>
      <xdr:row>7</xdr:row>
      <xdr:rowOff>75737</xdr:rowOff>
    </xdr:from>
    <xdr:to>
      <xdr:col>2</xdr:col>
      <xdr:colOff>179294</xdr:colOff>
      <xdr:row>11</xdr:row>
      <xdr:rowOff>134728</xdr:rowOff>
    </xdr:to>
    <mc:AlternateContent xmlns:mc="http://schemas.openxmlformats.org/markup-compatibility/2006">
      <mc:Choice xmlns:a14="http://schemas.microsoft.com/office/drawing/2010/main" Requires="a14">
        <xdr:graphicFrame macro="">
          <xdr:nvGraphicFramePr>
            <xdr:cNvPr id="115" name="Year">
              <a:extLst>
                <a:ext uri="{FF2B5EF4-FFF2-40B4-BE49-F238E27FC236}">
                  <a16:creationId xmlns:a16="http://schemas.microsoft.com/office/drawing/2014/main" id="{CE658580-2DBD-4E9B-873C-90B074E421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1706" y="1209212"/>
              <a:ext cx="1196788" cy="706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12</xdr:col>
      <xdr:colOff>120097</xdr:colOff>
      <xdr:row>0</xdr:row>
      <xdr:rowOff>145676</xdr:rowOff>
    </xdr:from>
    <xdr:to>
      <xdr:col>15</xdr:col>
      <xdr:colOff>201705</xdr:colOff>
      <xdr:row>5</xdr:row>
      <xdr:rowOff>0</xdr:rowOff>
    </xdr:to>
    <mc:AlternateContent xmlns:mc="http://schemas.openxmlformats.org/markup-compatibility/2006">
      <mc:Choice xmlns:a14="http://schemas.microsoft.com/office/drawing/2010/main" Requires="a14">
        <xdr:graphicFrame macro="">
          <xdr:nvGraphicFramePr>
            <xdr:cNvPr id="116" name="Client_Type">
              <a:extLst>
                <a:ext uri="{FF2B5EF4-FFF2-40B4-BE49-F238E27FC236}">
                  <a16:creationId xmlns:a16="http://schemas.microsoft.com/office/drawing/2014/main" id="{78D2AB02-D017-4B7F-BF45-9EB434323BB6}"/>
                </a:ext>
              </a:extLst>
            </xdr:cNvPr>
            <xdr:cNvGraphicFramePr/>
          </xdr:nvGraphicFramePr>
          <xdr:xfrm>
            <a:off x="0" y="0"/>
            <a:ext cx="0" cy="0"/>
          </xdr:xfrm>
          <a:graphic>
            <a:graphicData uri="http://schemas.microsoft.com/office/drawing/2010/slicer">
              <sle:slicer xmlns:sle="http://schemas.microsoft.com/office/drawing/2010/slicer" name="Client_Type"/>
            </a:graphicData>
          </a:graphic>
        </xdr:graphicFrame>
      </mc:Choice>
      <mc:Fallback>
        <xdr:sp macro="" textlink="">
          <xdr:nvSpPr>
            <xdr:cNvPr id="0" name=""/>
            <xdr:cNvSpPr>
              <a:spLocks noTextEdit="1"/>
            </xdr:cNvSpPr>
          </xdr:nvSpPr>
          <xdr:spPr>
            <a:xfrm>
              <a:off x="7435297" y="145676"/>
              <a:ext cx="1910408" cy="66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7</xdr:col>
      <xdr:colOff>257222</xdr:colOff>
      <xdr:row>1</xdr:row>
      <xdr:rowOff>0</xdr:rowOff>
    </xdr:from>
    <xdr:to>
      <xdr:col>11</xdr:col>
      <xdr:colOff>605117</xdr:colOff>
      <xdr:row>5</xdr:row>
      <xdr:rowOff>11206</xdr:rowOff>
    </xdr:to>
    <mc:AlternateContent xmlns:mc="http://schemas.openxmlformats.org/markup-compatibility/2006">
      <mc:Choice xmlns:a14="http://schemas.microsoft.com/office/drawing/2010/main" Requires="a14">
        <xdr:graphicFrame macro="">
          <xdr:nvGraphicFramePr>
            <xdr:cNvPr id="117" name="Payment">
              <a:extLst>
                <a:ext uri="{FF2B5EF4-FFF2-40B4-BE49-F238E27FC236}">
                  <a16:creationId xmlns:a16="http://schemas.microsoft.com/office/drawing/2014/main" id="{859E90A5-A997-4061-877D-73F30D5D684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4524422" y="161925"/>
              <a:ext cx="2786295" cy="658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xdr:from>
      <xdr:col>2</xdr:col>
      <xdr:colOff>481853</xdr:colOff>
      <xdr:row>15</xdr:row>
      <xdr:rowOff>7140</xdr:rowOff>
    </xdr:from>
    <xdr:to>
      <xdr:col>7</xdr:col>
      <xdr:colOff>358588</xdr:colOff>
      <xdr:row>25</xdr:row>
      <xdr:rowOff>56030</xdr:rowOff>
    </xdr:to>
    <xdr:graphicFrame macro="">
      <xdr:nvGraphicFramePr>
        <xdr:cNvPr id="118" name="Chart 117">
          <a:extLst>
            <a:ext uri="{FF2B5EF4-FFF2-40B4-BE49-F238E27FC236}">
              <a16:creationId xmlns:a16="http://schemas.microsoft.com/office/drawing/2014/main" id="{676FBB53-7E89-472E-9AF2-26F1941BD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581025</xdr:colOff>
          <xdr:row>12</xdr:row>
          <xdr:rowOff>104775</xdr:rowOff>
        </xdr:from>
        <xdr:to>
          <xdr:col>6</xdr:col>
          <xdr:colOff>95250</xdr:colOff>
          <xdr:row>13</xdr:row>
          <xdr:rowOff>142875</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457200</xdr:colOff>
          <xdr:row>12</xdr:row>
          <xdr:rowOff>104775</xdr:rowOff>
        </xdr:from>
        <xdr:to>
          <xdr:col>6</xdr:col>
          <xdr:colOff>581025</xdr:colOff>
          <xdr:row>13</xdr:row>
          <xdr:rowOff>152400</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342900</xdr:colOff>
          <xdr:row>12</xdr:row>
          <xdr:rowOff>104775</xdr:rowOff>
        </xdr:from>
        <xdr:to>
          <xdr:col>7</xdr:col>
          <xdr:colOff>457200</xdr:colOff>
          <xdr:row>13</xdr:row>
          <xdr:rowOff>142875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272144</xdr:colOff>
      <xdr:row>21</xdr:row>
      <xdr:rowOff>27214</xdr:rowOff>
    </xdr:from>
    <xdr:to>
      <xdr:col>19</xdr:col>
      <xdr:colOff>367394</xdr:colOff>
      <xdr:row>40</xdr:row>
      <xdr:rowOff>81642</xdr:rowOff>
    </xdr:to>
    <mc:AlternateContent xmlns:mc="http://schemas.openxmlformats.org/markup-compatibility/2006">
      <mc:Choice xmlns:cx1="http://schemas.microsoft.com/office/drawing/2015/9/8/chartex" Requires="cx1">
        <xdr:graphicFrame macro="">
          <xdr:nvGraphicFramePr>
            <xdr:cNvPr id="119" name="Chart 118">
              <a:extLst>
                <a:ext uri="{FF2B5EF4-FFF2-40B4-BE49-F238E27FC236}">
                  <a16:creationId xmlns:a16="http://schemas.microsoft.com/office/drawing/2014/main" id="{E4AD2E75-4785-42CC-9872-99CC435542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9416144" y="3427639"/>
              <a:ext cx="2533650" cy="31310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313765</xdr:colOff>
      <xdr:row>15</xdr:row>
      <xdr:rowOff>56029</xdr:rowOff>
    </xdr:from>
    <xdr:to>
      <xdr:col>11</xdr:col>
      <xdr:colOff>470647</xdr:colOff>
      <xdr:row>25</xdr:row>
      <xdr:rowOff>134470</xdr:rowOff>
    </xdr:to>
    <xdr:graphicFrame macro="">
      <xdr:nvGraphicFramePr>
        <xdr:cNvPr id="120" name="Chart 119">
          <a:extLst>
            <a:ext uri="{FF2B5EF4-FFF2-40B4-BE49-F238E27FC236}">
              <a16:creationId xmlns:a16="http://schemas.microsoft.com/office/drawing/2014/main" id="{323411A9-246D-428C-AEFC-959BE956C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66675</xdr:colOff>
          <xdr:row>15</xdr:row>
          <xdr:rowOff>57150</xdr:rowOff>
        </xdr:from>
        <xdr:to>
          <xdr:col>8</xdr:col>
          <xdr:colOff>257175</xdr:colOff>
          <xdr:row>25</xdr:row>
          <xdr:rowOff>123825</xdr:rowOff>
        </xdr:to>
        <xdr:sp macro="" textlink="">
          <xdr:nvSpPr>
            <xdr:cNvPr id="10262" name="Scroll Bar 22"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12</xdr:col>
      <xdr:colOff>145677</xdr:colOff>
      <xdr:row>15</xdr:row>
      <xdr:rowOff>41900</xdr:rowOff>
    </xdr:from>
    <xdr:to>
      <xdr:col>14</xdr:col>
      <xdr:colOff>470648</xdr:colOff>
      <xdr:row>25</xdr:row>
      <xdr:rowOff>33617</xdr:rowOff>
    </xdr:to>
    <xdr:graphicFrame macro="">
      <xdr:nvGraphicFramePr>
        <xdr:cNvPr id="121" name="Chart 120">
          <a:extLst>
            <a:ext uri="{FF2B5EF4-FFF2-40B4-BE49-F238E27FC236}">
              <a16:creationId xmlns:a16="http://schemas.microsoft.com/office/drawing/2014/main" id="{82D22CDC-9416-415D-B7D7-72DAD914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12</xdr:col>
      <xdr:colOff>112058</xdr:colOff>
      <xdr:row>30</xdr:row>
      <xdr:rowOff>78442</xdr:rowOff>
    </xdr:from>
    <xdr:to>
      <xdr:col>14</xdr:col>
      <xdr:colOff>504265</xdr:colOff>
      <xdr:row>41</xdr:row>
      <xdr:rowOff>22412</xdr:rowOff>
    </xdr:to>
    <xdr:graphicFrame macro="">
      <xdr:nvGraphicFramePr>
        <xdr:cNvPr id="122" name="Chart 121">
          <a:extLst>
            <a:ext uri="{FF2B5EF4-FFF2-40B4-BE49-F238E27FC236}">
              <a16:creationId xmlns:a16="http://schemas.microsoft.com/office/drawing/2014/main" id="{22B84687-5B92-4804-976A-A7F6782D8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0</xdr:col>
      <xdr:colOff>0</xdr:colOff>
      <xdr:row>18</xdr:row>
      <xdr:rowOff>44799</xdr:rowOff>
    </xdr:from>
    <xdr:to>
      <xdr:col>8</xdr:col>
      <xdr:colOff>247650</xdr:colOff>
      <xdr:row>23</xdr:row>
      <xdr:rowOff>149574</xdr:rowOff>
    </xdr:to>
    <xdr:sp macro="" textlink="">
      <xdr:nvSpPr>
        <xdr:cNvPr id="2" name="TextBox 1">
          <a:extLst>
            <a:ext uri="{FF2B5EF4-FFF2-40B4-BE49-F238E27FC236}">
              <a16:creationId xmlns:a16="http://schemas.microsoft.com/office/drawing/2014/main" id="{0BD40CDD-139F-F1B6-ABC4-A4EA8CC6CB01}"/>
            </a:ext>
          </a:extLst>
        </xdr:cNvPr>
        <xdr:cNvSpPr txBox="1"/>
      </xdr:nvSpPr>
      <xdr:spPr>
        <a:xfrm rot="19462498">
          <a:off x="0" y="29594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0</xdr:col>
      <xdr:colOff>266700</xdr:colOff>
      <xdr:row>30</xdr:row>
      <xdr:rowOff>6698</xdr:rowOff>
    </xdr:from>
    <xdr:to>
      <xdr:col>8</xdr:col>
      <xdr:colOff>514350</xdr:colOff>
      <xdr:row>35</xdr:row>
      <xdr:rowOff>111473</xdr:rowOff>
    </xdr:to>
    <xdr:sp macro="" textlink="">
      <xdr:nvSpPr>
        <xdr:cNvPr id="16" name="TextBox 15">
          <a:extLst>
            <a:ext uri="{FF2B5EF4-FFF2-40B4-BE49-F238E27FC236}">
              <a16:creationId xmlns:a16="http://schemas.microsoft.com/office/drawing/2014/main" id="{694FBB5B-D874-47F2-9198-B54041A77DDF}"/>
            </a:ext>
          </a:extLst>
        </xdr:cNvPr>
        <xdr:cNvSpPr txBox="1"/>
      </xdr:nvSpPr>
      <xdr:spPr>
        <a:xfrm rot="19462498">
          <a:off x="266700" y="486444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190500</xdr:colOff>
      <xdr:row>11</xdr:row>
      <xdr:rowOff>92423</xdr:rowOff>
    </xdr:from>
    <xdr:to>
      <xdr:col>16</xdr:col>
      <xdr:colOff>438150</xdr:colOff>
      <xdr:row>17</xdr:row>
      <xdr:rowOff>35273</xdr:rowOff>
    </xdr:to>
    <xdr:sp macro="" textlink="">
      <xdr:nvSpPr>
        <xdr:cNvPr id="17" name="TextBox 16">
          <a:extLst>
            <a:ext uri="{FF2B5EF4-FFF2-40B4-BE49-F238E27FC236}">
              <a16:creationId xmlns:a16="http://schemas.microsoft.com/office/drawing/2014/main" id="{F3465627-3F4F-444D-9B50-9E7B590AA286}"/>
            </a:ext>
          </a:extLst>
        </xdr:cNvPr>
        <xdr:cNvSpPr txBox="1"/>
      </xdr:nvSpPr>
      <xdr:spPr>
        <a:xfrm rot="19462498">
          <a:off x="5067300" y="187359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581025</xdr:colOff>
      <xdr:row>8</xdr:row>
      <xdr:rowOff>111472</xdr:rowOff>
    </xdr:from>
    <xdr:to>
      <xdr:col>21</xdr:col>
      <xdr:colOff>219075</xdr:colOff>
      <xdr:row>14</xdr:row>
      <xdr:rowOff>54322</xdr:rowOff>
    </xdr:to>
    <xdr:sp macro="" textlink="">
      <xdr:nvSpPr>
        <xdr:cNvPr id="18" name="TextBox 17">
          <a:extLst>
            <a:ext uri="{FF2B5EF4-FFF2-40B4-BE49-F238E27FC236}">
              <a16:creationId xmlns:a16="http://schemas.microsoft.com/office/drawing/2014/main" id="{8B7332F4-9F47-46BE-9904-125634E09008}"/>
            </a:ext>
          </a:extLst>
        </xdr:cNvPr>
        <xdr:cNvSpPr txBox="1"/>
      </xdr:nvSpPr>
      <xdr:spPr>
        <a:xfrm rot="19462498">
          <a:off x="7896225" y="140687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4</xdr:col>
      <xdr:colOff>561975</xdr:colOff>
      <xdr:row>32</xdr:row>
      <xdr:rowOff>73372</xdr:rowOff>
    </xdr:from>
    <xdr:to>
      <xdr:col>13</xdr:col>
      <xdr:colOff>200025</xdr:colOff>
      <xdr:row>38</xdr:row>
      <xdr:rowOff>16222</xdr:rowOff>
    </xdr:to>
    <xdr:sp macro="" textlink="">
      <xdr:nvSpPr>
        <xdr:cNvPr id="19" name="TextBox 18">
          <a:extLst>
            <a:ext uri="{FF2B5EF4-FFF2-40B4-BE49-F238E27FC236}">
              <a16:creationId xmlns:a16="http://schemas.microsoft.com/office/drawing/2014/main" id="{5E496005-308F-4EBD-B827-63EA6A8C94D6}"/>
            </a:ext>
          </a:extLst>
        </xdr:cNvPr>
        <xdr:cNvSpPr txBox="1"/>
      </xdr:nvSpPr>
      <xdr:spPr>
        <a:xfrm rot="19462498">
          <a:off x="3000375" y="525497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104775</xdr:colOff>
      <xdr:row>28</xdr:row>
      <xdr:rowOff>120996</xdr:rowOff>
    </xdr:from>
    <xdr:to>
      <xdr:col>20</xdr:col>
      <xdr:colOff>352425</xdr:colOff>
      <xdr:row>34</xdr:row>
      <xdr:rowOff>63846</xdr:rowOff>
    </xdr:to>
    <xdr:sp macro="" textlink="">
      <xdr:nvSpPr>
        <xdr:cNvPr id="20" name="TextBox 19">
          <a:extLst>
            <a:ext uri="{FF2B5EF4-FFF2-40B4-BE49-F238E27FC236}">
              <a16:creationId xmlns:a16="http://schemas.microsoft.com/office/drawing/2014/main" id="{9A3E0F4F-56BE-45BC-8627-EA5C2419EBA0}"/>
            </a:ext>
          </a:extLst>
        </xdr:cNvPr>
        <xdr:cNvSpPr txBox="1"/>
      </xdr:nvSpPr>
      <xdr:spPr>
        <a:xfrm rot="19462498">
          <a:off x="7419975" y="465489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152400</xdr:rowOff>
    </xdr:from>
    <xdr:to>
      <xdr:col>5</xdr:col>
      <xdr:colOff>180975</xdr:colOff>
      <xdr:row>17</xdr:row>
      <xdr:rowOff>95250</xdr:rowOff>
    </xdr:to>
    <xdr:sp macro="" textlink="">
      <xdr:nvSpPr>
        <xdr:cNvPr id="2" name="TextBox 1">
          <a:extLst>
            <a:ext uri="{FF2B5EF4-FFF2-40B4-BE49-F238E27FC236}">
              <a16:creationId xmlns:a16="http://schemas.microsoft.com/office/drawing/2014/main" id="{C77B7D19-3581-407F-AAA5-946817EB091E}"/>
            </a:ext>
          </a:extLst>
        </xdr:cNvPr>
        <xdr:cNvSpPr txBox="1"/>
      </xdr:nvSpPr>
      <xdr:spPr>
        <a:xfrm rot="19462498">
          <a:off x="0" y="19907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xdr:col>
      <xdr:colOff>647700</xdr:colOff>
      <xdr:row>11</xdr:row>
      <xdr:rowOff>142874</xdr:rowOff>
    </xdr:from>
    <xdr:to>
      <xdr:col>7</xdr:col>
      <xdr:colOff>1019175</xdr:colOff>
      <xdr:row>17</xdr:row>
      <xdr:rowOff>85724</xdr:rowOff>
    </xdr:to>
    <xdr:sp macro="" textlink="">
      <xdr:nvSpPr>
        <xdr:cNvPr id="3" name="TextBox 2">
          <a:extLst>
            <a:ext uri="{FF2B5EF4-FFF2-40B4-BE49-F238E27FC236}">
              <a16:creationId xmlns:a16="http://schemas.microsoft.com/office/drawing/2014/main" id="{A459599F-D096-440D-9474-EC9DB858735C}"/>
            </a:ext>
          </a:extLst>
        </xdr:cNvPr>
        <xdr:cNvSpPr txBox="1"/>
      </xdr:nvSpPr>
      <xdr:spPr>
        <a:xfrm rot="19462498">
          <a:off x="3124200" y="19811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847725</xdr:colOff>
      <xdr:row>13</xdr:row>
      <xdr:rowOff>142874</xdr:rowOff>
    </xdr:from>
    <xdr:to>
      <xdr:col>10</xdr:col>
      <xdr:colOff>171450</xdr:colOff>
      <xdr:row>19</xdr:row>
      <xdr:rowOff>85724</xdr:rowOff>
    </xdr:to>
    <xdr:sp macro="" textlink="">
      <xdr:nvSpPr>
        <xdr:cNvPr id="4" name="TextBox 3">
          <a:extLst>
            <a:ext uri="{FF2B5EF4-FFF2-40B4-BE49-F238E27FC236}">
              <a16:creationId xmlns:a16="http://schemas.microsoft.com/office/drawing/2014/main" id="{7B31D273-C082-469C-AF93-41D42E26B844}"/>
            </a:ext>
          </a:extLst>
        </xdr:cNvPr>
        <xdr:cNvSpPr txBox="1"/>
      </xdr:nvSpPr>
      <xdr:spPr>
        <a:xfrm rot="19462498">
          <a:off x="5791200" y="23050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66675</xdr:colOff>
      <xdr:row>13</xdr:row>
      <xdr:rowOff>133350</xdr:rowOff>
    </xdr:from>
    <xdr:to>
      <xdr:col>12</xdr:col>
      <xdr:colOff>723900</xdr:colOff>
      <xdr:row>19</xdr:row>
      <xdr:rowOff>76200</xdr:rowOff>
    </xdr:to>
    <xdr:sp macro="" textlink="">
      <xdr:nvSpPr>
        <xdr:cNvPr id="5" name="TextBox 4">
          <a:extLst>
            <a:ext uri="{FF2B5EF4-FFF2-40B4-BE49-F238E27FC236}">
              <a16:creationId xmlns:a16="http://schemas.microsoft.com/office/drawing/2014/main" id="{AE971FED-3637-4E4B-A3EE-7A56929242C9}"/>
            </a:ext>
          </a:extLst>
        </xdr:cNvPr>
        <xdr:cNvSpPr txBox="1"/>
      </xdr:nvSpPr>
      <xdr:spPr>
        <a:xfrm rot="19462498">
          <a:off x="8648700" y="22955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10</xdr:col>
      <xdr:colOff>895350</xdr:colOff>
      <xdr:row>13</xdr:row>
      <xdr:rowOff>114299</xdr:rowOff>
    </xdr:from>
    <xdr:to>
      <xdr:col>15</xdr:col>
      <xdr:colOff>800100</xdr:colOff>
      <xdr:row>19</xdr:row>
      <xdr:rowOff>57149</xdr:rowOff>
    </xdr:to>
    <xdr:sp macro="" textlink="">
      <xdr:nvSpPr>
        <xdr:cNvPr id="6" name="TextBox 5">
          <a:extLst>
            <a:ext uri="{FF2B5EF4-FFF2-40B4-BE49-F238E27FC236}">
              <a16:creationId xmlns:a16="http://schemas.microsoft.com/office/drawing/2014/main" id="{AABAD8C5-2484-4A6B-8E0C-2E2C7FEBFD5C}"/>
            </a:ext>
          </a:extLst>
        </xdr:cNvPr>
        <xdr:cNvSpPr txBox="1"/>
      </xdr:nvSpPr>
      <xdr:spPr>
        <a:xfrm rot="19462498">
          <a:off x="11639550" y="227647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990599</xdr:colOff>
      <xdr:row>12</xdr:row>
      <xdr:rowOff>85724</xdr:rowOff>
    </xdr:from>
    <xdr:to>
      <xdr:col>18</xdr:col>
      <xdr:colOff>485774</xdr:colOff>
      <xdr:row>18</xdr:row>
      <xdr:rowOff>28574</xdr:rowOff>
    </xdr:to>
    <xdr:sp macro="" textlink="">
      <xdr:nvSpPr>
        <xdr:cNvPr id="7" name="TextBox 6">
          <a:extLst>
            <a:ext uri="{FF2B5EF4-FFF2-40B4-BE49-F238E27FC236}">
              <a16:creationId xmlns:a16="http://schemas.microsoft.com/office/drawing/2014/main" id="{4B49986B-CC3D-46A6-A5E2-454A2E14084A}"/>
            </a:ext>
          </a:extLst>
        </xdr:cNvPr>
        <xdr:cNvSpPr txBox="1"/>
      </xdr:nvSpPr>
      <xdr:spPr>
        <a:xfrm rot="19462498">
          <a:off x="15192374" y="208597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17</xdr:col>
      <xdr:colOff>161924</xdr:colOff>
      <xdr:row>11</xdr:row>
      <xdr:rowOff>104774</xdr:rowOff>
    </xdr:from>
    <xdr:to>
      <xdr:col>22</xdr:col>
      <xdr:colOff>19049</xdr:colOff>
      <xdr:row>17</xdr:row>
      <xdr:rowOff>47624</xdr:rowOff>
    </xdr:to>
    <xdr:sp macro="" textlink="">
      <xdr:nvSpPr>
        <xdr:cNvPr id="8" name="TextBox 7">
          <a:extLst>
            <a:ext uri="{FF2B5EF4-FFF2-40B4-BE49-F238E27FC236}">
              <a16:creationId xmlns:a16="http://schemas.microsoft.com/office/drawing/2014/main" id="{9BFEE30B-6AF4-4B48-B141-368D089A3266}"/>
            </a:ext>
          </a:extLst>
        </xdr:cNvPr>
        <xdr:cNvSpPr txBox="1"/>
      </xdr:nvSpPr>
      <xdr:spPr>
        <a:xfrm rot="19462498">
          <a:off x="19049999" y="19430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21</xdr:col>
      <xdr:colOff>295274</xdr:colOff>
      <xdr:row>12</xdr:row>
      <xdr:rowOff>142874</xdr:rowOff>
    </xdr:from>
    <xdr:to>
      <xdr:col>27</xdr:col>
      <xdr:colOff>171449</xdr:colOff>
      <xdr:row>18</xdr:row>
      <xdr:rowOff>85724</xdr:rowOff>
    </xdr:to>
    <xdr:sp macro="" textlink="">
      <xdr:nvSpPr>
        <xdr:cNvPr id="9" name="TextBox 8">
          <a:extLst>
            <a:ext uri="{FF2B5EF4-FFF2-40B4-BE49-F238E27FC236}">
              <a16:creationId xmlns:a16="http://schemas.microsoft.com/office/drawing/2014/main" id="{17F506B2-45DE-4089-80DC-B11A56E2A9EB}"/>
            </a:ext>
          </a:extLst>
        </xdr:cNvPr>
        <xdr:cNvSpPr txBox="1"/>
      </xdr:nvSpPr>
      <xdr:spPr>
        <a:xfrm rot="19462498">
          <a:off x="22831424" y="21431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25</xdr:col>
      <xdr:colOff>590549</xdr:colOff>
      <xdr:row>14</xdr:row>
      <xdr:rowOff>57149</xdr:rowOff>
    </xdr:from>
    <xdr:to>
      <xdr:col>32</xdr:col>
      <xdr:colOff>180974</xdr:colOff>
      <xdr:row>19</xdr:row>
      <xdr:rowOff>161924</xdr:rowOff>
    </xdr:to>
    <xdr:sp macro="" textlink="">
      <xdr:nvSpPr>
        <xdr:cNvPr id="10" name="TextBox 9">
          <a:extLst>
            <a:ext uri="{FF2B5EF4-FFF2-40B4-BE49-F238E27FC236}">
              <a16:creationId xmlns:a16="http://schemas.microsoft.com/office/drawing/2014/main" id="{710C6DAD-A627-48A3-83CE-C5B1D518BFED}"/>
            </a:ext>
          </a:extLst>
        </xdr:cNvPr>
        <xdr:cNvSpPr txBox="1"/>
      </xdr:nvSpPr>
      <xdr:spPr>
        <a:xfrm rot="19462498">
          <a:off x="26669999" y="23812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31</xdr:col>
      <xdr:colOff>314324</xdr:colOff>
      <xdr:row>13</xdr:row>
      <xdr:rowOff>76199</xdr:rowOff>
    </xdr:from>
    <xdr:to>
      <xdr:col>38</xdr:col>
      <xdr:colOff>219074</xdr:colOff>
      <xdr:row>19</xdr:row>
      <xdr:rowOff>19049</xdr:rowOff>
    </xdr:to>
    <xdr:sp macro="" textlink="">
      <xdr:nvSpPr>
        <xdr:cNvPr id="11" name="TextBox 10">
          <a:extLst>
            <a:ext uri="{FF2B5EF4-FFF2-40B4-BE49-F238E27FC236}">
              <a16:creationId xmlns:a16="http://schemas.microsoft.com/office/drawing/2014/main" id="{4A34823E-7F33-4671-8626-35387BD99641}"/>
            </a:ext>
          </a:extLst>
        </xdr:cNvPr>
        <xdr:cNvSpPr txBox="1"/>
      </xdr:nvSpPr>
      <xdr:spPr>
        <a:xfrm rot="19462498">
          <a:off x="31003874" y="223837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36</xdr:col>
      <xdr:colOff>800099</xdr:colOff>
      <xdr:row>13</xdr:row>
      <xdr:rowOff>104774</xdr:rowOff>
    </xdr:from>
    <xdr:to>
      <xdr:col>42</xdr:col>
      <xdr:colOff>800099</xdr:colOff>
      <xdr:row>19</xdr:row>
      <xdr:rowOff>47624</xdr:rowOff>
    </xdr:to>
    <xdr:sp macro="" textlink="">
      <xdr:nvSpPr>
        <xdr:cNvPr id="12" name="TextBox 11">
          <a:extLst>
            <a:ext uri="{FF2B5EF4-FFF2-40B4-BE49-F238E27FC236}">
              <a16:creationId xmlns:a16="http://schemas.microsoft.com/office/drawing/2014/main" id="{D16BB19C-B7BD-47AF-B1D6-7B6307F2DD3E}"/>
            </a:ext>
          </a:extLst>
        </xdr:cNvPr>
        <xdr:cNvSpPr txBox="1"/>
      </xdr:nvSpPr>
      <xdr:spPr>
        <a:xfrm rot="19462498">
          <a:off x="35051999" y="22669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266700</xdr:colOff>
      <xdr:row>12</xdr:row>
      <xdr:rowOff>110728</xdr:rowOff>
    </xdr:to>
    <xdr:sp macro="" textlink="">
      <xdr:nvSpPr>
        <xdr:cNvPr id="2" name="TextBox 1">
          <a:extLst>
            <a:ext uri="{FF2B5EF4-FFF2-40B4-BE49-F238E27FC236}">
              <a16:creationId xmlns:a16="http://schemas.microsoft.com/office/drawing/2014/main" id="{5AE51575-D44B-4B35-B076-D5FD5644DC16}"/>
            </a:ext>
          </a:extLst>
        </xdr:cNvPr>
        <xdr:cNvSpPr txBox="1"/>
      </xdr:nvSpPr>
      <xdr:spPr>
        <a:xfrm rot="19462498">
          <a:off x="0" y="117276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1567807</xdr:colOff>
      <xdr:row>11</xdr:row>
      <xdr:rowOff>61255</xdr:rowOff>
    </xdr:from>
    <xdr:to>
      <xdr:col>8</xdr:col>
      <xdr:colOff>250975</xdr:colOff>
      <xdr:row>16</xdr:row>
      <xdr:rowOff>163566</xdr:rowOff>
    </xdr:to>
    <xdr:sp macro="" textlink="">
      <xdr:nvSpPr>
        <xdr:cNvPr id="3" name="TextBox 2">
          <a:extLst>
            <a:ext uri="{FF2B5EF4-FFF2-40B4-BE49-F238E27FC236}">
              <a16:creationId xmlns:a16="http://schemas.microsoft.com/office/drawing/2014/main" id="{DC4BA17E-E3A5-4193-A1BB-CC60FCB35749}"/>
            </a:ext>
          </a:extLst>
        </xdr:cNvPr>
        <xdr:cNvSpPr txBox="1"/>
      </xdr:nvSpPr>
      <xdr:spPr>
        <a:xfrm rot="19462498">
          <a:off x="2671393" y="1913703"/>
          <a:ext cx="5140461" cy="930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6</xdr:col>
      <xdr:colOff>292895</xdr:colOff>
      <xdr:row>11</xdr:row>
      <xdr:rowOff>60722</xdr:rowOff>
    </xdr:from>
    <xdr:to>
      <xdr:col>12</xdr:col>
      <xdr:colOff>809626</xdr:colOff>
      <xdr:row>16</xdr:row>
      <xdr:rowOff>159544</xdr:rowOff>
    </xdr:to>
    <xdr:sp macro="" textlink="">
      <xdr:nvSpPr>
        <xdr:cNvPr id="4" name="TextBox 3">
          <a:extLst>
            <a:ext uri="{FF2B5EF4-FFF2-40B4-BE49-F238E27FC236}">
              <a16:creationId xmlns:a16="http://schemas.microsoft.com/office/drawing/2014/main" id="{AEC89977-443A-4186-BDD4-2BD70FC3DFF6}"/>
            </a:ext>
          </a:extLst>
        </xdr:cNvPr>
        <xdr:cNvSpPr txBox="1"/>
      </xdr:nvSpPr>
      <xdr:spPr>
        <a:xfrm rot="19462498">
          <a:off x="6454379" y="18764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897731</xdr:colOff>
      <xdr:row>11</xdr:row>
      <xdr:rowOff>111918</xdr:rowOff>
    </xdr:from>
    <xdr:to>
      <xdr:col>14</xdr:col>
      <xdr:colOff>1372791</xdr:colOff>
      <xdr:row>17</xdr:row>
      <xdr:rowOff>50005</xdr:rowOff>
    </xdr:to>
    <xdr:sp macro="" textlink="">
      <xdr:nvSpPr>
        <xdr:cNvPr id="5" name="TextBox 4">
          <a:extLst>
            <a:ext uri="{FF2B5EF4-FFF2-40B4-BE49-F238E27FC236}">
              <a16:creationId xmlns:a16="http://schemas.microsoft.com/office/drawing/2014/main" id="{3EFD3641-396A-4C60-801E-F268E65646D3}"/>
            </a:ext>
          </a:extLst>
        </xdr:cNvPr>
        <xdr:cNvSpPr txBox="1"/>
      </xdr:nvSpPr>
      <xdr:spPr>
        <a:xfrm rot="19462498">
          <a:off x="9351169" y="192762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1026320</xdr:colOff>
      <xdr:row>10</xdr:row>
      <xdr:rowOff>133349</xdr:rowOff>
    </xdr:from>
    <xdr:to>
      <xdr:col>17</xdr:col>
      <xdr:colOff>501254</xdr:colOff>
      <xdr:row>16</xdr:row>
      <xdr:rowOff>71437</xdr:rowOff>
    </xdr:to>
    <xdr:sp macro="" textlink="">
      <xdr:nvSpPr>
        <xdr:cNvPr id="6" name="TextBox 5">
          <a:extLst>
            <a:ext uri="{FF2B5EF4-FFF2-40B4-BE49-F238E27FC236}">
              <a16:creationId xmlns:a16="http://schemas.microsoft.com/office/drawing/2014/main" id="{3450C83C-6E02-4910-B425-3DF3861E83EB}"/>
            </a:ext>
          </a:extLst>
        </xdr:cNvPr>
        <xdr:cNvSpPr txBox="1"/>
      </xdr:nvSpPr>
      <xdr:spPr>
        <a:xfrm rot="19462498">
          <a:off x="12736117" y="178831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16</xdr:col>
      <xdr:colOff>577452</xdr:colOff>
      <xdr:row>10</xdr:row>
      <xdr:rowOff>71436</xdr:rowOff>
    </xdr:from>
    <xdr:to>
      <xdr:col>19</xdr:col>
      <xdr:colOff>641746</xdr:colOff>
      <xdr:row>16</xdr:row>
      <xdr:rowOff>9524</xdr:rowOff>
    </xdr:to>
    <xdr:sp macro="" textlink="">
      <xdr:nvSpPr>
        <xdr:cNvPr id="7" name="TextBox 6">
          <a:extLst>
            <a:ext uri="{FF2B5EF4-FFF2-40B4-BE49-F238E27FC236}">
              <a16:creationId xmlns:a16="http://schemas.microsoft.com/office/drawing/2014/main" id="{7225300E-9960-45CC-92AF-324E4E484CE5}"/>
            </a:ext>
          </a:extLst>
        </xdr:cNvPr>
        <xdr:cNvSpPr txBox="1"/>
      </xdr:nvSpPr>
      <xdr:spPr>
        <a:xfrm rot="19462498">
          <a:off x="15888890" y="172640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18</xdr:col>
      <xdr:colOff>372665</xdr:colOff>
      <xdr:row>9</xdr:row>
      <xdr:rowOff>86915</xdr:rowOff>
    </xdr:from>
    <xdr:to>
      <xdr:col>24</xdr:col>
      <xdr:colOff>276225</xdr:colOff>
      <xdr:row>15</xdr:row>
      <xdr:rowOff>25002</xdr:rowOff>
    </xdr:to>
    <xdr:sp macro="" textlink="">
      <xdr:nvSpPr>
        <xdr:cNvPr id="8" name="TextBox 7">
          <a:extLst>
            <a:ext uri="{FF2B5EF4-FFF2-40B4-BE49-F238E27FC236}">
              <a16:creationId xmlns:a16="http://schemas.microsoft.com/office/drawing/2014/main" id="{AAC5FF70-F089-433B-AF4D-8C641CF757F8}"/>
            </a:ext>
          </a:extLst>
        </xdr:cNvPr>
        <xdr:cNvSpPr txBox="1"/>
      </xdr:nvSpPr>
      <xdr:spPr>
        <a:xfrm rot="19462498">
          <a:off x="19351228" y="15811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21</xdr:col>
      <xdr:colOff>25003</xdr:colOff>
      <xdr:row>11</xdr:row>
      <xdr:rowOff>108346</xdr:rowOff>
    </xdr:from>
    <xdr:to>
      <xdr:col>28</xdr:col>
      <xdr:colOff>244078</xdr:colOff>
      <xdr:row>17</xdr:row>
      <xdr:rowOff>46433</xdr:rowOff>
    </xdr:to>
    <xdr:sp macro="" textlink="">
      <xdr:nvSpPr>
        <xdr:cNvPr id="9" name="TextBox 8">
          <a:extLst>
            <a:ext uri="{FF2B5EF4-FFF2-40B4-BE49-F238E27FC236}">
              <a16:creationId xmlns:a16="http://schemas.microsoft.com/office/drawing/2014/main" id="{93395E96-E6FB-4E86-A7A3-D44690C39FC4}"/>
            </a:ext>
          </a:extLst>
        </xdr:cNvPr>
        <xdr:cNvSpPr txBox="1"/>
      </xdr:nvSpPr>
      <xdr:spPr>
        <a:xfrm rot="19462498">
          <a:off x="22438519" y="19240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73373</xdr:rowOff>
    </xdr:from>
    <xdr:to>
      <xdr:col>4</xdr:col>
      <xdr:colOff>619125</xdr:colOff>
      <xdr:row>14</xdr:row>
      <xdr:rowOff>35273</xdr:rowOff>
    </xdr:to>
    <xdr:sp macro="" textlink="">
      <xdr:nvSpPr>
        <xdr:cNvPr id="2" name="TextBox 1">
          <a:extLst>
            <a:ext uri="{FF2B5EF4-FFF2-40B4-BE49-F238E27FC236}">
              <a16:creationId xmlns:a16="http://schemas.microsoft.com/office/drawing/2014/main" id="{93C52E86-7853-4C4B-A811-E0EE2543D32A}"/>
            </a:ext>
          </a:extLst>
        </xdr:cNvPr>
        <xdr:cNvSpPr txBox="1"/>
      </xdr:nvSpPr>
      <xdr:spPr>
        <a:xfrm rot="19462498">
          <a:off x="0" y="221649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333375</xdr:colOff>
      <xdr:row>10</xdr:row>
      <xdr:rowOff>92424</xdr:rowOff>
    </xdr:from>
    <xdr:to>
      <xdr:col>6</xdr:col>
      <xdr:colOff>752475</xdr:colOff>
      <xdr:row>15</xdr:row>
      <xdr:rowOff>54324</xdr:rowOff>
    </xdr:to>
    <xdr:sp macro="" textlink="">
      <xdr:nvSpPr>
        <xdr:cNvPr id="3" name="TextBox 2">
          <a:extLst>
            <a:ext uri="{FF2B5EF4-FFF2-40B4-BE49-F238E27FC236}">
              <a16:creationId xmlns:a16="http://schemas.microsoft.com/office/drawing/2014/main" id="{CA110A46-FB34-42B0-97AD-B51E17CB8AFE}"/>
            </a:ext>
          </a:extLst>
        </xdr:cNvPr>
        <xdr:cNvSpPr txBox="1"/>
      </xdr:nvSpPr>
      <xdr:spPr>
        <a:xfrm rot="19462498">
          <a:off x="2828925" y="24260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352425</xdr:colOff>
      <xdr:row>10</xdr:row>
      <xdr:rowOff>187674</xdr:rowOff>
    </xdr:from>
    <xdr:to>
      <xdr:col>9</xdr:col>
      <xdr:colOff>533400</xdr:colOff>
      <xdr:row>15</xdr:row>
      <xdr:rowOff>149574</xdr:rowOff>
    </xdr:to>
    <xdr:sp macro="" textlink="">
      <xdr:nvSpPr>
        <xdr:cNvPr id="4" name="TextBox 3">
          <a:extLst>
            <a:ext uri="{FF2B5EF4-FFF2-40B4-BE49-F238E27FC236}">
              <a16:creationId xmlns:a16="http://schemas.microsoft.com/office/drawing/2014/main" id="{700C0780-0072-4986-A997-63316191D96F}"/>
            </a:ext>
          </a:extLst>
        </xdr:cNvPr>
        <xdr:cNvSpPr txBox="1"/>
      </xdr:nvSpPr>
      <xdr:spPr>
        <a:xfrm rot="19462498">
          <a:off x="6257925" y="25212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0</xdr:col>
      <xdr:colOff>0</xdr:colOff>
      <xdr:row>31</xdr:row>
      <xdr:rowOff>19050</xdr:rowOff>
    </xdr:from>
    <xdr:to>
      <xdr:col>4</xdr:col>
      <xdr:colOff>619125</xdr:colOff>
      <xdr:row>35</xdr:row>
      <xdr:rowOff>171450</xdr:rowOff>
    </xdr:to>
    <xdr:sp macro="" textlink="">
      <xdr:nvSpPr>
        <xdr:cNvPr id="5" name="TextBox 4">
          <a:extLst>
            <a:ext uri="{FF2B5EF4-FFF2-40B4-BE49-F238E27FC236}">
              <a16:creationId xmlns:a16="http://schemas.microsoft.com/office/drawing/2014/main" id="{19568326-81BA-4149-A0EE-872FCD91CD18}"/>
            </a:ext>
          </a:extLst>
        </xdr:cNvPr>
        <xdr:cNvSpPr txBox="1"/>
      </xdr:nvSpPr>
      <xdr:spPr>
        <a:xfrm rot="19462498">
          <a:off x="0" y="63531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xdr:col>
      <xdr:colOff>171451</xdr:colOff>
      <xdr:row>32</xdr:row>
      <xdr:rowOff>9525</xdr:rowOff>
    </xdr:from>
    <xdr:to>
      <xdr:col>7</xdr:col>
      <xdr:colOff>276226</xdr:colOff>
      <xdr:row>36</xdr:row>
      <xdr:rowOff>161925</xdr:rowOff>
    </xdr:to>
    <xdr:sp macro="" textlink="">
      <xdr:nvSpPr>
        <xdr:cNvPr id="6" name="TextBox 5">
          <a:extLst>
            <a:ext uri="{FF2B5EF4-FFF2-40B4-BE49-F238E27FC236}">
              <a16:creationId xmlns:a16="http://schemas.microsoft.com/office/drawing/2014/main" id="{1462664C-9B4C-4144-807D-ADA471A69FDA}"/>
            </a:ext>
          </a:extLst>
        </xdr:cNvPr>
        <xdr:cNvSpPr txBox="1"/>
      </xdr:nvSpPr>
      <xdr:spPr>
        <a:xfrm rot="19462498">
          <a:off x="3648076" y="65341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1190627</xdr:colOff>
      <xdr:row>33</xdr:row>
      <xdr:rowOff>161924</xdr:rowOff>
    </xdr:from>
    <xdr:to>
      <xdr:col>10</xdr:col>
      <xdr:colOff>400052</xdr:colOff>
      <xdr:row>38</xdr:row>
      <xdr:rowOff>123824</xdr:rowOff>
    </xdr:to>
    <xdr:sp macro="" textlink="">
      <xdr:nvSpPr>
        <xdr:cNvPr id="7" name="TextBox 6">
          <a:extLst>
            <a:ext uri="{FF2B5EF4-FFF2-40B4-BE49-F238E27FC236}">
              <a16:creationId xmlns:a16="http://schemas.microsoft.com/office/drawing/2014/main" id="{D54796A8-379A-47C1-9AF0-25ABE3B3E174}"/>
            </a:ext>
          </a:extLst>
        </xdr:cNvPr>
        <xdr:cNvSpPr txBox="1"/>
      </xdr:nvSpPr>
      <xdr:spPr>
        <a:xfrm rot="19462498">
          <a:off x="7096127" y="68770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447675</xdr:colOff>
      <xdr:row>7</xdr:row>
      <xdr:rowOff>16223</xdr:rowOff>
    </xdr:from>
    <xdr:to>
      <xdr:col>7</xdr:col>
      <xdr:colOff>333375</xdr:colOff>
      <xdr:row>11</xdr:row>
      <xdr:rowOff>130523</xdr:rowOff>
    </xdr:to>
    <xdr:sp macro="" textlink="">
      <xdr:nvSpPr>
        <xdr:cNvPr id="2" name="TextBox 1">
          <a:extLst>
            <a:ext uri="{FF2B5EF4-FFF2-40B4-BE49-F238E27FC236}">
              <a16:creationId xmlns:a16="http://schemas.microsoft.com/office/drawing/2014/main" id="{15CF158F-9270-459E-97CE-8A0A8E5E4D55}"/>
            </a:ext>
          </a:extLst>
        </xdr:cNvPr>
        <xdr:cNvSpPr txBox="1"/>
      </xdr:nvSpPr>
      <xdr:spPr>
        <a:xfrm rot="19462498">
          <a:off x="2009775" y="140687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552449</xdr:colOff>
      <xdr:row>9</xdr:row>
      <xdr:rowOff>6698</xdr:rowOff>
    </xdr:from>
    <xdr:to>
      <xdr:col>10</xdr:col>
      <xdr:colOff>57149</xdr:colOff>
      <xdr:row>13</xdr:row>
      <xdr:rowOff>120998</xdr:rowOff>
    </xdr:to>
    <xdr:sp macro="" textlink="">
      <xdr:nvSpPr>
        <xdr:cNvPr id="3" name="TextBox 2">
          <a:extLst>
            <a:ext uri="{FF2B5EF4-FFF2-40B4-BE49-F238E27FC236}">
              <a16:creationId xmlns:a16="http://schemas.microsoft.com/office/drawing/2014/main" id="{B4DECC70-DDAD-433F-990C-0951D94A5617}"/>
            </a:ext>
          </a:extLst>
        </xdr:cNvPr>
        <xdr:cNvSpPr txBox="1"/>
      </xdr:nvSpPr>
      <xdr:spPr>
        <a:xfrm rot="19462498">
          <a:off x="4619624" y="179739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7</xdr:col>
      <xdr:colOff>847724</xdr:colOff>
      <xdr:row>8</xdr:row>
      <xdr:rowOff>101948</xdr:rowOff>
    </xdr:from>
    <xdr:to>
      <xdr:col>12</xdr:col>
      <xdr:colOff>876299</xdr:colOff>
      <xdr:row>13</xdr:row>
      <xdr:rowOff>16223</xdr:rowOff>
    </xdr:to>
    <xdr:sp macro="" textlink="">
      <xdr:nvSpPr>
        <xdr:cNvPr id="4" name="TextBox 3">
          <a:extLst>
            <a:ext uri="{FF2B5EF4-FFF2-40B4-BE49-F238E27FC236}">
              <a16:creationId xmlns:a16="http://schemas.microsoft.com/office/drawing/2014/main" id="{9BA782A9-93D2-4EDC-8E1A-65CECC7DF5B5}"/>
            </a:ext>
          </a:extLst>
        </xdr:cNvPr>
        <xdr:cNvSpPr txBox="1"/>
      </xdr:nvSpPr>
      <xdr:spPr>
        <a:xfrm rot="19462498">
          <a:off x="7648574" y="169262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10</xdr:col>
      <xdr:colOff>942974</xdr:colOff>
      <xdr:row>8</xdr:row>
      <xdr:rowOff>140048</xdr:rowOff>
    </xdr:from>
    <xdr:to>
      <xdr:col>14</xdr:col>
      <xdr:colOff>1142999</xdr:colOff>
      <xdr:row>13</xdr:row>
      <xdr:rowOff>54323</xdr:rowOff>
    </xdr:to>
    <xdr:sp macro="" textlink="">
      <xdr:nvSpPr>
        <xdr:cNvPr id="5" name="TextBox 4">
          <a:extLst>
            <a:ext uri="{FF2B5EF4-FFF2-40B4-BE49-F238E27FC236}">
              <a16:creationId xmlns:a16="http://schemas.microsoft.com/office/drawing/2014/main" id="{5DA81725-00AA-411A-89E0-7EB90108534C}"/>
            </a:ext>
          </a:extLst>
        </xdr:cNvPr>
        <xdr:cNvSpPr txBox="1"/>
      </xdr:nvSpPr>
      <xdr:spPr>
        <a:xfrm rot="19462498">
          <a:off x="10629899" y="173072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542923</xdr:colOff>
      <xdr:row>10</xdr:row>
      <xdr:rowOff>35274</xdr:rowOff>
    </xdr:from>
    <xdr:to>
      <xdr:col>17</xdr:col>
      <xdr:colOff>219073</xdr:colOff>
      <xdr:row>14</xdr:row>
      <xdr:rowOff>149574</xdr:rowOff>
    </xdr:to>
    <xdr:sp macro="" textlink="">
      <xdr:nvSpPr>
        <xdr:cNvPr id="6" name="TextBox 5">
          <a:extLst>
            <a:ext uri="{FF2B5EF4-FFF2-40B4-BE49-F238E27FC236}">
              <a16:creationId xmlns:a16="http://schemas.microsoft.com/office/drawing/2014/main" id="{969081FB-B81F-41D5-BFC7-E335CAFD9394}"/>
            </a:ext>
          </a:extLst>
        </xdr:cNvPr>
        <xdr:cNvSpPr txBox="1"/>
      </xdr:nvSpPr>
      <xdr:spPr>
        <a:xfrm rot="19462498">
          <a:off x="13715998" y="20259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695325</xdr:colOff>
      <xdr:row>29</xdr:row>
      <xdr:rowOff>47625</xdr:rowOff>
    </xdr:from>
    <xdr:to>
      <xdr:col>7</xdr:col>
      <xdr:colOff>581025</xdr:colOff>
      <xdr:row>33</xdr:row>
      <xdr:rowOff>161925</xdr:rowOff>
    </xdr:to>
    <xdr:sp macro="" textlink="">
      <xdr:nvSpPr>
        <xdr:cNvPr id="7" name="TextBox 6">
          <a:extLst>
            <a:ext uri="{FF2B5EF4-FFF2-40B4-BE49-F238E27FC236}">
              <a16:creationId xmlns:a16="http://schemas.microsoft.com/office/drawing/2014/main" id="{DCD6802E-9AC1-483C-A2C4-59F7CA3F6A39}"/>
            </a:ext>
          </a:extLst>
        </xdr:cNvPr>
        <xdr:cNvSpPr txBox="1"/>
      </xdr:nvSpPr>
      <xdr:spPr>
        <a:xfrm rot="19462498">
          <a:off x="2257425" y="58388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1276350</xdr:colOff>
      <xdr:row>30</xdr:row>
      <xdr:rowOff>66675</xdr:rowOff>
    </xdr:from>
    <xdr:to>
      <xdr:col>10</xdr:col>
      <xdr:colOff>781050</xdr:colOff>
      <xdr:row>34</xdr:row>
      <xdr:rowOff>180975</xdr:rowOff>
    </xdr:to>
    <xdr:sp macro="" textlink="">
      <xdr:nvSpPr>
        <xdr:cNvPr id="8" name="TextBox 7">
          <a:extLst>
            <a:ext uri="{FF2B5EF4-FFF2-40B4-BE49-F238E27FC236}">
              <a16:creationId xmlns:a16="http://schemas.microsoft.com/office/drawing/2014/main" id="{B7F7D5D8-7765-45CA-B2E2-D57DE0C7F1E2}"/>
            </a:ext>
          </a:extLst>
        </xdr:cNvPr>
        <xdr:cNvSpPr txBox="1"/>
      </xdr:nvSpPr>
      <xdr:spPr>
        <a:xfrm rot="19462498">
          <a:off x="5343525" y="60579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304801</xdr:colOff>
      <xdr:row>30</xdr:row>
      <xdr:rowOff>19050</xdr:rowOff>
    </xdr:from>
    <xdr:to>
      <xdr:col>13</xdr:col>
      <xdr:colOff>1009651</xdr:colOff>
      <xdr:row>34</xdr:row>
      <xdr:rowOff>133350</xdr:rowOff>
    </xdr:to>
    <xdr:sp macro="" textlink="">
      <xdr:nvSpPr>
        <xdr:cNvPr id="9" name="TextBox 8">
          <a:extLst>
            <a:ext uri="{FF2B5EF4-FFF2-40B4-BE49-F238E27FC236}">
              <a16:creationId xmlns:a16="http://schemas.microsoft.com/office/drawing/2014/main" id="{88A67626-74E9-4FBC-8967-5F7B85EDC121}"/>
            </a:ext>
          </a:extLst>
        </xdr:cNvPr>
        <xdr:cNvSpPr txBox="1"/>
      </xdr:nvSpPr>
      <xdr:spPr>
        <a:xfrm rot="19462498">
          <a:off x="9058276" y="60102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752476</xdr:colOff>
      <xdr:row>30</xdr:row>
      <xdr:rowOff>123825</xdr:rowOff>
    </xdr:from>
    <xdr:to>
      <xdr:col>16</xdr:col>
      <xdr:colOff>285751</xdr:colOff>
      <xdr:row>35</xdr:row>
      <xdr:rowOff>38100</xdr:rowOff>
    </xdr:to>
    <xdr:sp macro="" textlink="">
      <xdr:nvSpPr>
        <xdr:cNvPr id="10" name="TextBox 9">
          <a:extLst>
            <a:ext uri="{FF2B5EF4-FFF2-40B4-BE49-F238E27FC236}">
              <a16:creationId xmlns:a16="http://schemas.microsoft.com/office/drawing/2014/main" id="{FCB22BE1-E23B-4721-82F6-F0C58363E721}"/>
            </a:ext>
          </a:extLst>
        </xdr:cNvPr>
        <xdr:cNvSpPr txBox="1"/>
      </xdr:nvSpPr>
      <xdr:spPr>
        <a:xfrm rot="19462498">
          <a:off x="12649201" y="61150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619124</xdr:colOff>
      <xdr:row>52</xdr:row>
      <xdr:rowOff>95250</xdr:rowOff>
    </xdr:from>
    <xdr:to>
      <xdr:col>7</xdr:col>
      <xdr:colOff>504824</xdr:colOff>
      <xdr:row>57</xdr:row>
      <xdr:rowOff>9525</xdr:rowOff>
    </xdr:to>
    <xdr:sp macro="" textlink="">
      <xdr:nvSpPr>
        <xdr:cNvPr id="11" name="TextBox 10">
          <a:extLst>
            <a:ext uri="{FF2B5EF4-FFF2-40B4-BE49-F238E27FC236}">
              <a16:creationId xmlns:a16="http://schemas.microsoft.com/office/drawing/2014/main" id="{9866CBF5-5894-4B59-9461-44F54DD86977}"/>
            </a:ext>
          </a:extLst>
        </xdr:cNvPr>
        <xdr:cNvSpPr txBox="1"/>
      </xdr:nvSpPr>
      <xdr:spPr>
        <a:xfrm rot="19462498">
          <a:off x="2181224" y="104870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1752599</xdr:colOff>
      <xdr:row>53</xdr:row>
      <xdr:rowOff>66675</xdr:rowOff>
    </xdr:from>
    <xdr:to>
      <xdr:col>11</xdr:col>
      <xdr:colOff>123824</xdr:colOff>
      <xdr:row>57</xdr:row>
      <xdr:rowOff>180975</xdr:rowOff>
    </xdr:to>
    <xdr:sp macro="" textlink="">
      <xdr:nvSpPr>
        <xdr:cNvPr id="12" name="TextBox 11">
          <a:extLst>
            <a:ext uri="{FF2B5EF4-FFF2-40B4-BE49-F238E27FC236}">
              <a16:creationId xmlns:a16="http://schemas.microsoft.com/office/drawing/2014/main" id="{B3EDF879-AC2A-4050-AB9B-70693C9F116E}"/>
            </a:ext>
          </a:extLst>
        </xdr:cNvPr>
        <xdr:cNvSpPr txBox="1"/>
      </xdr:nvSpPr>
      <xdr:spPr>
        <a:xfrm rot="19462498">
          <a:off x="5819774" y="106584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276224</xdr:colOff>
      <xdr:row>52</xdr:row>
      <xdr:rowOff>161925</xdr:rowOff>
    </xdr:from>
    <xdr:to>
      <xdr:col>13</xdr:col>
      <xdr:colOff>981074</xdr:colOff>
      <xdr:row>57</xdr:row>
      <xdr:rowOff>76200</xdr:rowOff>
    </xdr:to>
    <xdr:sp macro="" textlink="">
      <xdr:nvSpPr>
        <xdr:cNvPr id="13" name="TextBox 12">
          <a:extLst>
            <a:ext uri="{FF2B5EF4-FFF2-40B4-BE49-F238E27FC236}">
              <a16:creationId xmlns:a16="http://schemas.microsoft.com/office/drawing/2014/main" id="{780B6CEB-7B5F-4043-8D8A-309525501869}"/>
            </a:ext>
          </a:extLst>
        </xdr:cNvPr>
        <xdr:cNvSpPr txBox="1"/>
      </xdr:nvSpPr>
      <xdr:spPr>
        <a:xfrm rot="19462498">
          <a:off x="9029699" y="105537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657223</xdr:colOff>
      <xdr:row>53</xdr:row>
      <xdr:rowOff>0</xdr:rowOff>
    </xdr:from>
    <xdr:to>
      <xdr:col>16</xdr:col>
      <xdr:colOff>190498</xdr:colOff>
      <xdr:row>57</xdr:row>
      <xdr:rowOff>114300</xdr:rowOff>
    </xdr:to>
    <xdr:sp macro="" textlink="">
      <xdr:nvSpPr>
        <xdr:cNvPr id="14" name="TextBox 13">
          <a:extLst>
            <a:ext uri="{FF2B5EF4-FFF2-40B4-BE49-F238E27FC236}">
              <a16:creationId xmlns:a16="http://schemas.microsoft.com/office/drawing/2014/main" id="{619B9255-558B-4FFC-923E-3341C90B5D05}"/>
            </a:ext>
          </a:extLst>
        </xdr:cNvPr>
        <xdr:cNvSpPr txBox="1"/>
      </xdr:nvSpPr>
      <xdr:spPr>
        <a:xfrm rot="19462498">
          <a:off x="12553948" y="105918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xdr:col>
      <xdr:colOff>0</xdr:colOff>
      <xdr:row>74</xdr:row>
      <xdr:rowOff>0</xdr:rowOff>
    </xdr:from>
    <xdr:to>
      <xdr:col>7</xdr:col>
      <xdr:colOff>666750</xdr:colOff>
      <xdr:row>78</xdr:row>
      <xdr:rowOff>114300</xdr:rowOff>
    </xdr:to>
    <xdr:sp macro="" textlink="">
      <xdr:nvSpPr>
        <xdr:cNvPr id="15" name="TextBox 14">
          <a:extLst>
            <a:ext uri="{FF2B5EF4-FFF2-40B4-BE49-F238E27FC236}">
              <a16:creationId xmlns:a16="http://schemas.microsoft.com/office/drawing/2014/main" id="{248B1062-656C-4B39-89B3-549846C8ECBB}"/>
            </a:ext>
          </a:extLst>
        </xdr:cNvPr>
        <xdr:cNvSpPr txBox="1"/>
      </xdr:nvSpPr>
      <xdr:spPr>
        <a:xfrm rot="19462498">
          <a:off x="2343150" y="147923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6</xdr:col>
      <xdr:colOff>285750</xdr:colOff>
      <xdr:row>76</xdr:row>
      <xdr:rowOff>123825</xdr:rowOff>
    </xdr:from>
    <xdr:to>
      <xdr:col>11</xdr:col>
      <xdr:colOff>466725</xdr:colOff>
      <xdr:row>81</xdr:row>
      <xdr:rowOff>38100</xdr:rowOff>
    </xdr:to>
    <xdr:sp macro="" textlink="">
      <xdr:nvSpPr>
        <xdr:cNvPr id="16" name="TextBox 15">
          <a:extLst>
            <a:ext uri="{FF2B5EF4-FFF2-40B4-BE49-F238E27FC236}">
              <a16:creationId xmlns:a16="http://schemas.microsoft.com/office/drawing/2014/main" id="{4BF0E483-6F9E-45D2-A2F2-578889169ACF}"/>
            </a:ext>
          </a:extLst>
        </xdr:cNvPr>
        <xdr:cNvSpPr txBox="1"/>
      </xdr:nvSpPr>
      <xdr:spPr>
        <a:xfrm rot="19462498">
          <a:off x="6162675" y="153162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914400</xdr:colOff>
      <xdr:row>75</xdr:row>
      <xdr:rowOff>171451</xdr:rowOff>
    </xdr:from>
    <xdr:to>
      <xdr:col>14</xdr:col>
      <xdr:colOff>180975</xdr:colOff>
      <xdr:row>80</xdr:row>
      <xdr:rowOff>85726</xdr:rowOff>
    </xdr:to>
    <xdr:sp macro="" textlink="">
      <xdr:nvSpPr>
        <xdr:cNvPr id="17" name="TextBox 16">
          <a:extLst>
            <a:ext uri="{FF2B5EF4-FFF2-40B4-BE49-F238E27FC236}">
              <a16:creationId xmlns:a16="http://schemas.microsoft.com/office/drawing/2014/main" id="{8C15E014-5D21-4F5D-9557-B05348282764}"/>
            </a:ext>
          </a:extLst>
        </xdr:cNvPr>
        <xdr:cNvSpPr txBox="1"/>
      </xdr:nvSpPr>
      <xdr:spPr>
        <a:xfrm rot="19462498">
          <a:off x="9667875" y="1516380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1247774</xdr:colOff>
      <xdr:row>77</xdr:row>
      <xdr:rowOff>161925</xdr:rowOff>
    </xdr:from>
    <xdr:to>
      <xdr:col>16</xdr:col>
      <xdr:colOff>781049</xdr:colOff>
      <xdr:row>82</xdr:row>
      <xdr:rowOff>76200</xdr:rowOff>
    </xdr:to>
    <xdr:sp macro="" textlink="">
      <xdr:nvSpPr>
        <xdr:cNvPr id="18" name="TextBox 17">
          <a:extLst>
            <a:ext uri="{FF2B5EF4-FFF2-40B4-BE49-F238E27FC236}">
              <a16:creationId xmlns:a16="http://schemas.microsoft.com/office/drawing/2014/main" id="{230E5C5C-E5F7-4BED-AF8D-3D21E7D62BBC}"/>
            </a:ext>
          </a:extLst>
        </xdr:cNvPr>
        <xdr:cNvSpPr txBox="1"/>
      </xdr:nvSpPr>
      <xdr:spPr>
        <a:xfrm rot="19462498">
          <a:off x="13144499" y="155543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752475</xdr:colOff>
      <xdr:row>97</xdr:row>
      <xdr:rowOff>9525</xdr:rowOff>
    </xdr:from>
    <xdr:to>
      <xdr:col>7</xdr:col>
      <xdr:colOff>638175</xdr:colOff>
      <xdr:row>101</xdr:row>
      <xdr:rowOff>123825</xdr:rowOff>
    </xdr:to>
    <xdr:sp macro="" textlink="">
      <xdr:nvSpPr>
        <xdr:cNvPr id="19" name="TextBox 18">
          <a:extLst>
            <a:ext uri="{FF2B5EF4-FFF2-40B4-BE49-F238E27FC236}">
              <a16:creationId xmlns:a16="http://schemas.microsoft.com/office/drawing/2014/main" id="{82B7E060-5046-494E-A518-C92E86165D49}"/>
            </a:ext>
          </a:extLst>
        </xdr:cNvPr>
        <xdr:cNvSpPr txBox="1"/>
      </xdr:nvSpPr>
      <xdr:spPr>
        <a:xfrm rot="19462498">
          <a:off x="2314575" y="194024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1343026</xdr:colOff>
      <xdr:row>98</xdr:row>
      <xdr:rowOff>66675</xdr:rowOff>
    </xdr:from>
    <xdr:to>
      <xdr:col>10</xdr:col>
      <xdr:colOff>847726</xdr:colOff>
      <xdr:row>102</xdr:row>
      <xdr:rowOff>180975</xdr:rowOff>
    </xdr:to>
    <xdr:sp macro="" textlink="">
      <xdr:nvSpPr>
        <xdr:cNvPr id="20" name="TextBox 19">
          <a:extLst>
            <a:ext uri="{FF2B5EF4-FFF2-40B4-BE49-F238E27FC236}">
              <a16:creationId xmlns:a16="http://schemas.microsoft.com/office/drawing/2014/main" id="{5360AE72-DC20-45FE-9F7B-6D6506F47538}"/>
            </a:ext>
          </a:extLst>
        </xdr:cNvPr>
        <xdr:cNvSpPr txBox="1"/>
      </xdr:nvSpPr>
      <xdr:spPr>
        <a:xfrm rot="19462498">
          <a:off x="5410201" y="196596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98</xdr:row>
      <xdr:rowOff>66675</xdr:rowOff>
    </xdr:from>
    <xdr:to>
      <xdr:col>13</xdr:col>
      <xdr:colOff>704850</xdr:colOff>
      <xdr:row>102</xdr:row>
      <xdr:rowOff>180975</xdr:rowOff>
    </xdr:to>
    <xdr:sp macro="" textlink="">
      <xdr:nvSpPr>
        <xdr:cNvPr id="21" name="TextBox 20">
          <a:extLst>
            <a:ext uri="{FF2B5EF4-FFF2-40B4-BE49-F238E27FC236}">
              <a16:creationId xmlns:a16="http://schemas.microsoft.com/office/drawing/2014/main" id="{E44D71E1-32DD-417E-9AE6-05C445C914ED}"/>
            </a:ext>
          </a:extLst>
        </xdr:cNvPr>
        <xdr:cNvSpPr txBox="1"/>
      </xdr:nvSpPr>
      <xdr:spPr>
        <a:xfrm rot="19462498">
          <a:off x="8753475" y="196596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1209675</xdr:colOff>
      <xdr:row>98</xdr:row>
      <xdr:rowOff>161925</xdr:rowOff>
    </xdr:from>
    <xdr:to>
      <xdr:col>16</xdr:col>
      <xdr:colOff>742950</xdr:colOff>
      <xdr:row>103</xdr:row>
      <xdr:rowOff>76200</xdr:rowOff>
    </xdr:to>
    <xdr:sp macro="" textlink="">
      <xdr:nvSpPr>
        <xdr:cNvPr id="22" name="TextBox 21">
          <a:extLst>
            <a:ext uri="{FF2B5EF4-FFF2-40B4-BE49-F238E27FC236}">
              <a16:creationId xmlns:a16="http://schemas.microsoft.com/office/drawing/2014/main" id="{0A8F49C5-6427-4AD7-8031-D87F83A71131}"/>
            </a:ext>
          </a:extLst>
        </xdr:cNvPr>
        <xdr:cNvSpPr txBox="1"/>
      </xdr:nvSpPr>
      <xdr:spPr>
        <a:xfrm rot="19462498">
          <a:off x="13106400" y="197548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695325</xdr:colOff>
      <xdr:row>120</xdr:row>
      <xdr:rowOff>19050</xdr:rowOff>
    </xdr:from>
    <xdr:to>
      <xdr:col>7</xdr:col>
      <xdr:colOff>581025</xdr:colOff>
      <xdr:row>124</xdr:row>
      <xdr:rowOff>133350</xdr:rowOff>
    </xdr:to>
    <xdr:sp macro="" textlink="">
      <xdr:nvSpPr>
        <xdr:cNvPr id="23" name="TextBox 22">
          <a:extLst>
            <a:ext uri="{FF2B5EF4-FFF2-40B4-BE49-F238E27FC236}">
              <a16:creationId xmlns:a16="http://schemas.microsoft.com/office/drawing/2014/main" id="{18BDA32D-88C7-4AFF-BA63-69D84DC04346}"/>
            </a:ext>
          </a:extLst>
        </xdr:cNvPr>
        <xdr:cNvSpPr txBox="1"/>
      </xdr:nvSpPr>
      <xdr:spPr>
        <a:xfrm rot="19462498">
          <a:off x="2257425" y="240125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1514476</xdr:colOff>
      <xdr:row>120</xdr:row>
      <xdr:rowOff>95250</xdr:rowOff>
    </xdr:from>
    <xdr:to>
      <xdr:col>10</xdr:col>
      <xdr:colOff>1019176</xdr:colOff>
      <xdr:row>125</xdr:row>
      <xdr:rowOff>9525</xdr:rowOff>
    </xdr:to>
    <xdr:sp macro="" textlink="">
      <xdr:nvSpPr>
        <xdr:cNvPr id="24" name="TextBox 23">
          <a:extLst>
            <a:ext uri="{FF2B5EF4-FFF2-40B4-BE49-F238E27FC236}">
              <a16:creationId xmlns:a16="http://schemas.microsoft.com/office/drawing/2014/main" id="{88368F84-F933-47CE-AE52-B800A5BA22B9}"/>
            </a:ext>
          </a:extLst>
        </xdr:cNvPr>
        <xdr:cNvSpPr txBox="1"/>
      </xdr:nvSpPr>
      <xdr:spPr>
        <a:xfrm rot="19462498">
          <a:off x="5581651" y="240887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19049</xdr:colOff>
      <xdr:row>120</xdr:row>
      <xdr:rowOff>142875</xdr:rowOff>
    </xdr:from>
    <xdr:to>
      <xdr:col>13</xdr:col>
      <xdr:colOff>723899</xdr:colOff>
      <xdr:row>125</xdr:row>
      <xdr:rowOff>57150</xdr:rowOff>
    </xdr:to>
    <xdr:sp macro="" textlink="">
      <xdr:nvSpPr>
        <xdr:cNvPr id="25" name="TextBox 24">
          <a:extLst>
            <a:ext uri="{FF2B5EF4-FFF2-40B4-BE49-F238E27FC236}">
              <a16:creationId xmlns:a16="http://schemas.microsoft.com/office/drawing/2014/main" id="{9631303F-B8A3-4FE7-AE9F-BF80360E0C9E}"/>
            </a:ext>
          </a:extLst>
        </xdr:cNvPr>
        <xdr:cNvSpPr txBox="1"/>
      </xdr:nvSpPr>
      <xdr:spPr>
        <a:xfrm rot="19462498">
          <a:off x="8772524" y="241363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628650</xdr:colOff>
      <xdr:row>121</xdr:row>
      <xdr:rowOff>47625</xdr:rowOff>
    </xdr:from>
    <xdr:to>
      <xdr:col>16</xdr:col>
      <xdr:colOff>161925</xdr:colOff>
      <xdr:row>125</xdr:row>
      <xdr:rowOff>161925</xdr:rowOff>
    </xdr:to>
    <xdr:sp macro="" textlink="">
      <xdr:nvSpPr>
        <xdr:cNvPr id="26" name="TextBox 25">
          <a:extLst>
            <a:ext uri="{FF2B5EF4-FFF2-40B4-BE49-F238E27FC236}">
              <a16:creationId xmlns:a16="http://schemas.microsoft.com/office/drawing/2014/main" id="{73FAE5FB-422D-4AAE-88F5-46EDCC7DC430}"/>
            </a:ext>
          </a:extLst>
        </xdr:cNvPr>
        <xdr:cNvSpPr txBox="1"/>
      </xdr:nvSpPr>
      <xdr:spPr>
        <a:xfrm rot="19462498">
          <a:off x="12525375" y="242411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657225</xdr:colOff>
      <xdr:row>144</xdr:row>
      <xdr:rowOff>66674</xdr:rowOff>
    </xdr:from>
    <xdr:to>
      <xdr:col>7</xdr:col>
      <xdr:colOff>542925</xdr:colOff>
      <xdr:row>148</xdr:row>
      <xdr:rowOff>180974</xdr:rowOff>
    </xdr:to>
    <xdr:sp macro="" textlink="">
      <xdr:nvSpPr>
        <xdr:cNvPr id="27" name="TextBox 26">
          <a:extLst>
            <a:ext uri="{FF2B5EF4-FFF2-40B4-BE49-F238E27FC236}">
              <a16:creationId xmlns:a16="http://schemas.microsoft.com/office/drawing/2014/main" id="{7394DF41-AACD-4520-9B1C-8AF835E5EE34}"/>
            </a:ext>
          </a:extLst>
        </xdr:cNvPr>
        <xdr:cNvSpPr txBox="1"/>
      </xdr:nvSpPr>
      <xdr:spPr>
        <a:xfrm rot="19462498">
          <a:off x="2219325" y="288607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6</xdr:col>
      <xdr:colOff>152401</xdr:colOff>
      <xdr:row>144</xdr:row>
      <xdr:rowOff>47625</xdr:rowOff>
    </xdr:from>
    <xdr:to>
      <xdr:col>11</xdr:col>
      <xdr:colOff>333376</xdr:colOff>
      <xdr:row>148</xdr:row>
      <xdr:rowOff>161925</xdr:rowOff>
    </xdr:to>
    <xdr:sp macro="" textlink="">
      <xdr:nvSpPr>
        <xdr:cNvPr id="28" name="TextBox 27">
          <a:extLst>
            <a:ext uri="{FF2B5EF4-FFF2-40B4-BE49-F238E27FC236}">
              <a16:creationId xmlns:a16="http://schemas.microsoft.com/office/drawing/2014/main" id="{90365D92-FE5D-48E7-8899-979AEF35FF2C}"/>
            </a:ext>
          </a:extLst>
        </xdr:cNvPr>
        <xdr:cNvSpPr txBox="1"/>
      </xdr:nvSpPr>
      <xdr:spPr>
        <a:xfrm rot="19462498">
          <a:off x="6029326" y="288417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10</xdr:col>
      <xdr:colOff>295275</xdr:colOff>
      <xdr:row>143</xdr:row>
      <xdr:rowOff>180976</xdr:rowOff>
    </xdr:from>
    <xdr:to>
      <xdr:col>14</xdr:col>
      <xdr:colOff>495300</xdr:colOff>
      <xdr:row>148</xdr:row>
      <xdr:rowOff>95251</xdr:rowOff>
    </xdr:to>
    <xdr:sp macro="" textlink="">
      <xdr:nvSpPr>
        <xdr:cNvPr id="29" name="TextBox 28">
          <a:extLst>
            <a:ext uri="{FF2B5EF4-FFF2-40B4-BE49-F238E27FC236}">
              <a16:creationId xmlns:a16="http://schemas.microsoft.com/office/drawing/2014/main" id="{06095CF6-CAED-4F5B-A87B-3BA205F98082}"/>
            </a:ext>
          </a:extLst>
        </xdr:cNvPr>
        <xdr:cNvSpPr txBox="1"/>
      </xdr:nvSpPr>
      <xdr:spPr>
        <a:xfrm rot="19462498">
          <a:off x="9982200" y="2877502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485775</xdr:colOff>
      <xdr:row>144</xdr:row>
      <xdr:rowOff>190499</xdr:rowOff>
    </xdr:from>
    <xdr:to>
      <xdr:col>17</xdr:col>
      <xdr:colOff>161925</xdr:colOff>
      <xdr:row>149</xdr:row>
      <xdr:rowOff>104774</xdr:rowOff>
    </xdr:to>
    <xdr:sp macro="" textlink="">
      <xdr:nvSpPr>
        <xdr:cNvPr id="30" name="TextBox 29">
          <a:extLst>
            <a:ext uri="{FF2B5EF4-FFF2-40B4-BE49-F238E27FC236}">
              <a16:creationId xmlns:a16="http://schemas.microsoft.com/office/drawing/2014/main" id="{C91BB3EC-7AFC-41AA-A4C9-B8E4D026AD7C}"/>
            </a:ext>
          </a:extLst>
        </xdr:cNvPr>
        <xdr:cNvSpPr txBox="1"/>
      </xdr:nvSpPr>
      <xdr:spPr>
        <a:xfrm rot="19462498">
          <a:off x="13658850" y="2898457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647700</xdr:colOff>
      <xdr:row>163</xdr:row>
      <xdr:rowOff>133351</xdr:rowOff>
    </xdr:from>
    <xdr:to>
      <xdr:col>7</xdr:col>
      <xdr:colOff>533400</xdr:colOff>
      <xdr:row>168</xdr:row>
      <xdr:rowOff>47626</xdr:rowOff>
    </xdr:to>
    <xdr:sp macro="" textlink="">
      <xdr:nvSpPr>
        <xdr:cNvPr id="31" name="TextBox 30">
          <a:extLst>
            <a:ext uri="{FF2B5EF4-FFF2-40B4-BE49-F238E27FC236}">
              <a16:creationId xmlns:a16="http://schemas.microsoft.com/office/drawing/2014/main" id="{02FE713C-B7C8-4C8C-88C4-0E2EE0C33D79}"/>
            </a:ext>
          </a:extLst>
        </xdr:cNvPr>
        <xdr:cNvSpPr txBox="1"/>
      </xdr:nvSpPr>
      <xdr:spPr>
        <a:xfrm rot="19462498">
          <a:off x="2209800" y="3272790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1428750</xdr:colOff>
      <xdr:row>165</xdr:row>
      <xdr:rowOff>180975</xdr:rowOff>
    </xdr:from>
    <xdr:to>
      <xdr:col>10</xdr:col>
      <xdr:colOff>933450</xdr:colOff>
      <xdr:row>170</xdr:row>
      <xdr:rowOff>95250</xdr:rowOff>
    </xdr:to>
    <xdr:sp macro="" textlink="">
      <xdr:nvSpPr>
        <xdr:cNvPr id="32" name="TextBox 31">
          <a:extLst>
            <a:ext uri="{FF2B5EF4-FFF2-40B4-BE49-F238E27FC236}">
              <a16:creationId xmlns:a16="http://schemas.microsoft.com/office/drawing/2014/main" id="{8DA990C7-915E-4F25-85A5-7C3A190AC689}"/>
            </a:ext>
          </a:extLst>
        </xdr:cNvPr>
        <xdr:cNvSpPr txBox="1"/>
      </xdr:nvSpPr>
      <xdr:spPr>
        <a:xfrm rot="19462498">
          <a:off x="5495925" y="331755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342901</xdr:colOff>
      <xdr:row>164</xdr:row>
      <xdr:rowOff>190500</xdr:rowOff>
    </xdr:from>
    <xdr:to>
      <xdr:col>13</xdr:col>
      <xdr:colOff>1047751</xdr:colOff>
      <xdr:row>169</xdr:row>
      <xdr:rowOff>104775</xdr:rowOff>
    </xdr:to>
    <xdr:sp macro="" textlink="">
      <xdr:nvSpPr>
        <xdr:cNvPr id="33" name="TextBox 32">
          <a:extLst>
            <a:ext uri="{FF2B5EF4-FFF2-40B4-BE49-F238E27FC236}">
              <a16:creationId xmlns:a16="http://schemas.microsoft.com/office/drawing/2014/main" id="{AEAD24A9-D545-4567-B331-3DE6A7405FDA}"/>
            </a:ext>
          </a:extLst>
        </xdr:cNvPr>
        <xdr:cNvSpPr txBox="1"/>
      </xdr:nvSpPr>
      <xdr:spPr>
        <a:xfrm rot="19462498">
          <a:off x="9096376" y="329850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1104900</xdr:colOff>
      <xdr:row>165</xdr:row>
      <xdr:rowOff>66674</xdr:rowOff>
    </xdr:from>
    <xdr:to>
      <xdr:col>16</xdr:col>
      <xdr:colOff>638175</xdr:colOff>
      <xdr:row>169</xdr:row>
      <xdr:rowOff>180974</xdr:rowOff>
    </xdr:to>
    <xdr:sp macro="" textlink="">
      <xdr:nvSpPr>
        <xdr:cNvPr id="34" name="TextBox 33">
          <a:extLst>
            <a:ext uri="{FF2B5EF4-FFF2-40B4-BE49-F238E27FC236}">
              <a16:creationId xmlns:a16="http://schemas.microsoft.com/office/drawing/2014/main" id="{F0ED6EFB-7B5E-4178-9EA3-1C2C017850A2}"/>
            </a:ext>
          </a:extLst>
        </xdr:cNvPr>
        <xdr:cNvSpPr txBox="1"/>
      </xdr:nvSpPr>
      <xdr:spPr>
        <a:xfrm rot="19462498">
          <a:off x="13001625" y="3306127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xdr:col>
      <xdr:colOff>171450</xdr:colOff>
      <xdr:row>184</xdr:row>
      <xdr:rowOff>152400</xdr:rowOff>
    </xdr:from>
    <xdr:to>
      <xdr:col>7</xdr:col>
      <xdr:colOff>838200</xdr:colOff>
      <xdr:row>189</xdr:row>
      <xdr:rowOff>66675</xdr:rowOff>
    </xdr:to>
    <xdr:sp macro="" textlink="">
      <xdr:nvSpPr>
        <xdr:cNvPr id="35" name="TextBox 34">
          <a:extLst>
            <a:ext uri="{FF2B5EF4-FFF2-40B4-BE49-F238E27FC236}">
              <a16:creationId xmlns:a16="http://schemas.microsoft.com/office/drawing/2014/main" id="{2C8893C4-E49D-41FB-AB04-7369C526757F}"/>
            </a:ext>
          </a:extLst>
        </xdr:cNvPr>
        <xdr:cNvSpPr txBox="1"/>
      </xdr:nvSpPr>
      <xdr:spPr>
        <a:xfrm rot="19462498">
          <a:off x="2514600" y="369474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1228724</xdr:colOff>
      <xdr:row>186</xdr:row>
      <xdr:rowOff>95250</xdr:rowOff>
    </xdr:from>
    <xdr:to>
      <xdr:col>10</xdr:col>
      <xdr:colOff>733424</xdr:colOff>
      <xdr:row>191</xdr:row>
      <xdr:rowOff>9525</xdr:rowOff>
    </xdr:to>
    <xdr:sp macro="" textlink="">
      <xdr:nvSpPr>
        <xdr:cNvPr id="36" name="TextBox 35">
          <a:extLst>
            <a:ext uri="{FF2B5EF4-FFF2-40B4-BE49-F238E27FC236}">
              <a16:creationId xmlns:a16="http://schemas.microsoft.com/office/drawing/2014/main" id="{63D81E1A-E244-4B9E-AD40-351C087BCEAF}"/>
            </a:ext>
          </a:extLst>
        </xdr:cNvPr>
        <xdr:cNvSpPr txBox="1"/>
      </xdr:nvSpPr>
      <xdr:spPr>
        <a:xfrm rot="19462498">
          <a:off x="5295899" y="372903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390525</xdr:colOff>
      <xdr:row>185</xdr:row>
      <xdr:rowOff>190500</xdr:rowOff>
    </xdr:from>
    <xdr:to>
      <xdr:col>13</xdr:col>
      <xdr:colOff>1095375</xdr:colOff>
      <xdr:row>190</xdr:row>
      <xdr:rowOff>104775</xdr:rowOff>
    </xdr:to>
    <xdr:sp macro="" textlink="">
      <xdr:nvSpPr>
        <xdr:cNvPr id="37" name="TextBox 36">
          <a:extLst>
            <a:ext uri="{FF2B5EF4-FFF2-40B4-BE49-F238E27FC236}">
              <a16:creationId xmlns:a16="http://schemas.microsoft.com/office/drawing/2014/main" id="{25BB3BAC-60A6-4524-B94D-DDB0EA281E2F}"/>
            </a:ext>
          </a:extLst>
        </xdr:cNvPr>
        <xdr:cNvSpPr txBox="1"/>
      </xdr:nvSpPr>
      <xdr:spPr>
        <a:xfrm rot="19462498">
          <a:off x="9144000" y="371856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1000125</xdr:colOff>
      <xdr:row>187</xdr:row>
      <xdr:rowOff>76200</xdr:rowOff>
    </xdr:from>
    <xdr:to>
      <xdr:col>16</xdr:col>
      <xdr:colOff>533400</xdr:colOff>
      <xdr:row>191</xdr:row>
      <xdr:rowOff>190500</xdr:rowOff>
    </xdr:to>
    <xdr:sp macro="" textlink="">
      <xdr:nvSpPr>
        <xdr:cNvPr id="38" name="TextBox 37">
          <a:extLst>
            <a:ext uri="{FF2B5EF4-FFF2-40B4-BE49-F238E27FC236}">
              <a16:creationId xmlns:a16="http://schemas.microsoft.com/office/drawing/2014/main" id="{DE9E2E81-A72D-4DFF-8BB3-E677BEDAD187}"/>
            </a:ext>
          </a:extLst>
        </xdr:cNvPr>
        <xdr:cNvSpPr txBox="1"/>
      </xdr:nvSpPr>
      <xdr:spPr>
        <a:xfrm rot="19462498">
          <a:off x="12896850" y="374713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552449</xdr:colOff>
      <xdr:row>206</xdr:row>
      <xdr:rowOff>76201</xdr:rowOff>
    </xdr:from>
    <xdr:to>
      <xdr:col>7</xdr:col>
      <xdr:colOff>438149</xdr:colOff>
      <xdr:row>210</xdr:row>
      <xdr:rowOff>190501</xdr:rowOff>
    </xdr:to>
    <xdr:sp macro="" textlink="">
      <xdr:nvSpPr>
        <xdr:cNvPr id="39" name="TextBox 38">
          <a:extLst>
            <a:ext uri="{FF2B5EF4-FFF2-40B4-BE49-F238E27FC236}">
              <a16:creationId xmlns:a16="http://schemas.microsoft.com/office/drawing/2014/main" id="{79B9220E-85E9-46A7-ABF8-3E03094976CE}"/>
            </a:ext>
          </a:extLst>
        </xdr:cNvPr>
        <xdr:cNvSpPr txBox="1"/>
      </xdr:nvSpPr>
      <xdr:spPr>
        <a:xfrm rot="19462498">
          <a:off x="2114549" y="4127182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1571625</xdr:colOff>
      <xdr:row>208</xdr:row>
      <xdr:rowOff>19050</xdr:rowOff>
    </xdr:from>
    <xdr:to>
      <xdr:col>10</xdr:col>
      <xdr:colOff>1076325</xdr:colOff>
      <xdr:row>212</xdr:row>
      <xdr:rowOff>133350</xdr:rowOff>
    </xdr:to>
    <xdr:sp macro="" textlink="">
      <xdr:nvSpPr>
        <xdr:cNvPr id="40" name="TextBox 39">
          <a:extLst>
            <a:ext uri="{FF2B5EF4-FFF2-40B4-BE49-F238E27FC236}">
              <a16:creationId xmlns:a16="http://schemas.microsoft.com/office/drawing/2014/main" id="{90B8248B-EBF8-4A27-8519-B2AD75EDB604}"/>
            </a:ext>
          </a:extLst>
        </xdr:cNvPr>
        <xdr:cNvSpPr txBox="1"/>
      </xdr:nvSpPr>
      <xdr:spPr>
        <a:xfrm rot="19462498">
          <a:off x="5638800" y="416147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581025</xdr:colOff>
      <xdr:row>208</xdr:row>
      <xdr:rowOff>152400</xdr:rowOff>
    </xdr:from>
    <xdr:to>
      <xdr:col>13</xdr:col>
      <xdr:colOff>1285875</xdr:colOff>
      <xdr:row>213</xdr:row>
      <xdr:rowOff>66675</xdr:rowOff>
    </xdr:to>
    <xdr:sp macro="" textlink="">
      <xdr:nvSpPr>
        <xdr:cNvPr id="41" name="TextBox 40">
          <a:extLst>
            <a:ext uri="{FF2B5EF4-FFF2-40B4-BE49-F238E27FC236}">
              <a16:creationId xmlns:a16="http://schemas.microsoft.com/office/drawing/2014/main" id="{2E07CD78-63C9-42B0-A3E1-F8F4CEAF178E}"/>
            </a:ext>
          </a:extLst>
        </xdr:cNvPr>
        <xdr:cNvSpPr txBox="1"/>
      </xdr:nvSpPr>
      <xdr:spPr>
        <a:xfrm rot="19462498">
          <a:off x="9334500" y="417480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1266827</xdr:colOff>
      <xdr:row>208</xdr:row>
      <xdr:rowOff>38099</xdr:rowOff>
    </xdr:from>
    <xdr:to>
      <xdr:col>16</xdr:col>
      <xdr:colOff>800102</xdr:colOff>
      <xdr:row>212</xdr:row>
      <xdr:rowOff>152399</xdr:rowOff>
    </xdr:to>
    <xdr:sp macro="" textlink="">
      <xdr:nvSpPr>
        <xdr:cNvPr id="42" name="TextBox 41">
          <a:extLst>
            <a:ext uri="{FF2B5EF4-FFF2-40B4-BE49-F238E27FC236}">
              <a16:creationId xmlns:a16="http://schemas.microsoft.com/office/drawing/2014/main" id="{7C73ED9E-0584-4650-89AC-9F0993D3C5DB}"/>
            </a:ext>
          </a:extLst>
        </xdr:cNvPr>
        <xdr:cNvSpPr txBox="1"/>
      </xdr:nvSpPr>
      <xdr:spPr>
        <a:xfrm rot="19462498">
          <a:off x="13163552" y="4163377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609599</xdr:colOff>
      <xdr:row>226</xdr:row>
      <xdr:rowOff>161925</xdr:rowOff>
    </xdr:from>
    <xdr:to>
      <xdr:col>7</xdr:col>
      <xdr:colOff>495299</xdr:colOff>
      <xdr:row>231</xdr:row>
      <xdr:rowOff>76200</xdr:rowOff>
    </xdr:to>
    <xdr:sp macro="" textlink="">
      <xdr:nvSpPr>
        <xdr:cNvPr id="43" name="TextBox 42">
          <a:extLst>
            <a:ext uri="{FF2B5EF4-FFF2-40B4-BE49-F238E27FC236}">
              <a16:creationId xmlns:a16="http://schemas.microsoft.com/office/drawing/2014/main" id="{EE0A42C7-26F8-4ECF-A0F3-A3CEB8C577DF}"/>
            </a:ext>
          </a:extLst>
        </xdr:cNvPr>
        <xdr:cNvSpPr txBox="1"/>
      </xdr:nvSpPr>
      <xdr:spPr>
        <a:xfrm rot="19462498">
          <a:off x="2171699" y="453580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1381125</xdr:colOff>
      <xdr:row>227</xdr:row>
      <xdr:rowOff>180975</xdr:rowOff>
    </xdr:from>
    <xdr:to>
      <xdr:col>10</xdr:col>
      <xdr:colOff>885825</xdr:colOff>
      <xdr:row>232</xdr:row>
      <xdr:rowOff>95250</xdr:rowOff>
    </xdr:to>
    <xdr:sp macro="" textlink="">
      <xdr:nvSpPr>
        <xdr:cNvPr id="44" name="TextBox 43">
          <a:extLst>
            <a:ext uri="{FF2B5EF4-FFF2-40B4-BE49-F238E27FC236}">
              <a16:creationId xmlns:a16="http://schemas.microsoft.com/office/drawing/2014/main" id="{03FF313F-B8FE-4A42-B08A-E2AAFE8E213A}"/>
            </a:ext>
          </a:extLst>
        </xdr:cNvPr>
        <xdr:cNvSpPr txBox="1"/>
      </xdr:nvSpPr>
      <xdr:spPr>
        <a:xfrm rot="19462498">
          <a:off x="5448300" y="455771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304800</xdr:colOff>
      <xdr:row>228</xdr:row>
      <xdr:rowOff>171450</xdr:rowOff>
    </xdr:from>
    <xdr:to>
      <xdr:col>13</xdr:col>
      <xdr:colOff>1009650</xdr:colOff>
      <xdr:row>233</xdr:row>
      <xdr:rowOff>85725</xdr:rowOff>
    </xdr:to>
    <xdr:sp macro="" textlink="">
      <xdr:nvSpPr>
        <xdr:cNvPr id="45" name="TextBox 44">
          <a:extLst>
            <a:ext uri="{FF2B5EF4-FFF2-40B4-BE49-F238E27FC236}">
              <a16:creationId xmlns:a16="http://schemas.microsoft.com/office/drawing/2014/main" id="{2D586D27-90E6-4949-8B75-B092A819A0E0}"/>
            </a:ext>
          </a:extLst>
        </xdr:cNvPr>
        <xdr:cNvSpPr txBox="1"/>
      </xdr:nvSpPr>
      <xdr:spPr>
        <a:xfrm rot="19462498">
          <a:off x="9058275" y="457676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1181099</xdr:colOff>
      <xdr:row>228</xdr:row>
      <xdr:rowOff>142875</xdr:rowOff>
    </xdr:from>
    <xdr:to>
      <xdr:col>16</xdr:col>
      <xdr:colOff>714374</xdr:colOff>
      <xdr:row>233</xdr:row>
      <xdr:rowOff>57150</xdr:rowOff>
    </xdr:to>
    <xdr:sp macro="" textlink="">
      <xdr:nvSpPr>
        <xdr:cNvPr id="46" name="TextBox 45">
          <a:extLst>
            <a:ext uri="{FF2B5EF4-FFF2-40B4-BE49-F238E27FC236}">
              <a16:creationId xmlns:a16="http://schemas.microsoft.com/office/drawing/2014/main" id="{AD2262A8-493C-40F5-9C93-E6DD5CDDC132}"/>
            </a:ext>
          </a:extLst>
        </xdr:cNvPr>
        <xdr:cNvSpPr txBox="1"/>
      </xdr:nvSpPr>
      <xdr:spPr>
        <a:xfrm rot="19462498">
          <a:off x="13077824" y="457390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419100</xdr:colOff>
      <xdr:row>248</xdr:row>
      <xdr:rowOff>9525</xdr:rowOff>
    </xdr:from>
    <xdr:to>
      <xdr:col>7</xdr:col>
      <xdr:colOff>304800</xdr:colOff>
      <xdr:row>252</xdr:row>
      <xdr:rowOff>123825</xdr:rowOff>
    </xdr:to>
    <xdr:sp macro="" textlink="">
      <xdr:nvSpPr>
        <xdr:cNvPr id="47" name="TextBox 46">
          <a:extLst>
            <a:ext uri="{FF2B5EF4-FFF2-40B4-BE49-F238E27FC236}">
              <a16:creationId xmlns:a16="http://schemas.microsoft.com/office/drawing/2014/main" id="{6D23CB31-8303-4B05-93A6-154750ECA912}"/>
            </a:ext>
          </a:extLst>
        </xdr:cNvPr>
        <xdr:cNvSpPr txBox="1"/>
      </xdr:nvSpPr>
      <xdr:spPr>
        <a:xfrm rot="19462498">
          <a:off x="1981200" y="496062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1219200</xdr:colOff>
      <xdr:row>249</xdr:row>
      <xdr:rowOff>171450</xdr:rowOff>
    </xdr:from>
    <xdr:to>
      <xdr:col>10</xdr:col>
      <xdr:colOff>723900</xdr:colOff>
      <xdr:row>254</xdr:row>
      <xdr:rowOff>85725</xdr:rowOff>
    </xdr:to>
    <xdr:sp macro="" textlink="">
      <xdr:nvSpPr>
        <xdr:cNvPr id="48" name="TextBox 47">
          <a:extLst>
            <a:ext uri="{FF2B5EF4-FFF2-40B4-BE49-F238E27FC236}">
              <a16:creationId xmlns:a16="http://schemas.microsoft.com/office/drawing/2014/main" id="{3EF3475B-1C8C-4C26-8C92-1F5F74CB1A85}"/>
            </a:ext>
          </a:extLst>
        </xdr:cNvPr>
        <xdr:cNvSpPr txBox="1"/>
      </xdr:nvSpPr>
      <xdr:spPr>
        <a:xfrm rot="19462498">
          <a:off x="5286375" y="499681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819150</xdr:colOff>
      <xdr:row>250</xdr:row>
      <xdr:rowOff>19050</xdr:rowOff>
    </xdr:from>
    <xdr:to>
      <xdr:col>13</xdr:col>
      <xdr:colOff>523875</xdr:colOff>
      <xdr:row>254</xdr:row>
      <xdr:rowOff>133350</xdr:rowOff>
    </xdr:to>
    <xdr:sp macro="" textlink="">
      <xdr:nvSpPr>
        <xdr:cNvPr id="49" name="TextBox 48">
          <a:extLst>
            <a:ext uri="{FF2B5EF4-FFF2-40B4-BE49-F238E27FC236}">
              <a16:creationId xmlns:a16="http://schemas.microsoft.com/office/drawing/2014/main" id="{2274FB03-3987-49EE-8062-F56873F132D6}"/>
            </a:ext>
          </a:extLst>
        </xdr:cNvPr>
        <xdr:cNvSpPr txBox="1"/>
      </xdr:nvSpPr>
      <xdr:spPr>
        <a:xfrm rot="19462498">
          <a:off x="8572500" y="5001577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1028700</xdr:colOff>
      <xdr:row>250</xdr:row>
      <xdr:rowOff>28576</xdr:rowOff>
    </xdr:from>
    <xdr:to>
      <xdr:col>16</xdr:col>
      <xdr:colOff>561975</xdr:colOff>
      <xdr:row>254</xdr:row>
      <xdr:rowOff>142876</xdr:rowOff>
    </xdr:to>
    <xdr:sp macro="" textlink="">
      <xdr:nvSpPr>
        <xdr:cNvPr id="50" name="TextBox 49">
          <a:extLst>
            <a:ext uri="{FF2B5EF4-FFF2-40B4-BE49-F238E27FC236}">
              <a16:creationId xmlns:a16="http://schemas.microsoft.com/office/drawing/2014/main" id="{534A20FD-7374-43A9-818F-6EAC421B4A78}"/>
            </a:ext>
          </a:extLst>
        </xdr:cNvPr>
        <xdr:cNvSpPr txBox="1"/>
      </xdr:nvSpPr>
      <xdr:spPr>
        <a:xfrm rot="19462498">
          <a:off x="12925425" y="5002530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xdr:col>
      <xdr:colOff>209550</xdr:colOff>
      <xdr:row>268</xdr:row>
      <xdr:rowOff>66675</xdr:rowOff>
    </xdr:from>
    <xdr:to>
      <xdr:col>7</xdr:col>
      <xdr:colOff>876300</xdr:colOff>
      <xdr:row>272</xdr:row>
      <xdr:rowOff>180975</xdr:rowOff>
    </xdr:to>
    <xdr:sp macro="" textlink="">
      <xdr:nvSpPr>
        <xdr:cNvPr id="51" name="TextBox 50">
          <a:extLst>
            <a:ext uri="{FF2B5EF4-FFF2-40B4-BE49-F238E27FC236}">
              <a16:creationId xmlns:a16="http://schemas.microsoft.com/office/drawing/2014/main" id="{2E3230D9-91D7-48EA-B52A-18290D41A71F}"/>
            </a:ext>
          </a:extLst>
        </xdr:cNvPr>
        <xdr:cNvSpPr txBox="1"/>
      </xdr:nvSpPr>
      <xdr:spPr>
        <a:xfrm rot="19462498">
          <a:off x="2552700" y="536638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6</xdr:col>
      <xdr:colOff>161925</xdr:colOff>
      <xdr:row>270</xdr:row>
      <xdr:rowOff>104775</xdr:rowOff>
    </xdr:from>
    <xdr:to>
      <xdr:col>11</xdr:col>
      <xdr:colOff>342900</xdr:colOff>
      <xdr:row>275</xdr:row>
      <xdr:rowOff>19050</xdr:rowOff>
    </xdr:to>
    <xdr:sp macro="" textlink="">
      <xdr:nvSpPr>
        <xdr:cNvPr id="52" name="TextBox 51">
          <a:extLst>
            <a:ext uri="{FF2B5EF4-FFF2-40B4-BE49-F238E27FC236}">
              <a16:creationId xmlns:a16="http://schemas.microsoft.com/office/drawing/2014/main" id="{6C669C0E-1B32-4391-BF22-B5BA1BCCC161}"/>
            </a:ext>
          </a:extLst>
        </xdr:cNvPr>
        <xdr:cNvSpPr txBox="1"/>
      </xdr:nvSpPr>
      <xdr:spPr>
        <a:xfrm rot="19462498">
          <a:off x="6038850" y="541020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10</xdr:col>
      <xdr:colOff>47625</xdr:colOff>
      <xdr:row>271</xdr:row>
      <xdr:rowOff>0</xdr:rowOff>
    </xdr:from>
    <xdr:to>
      <xdr:col>14</xdr:col>
      <xdr:colOff>247650</xdr:colOff>
      <xdr:row>275</xdr:row>
      <xdr:rowOff>114300</xdr:rowOff>
    </xdr:to>
    <xdr:sp macro="" textlink="">
      <xdr:nvSpPr>
        <xdr:cNvPr id="53" name="TextBox 52">
          <a:extLst>
            <a:ext uri="{FF2B5EF4-FFF2-40B4-BE49-F238E27FC236}">
              <a16:creationId xmlns:a16="http://schemas.microsoft.com/office/drawing/2014/main" id="{9C54788B-CF8C-4B6C-A210-28134BFF4051}"/>
            </a:ext>
          </a:extLst>
        </xdr:cNvPr>
        <xdr:cNvSpPr txBox="1"/>
      </xdr:nvSpPr>
      <xdr:spPr>
        <a:xfrm rot="19462498">
          <a:off x="9734550" y="541972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400050</xdr:colOff>
      <xdr:row>271</xdr:row>
      <xdr:rowOff>95250</xdr:rowOff>
    </xdr:from>
    <xdr:to>
      <xdr:col>17</xdr:col>
      <xdr:colOff>76200</xdr:colOff>
      <xdr:row>276</xdr:row>
      <xdr:rowOff>9525</xdr:rowOff>
    </xdr:to>
    <xdr:sp macro="" textlink="">
      <xdr:nvSpPr>
        <xdr:cNvPr id="54" name="TextBox 53">
          <a:extLst>
            <a:ext uri="{FF2B5EF4-FFF2-40B4-BE49-F238E27FC236}">
              <a16:creationId xmlns:a16="http://schemas.microsoft.com/office/drawing/2014/main" id="{FFAE65E7-4CA1-4398-AF9C-B603F4165A3D}"/>
            </a:ext>
          </a:extLst>
        </xdr:cNvPr>
        <xdr:cNvSpPr txBox="1"/>
      </xdr:nvSpPr>
      <xdr:spPr>
        <a:xfrm rot="19462498">
          <a:off x="13573125" y="542925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628651</xdr:colOff>
      <xdr:row>292</xdr:row>
      <xdr:rowOff>47624</xdr:rowOff>
    </xdr:from>
    <xdr:to>
      <xdr:col>7</xdr:col>
      <xdr:colOff>514351</xdr:colOff>
      <xdr:row>296</xdr:row>
      <xdr:rowOff>161924</xdr:rowOff>
    </xdr:to>
    <xdr:sp macro="" textlink="">
      <xdr:nvSpPr>
        <xdr:cNvPr id="55" name="TextBox 54">
          <a:extLst>
            <a:ext uri="{FF2B5EF4-FFF2-40B4-BE49-F238E27FC236}">
              <a16:creationId xmlns:a16="http://schemas.microsoft.com/office/drawing/2014/main" id="{05C0D4FD-A7B2-434E-B09E-60EA4425FD9F}"/>
            </a:ext>
          </a:extLst>
        </xdr:cNvPr>
        <xdr:cNvSpPr txBox="1"/>
      </xdr:nvSpPr>
      <xdr:spPr>
        <a:xfrm rot="19462498">
          <a:off x="2190751" y="584453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1162050</xdr:colOff>
      <xdr:row>293</xdr:row>
      <xdr:rowOff>152399</xdr:rowOff>
    </xdr:from>
    <xdr:to>
      <xdr:col>10</xdr:col>
      <xdr:colOff>666750</xdr:colOff>
      <xdr:row>298</xdr:row>
      <xdr:rowOff>66674</xdr:rowOff>
    </xdr:to>
    <xdr:sp macro="" textlink="">
      <xdr:nvSpPr>
        <xdr:cNvPr id="56" name="TextBox 55">
          <a:extLst>
            <a:ext uri="{FF2B5EF4-FFF2-40B4-BE49-F238E27FC236}">
              <a16:creationId xmlns:a16="http://schemas.microsoft.com/office/drawing/2014/main" id="{73DC55A0-62C9-46AE-A492-3AAC9E73929E}"/>
            </a:ext>
          </a:extLst>
        </xdr:cNvPr>
        <xdr:cNvSpPr txBox="1"/>
      </xdr:nvSpPr>
      <xdr:spPr>
        <a:xfrm rot="19462498">
          <a:off x="5229225" y="587501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885825</xdr:colOff>
      <xdr:row>294</xdr:row>
      <xdr:rowOff>123825</xdr:rowOff>
    </xdr:from>
    <xdr:to>
      <xdr:col>13</xdr:col>
      <xdr:colOff>590550</xdr:colOff>
      <xdr:row>299</xdr:row>
      <xdr:rowOff>38100</xdr:rowOff>
    </xdr:to>
    <xdr:sp macro="" textlink="">
      <xdr:nvSpPr>
        <xdr:cNvPr id="57" name="TextBox 56">
          <a:extLst>
            <a:ext uri="{FF2B5EF4-FFF2-40B4-BE49-F238E27FC236}">
              <a16:creationId xmlns:a16="http://schemas.microsoft.com/office/drawing/2014/main" id="{01072FF1-3483-4D7C-A35F-1A980FBA4293}"/>
            </a:ext>
          </a:extLst>
        </xdr:cNvPr>
        <xdr:cNvSpPr txBox="1"/>
      </xdr:nvSpPr>
      <xdr:spPr>
        <a:xfrm rot="19462498">
          <a:off x="8639175" y="589216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142875</xdr:colOff>
      <xdr:row>294</xdr:row>
      <xdr:rowOff>114300</xdr:rowOff>
    </xdr:from>
    <xdr:to>
      <xdr:col>16</xdr:col>
      <xdr:colOff>952500</xdr:colOff>
      <xdr:row>299</xdr:row>
      <xdr:rowOff>28575</xdr:rowOff>
    </xdr:to>
    <xdr:sp macro="" textlink="">
      <xdr:nvSpPr>
        <xdr:cNvPr id="58" name="TextBox 57">
          <a:extLst>
            <a:ext uri="{FF2B5EF4-FFF2-40B4-BE49-F238E27FC236}">
              <a16:creationId xmlns:a16="http://schemas.microsoft.com/office/drawing/2014/main" id="{C7023C02-2A38-4AA5-9C91-5CFAC881F9C6}"/>
            </a:ext>
          </a:extLst>
        </xdr:cNvPr>
        <xdr:cNvSpPr txBox="1"/>
      </xdr:nvSpPr>
      <xdr:spPr>
        <a:xfrm rot="19462498">
          <a:off x="13315950" y="5891212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3</xdr:col>
      <xdr:colOff>104774</xdr:colOff>
      <xdr:row>313</xdr:row>
      <xdr:rowOff>57149</xdr:rowOff>
    </xdr:from>
    <xdr:to>
      <xdr:col>7</xdr:col>
      <xdr:colOff>771524</xdr:colOff>
      <xdr:row>317</xdr:row>
      <xdr:rowOff>171449</xdr:rowOff>
    </xdr:to>
    <xdr:sp macro="" textlink="">
      <xdr:nvSpPr>
        <xdr:cNvPr id="59" name="TextBox 58">
          <a:extLst>
            <a:ext uri="{FF2B5EF4-FFF2-40B4-BE49-F238E27FC236}">
              <a16:creationId xmlns:a16="http://schemas.microsoft.com/office/drawing/2014/main" id="{0C0F6FC4-21B5-4E19-85C6-64B7941E7C8B}"/>
            </a:ext>
          </a:extLst>
        </xdr:cNvPr>
        <xdr:cNvSpPr txBox="1"/>
      </xdr:nvSpPr>
      <xdr:spPr>
        <a:xfrm rot="19462498">
          <a:off x="2447924" y="6265544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1752600</xdr:colOff>
      <xdr:row>314</xdr:row>
      <xdr:rowOff>161925</xdr:rowOff>
    </xdr:from>
    <xdr:to>
      <xdr:col>11</xdr:col>
      <xdr:colOff>123825</xdr:colOff>
      <xdr:row>319</xdr:row>
      <xdr:rowOff>76200</xdr:rowOff>
    </xdr:to>
    <xdr:sp macro="" textlink="">
      <xdr:nvSpPr>
        <xdr:cNvPr id="60" name="TextBox 59">
          <a:extLst>
            <a:ext uri="{FF2B5EF4-FFF2-40B4-BE49-F238E27FC236}">
              <a16:creationId xmlns:a16="http://schemas.microsoft.com/office/drawing/2014/main" id="{E05529EE-440D-4353-B49A-15FBC1B8DFD3}"/>
            </a:ext>
          </a:extLst>
        </xdr:cNvPr>
        <xdr:cNvSpPr txBox="1"/>
      </xdr:nvSpPr>
      <xdr:spPr>
        <a:xfrm rot="19462498">
          <a:off x="5819775" y="6296025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590550</xdr:colOff>
      <xdr:row>315</xdr:row>
      <xdr:rowOff>66676</xdr:rowOff>
    </xdr:from>
    <xdr:to>
      <xdr:col>13</xdr:col>
      <xdr:colOff>1295400</xdr:colOff>
      <xdr:row>319</xdr:row>
      <xdr:rowOff>180976</xdr:rowOff>
    </xdr:to>
    <xdr:sp macro="" textlink="">
      <xdr:nvSpPr>
        <xdr:cNvPr id="61" name="TextBox 60">
          <a:extLst>
            <a:ext uri="{FF2B5EF4-FFF2-40B4-BE49-F238E27FC236}">
              <a16:creationId xmlns:a16="http://schemas.microsoft.com/office/drawing/2014/main" id="{EA03539B-253A-4A9A-A633-9CC663736FD1}"/>
            </a:ext>
          </a:extLst>
        </xdr:cNvPr>
        <xdr:cNvSpPr txBox="1"/>
      </xdr:nvSpPr>
      <xdr:spPr>
        <a:xfrm rot="19462498">
          <a:off x="9344025" y="6306502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161925</xdr:colOff>
      <xdr:row>316</xdr:row>
      <xdr:rowOff>9526</xdr:rowOff>
    </xdr:from>
    <xdr:to>
      <xdr:col>16</xdr:col>
      <xdr:colOff>971550</xdr:colOff>
      <xdr:row>320</xdr:row>
      <xdr:rowOff>123826</xdr:rowOff>
    </xdr:to>
    <xdr:sp macro="" textlink="">
      <xdr:nvSpPr>
        <xdr:cNvPr id="62" name="TextBox 61">
          <a:extLst>
            <a:ext uri="{FF2B5EF4-FFF2-40B4-BE49-F238E27FC236}">
              <a16:creationId xmlns:a16="http://schemas.microsoft.com/office/drawing/2014/main" id="{71AAF91F-98BD-4709-936E-EB68EC122440}"/>
            </a:ext>
          </a:extLst>
        </xdr:cNvPr>
        <xdr:cNvSpPr txBox="1"/>
      </xdr:nvSpPr>
      <xdr:spPr>
        <a:xfrm rot="19462498">
          <a:off x="13335000" y="6320790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627529</xdr:colOff>
      <xdr:row>336</xdr:row>
      <xdr:rowOff>89647</xdr:rowOff>
    </xdr:from>
    <xdr:to>
      <xdr:col>6</xdr:col>
      <xdr:colOff>642097</xdr:colOff>
      <xdr:row>340</xdr:row>
      <xdr:rowOff>197224</xdr:rowOff>
    </xdr:to>
    <xdr:sp macro="" textlink="">
      <xdr:nvSpPr>
        <xdr:cNvPr id="64" name="TextBox 63">
          <a:extLst>
            <a:ext uri="{FF2B5EF4-FFF2-40B4-BE49-F238E27FC236}">
              <a16:creationId xmlns:a16="http://schemas.microsoft.com/office/drawing/2014/main" id="{9A0F64A2-4652-4137-94DE-45489BE20796}"/>
            </a:ext>
          </a:extLst>
        </xdr:cNvPr>
        <xdr:cNvSpPr txBox="1"/>
      </xdr:nvSpPr>
      <xdr:spPr>
        <a:xfrm rot="19462498">
          <a:off x="1411941" y="6785161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1165411</xdr:colOff>
      <xdr:row>337</xdr:row>
      <xdr:rowOff>156883</xdr:rowOff>
    </xdr:from>
    <xdr:to>
      <xdr:col>10</xdr:col>
      <xdr:colOff>675714</xdr:colOff>
      <xdr:row>342</xdr:row>
      <xdr:rowOff>62753</xdr:rowOff>
    </xdr:to>
    <xdr:sp macro="" textlink="">
      <xdr:nvSpPr>
        <xdr:cNvPr id="65" name="TextBox 64">
          <a:extLst>
            <a:ext uri="{FF2B5EF4-FFF2-40B4-BE49-F238E27FC236}">
              <a16:creationId xmlns:a16="http://schemas.microsoft.com/office/drawing/2014/main" id="{C63A2A7F-C160-4768-97BF-BEF0BC85E69D}"/>
            </a:ext>
          </a:extLst>
        </xdr:cNvPr>
        <xdr:cNvSpPr txBox="1"/>
      </xdr:nvSpPr>
      <xdr:spPr>
        <a:xfrm rot="19462498">
          <a:off x="5244352" y="6812055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44824</xdr:colOff>
      <xdr:row>337</xdr:row>
      <xdr:rowOff>100853</xdr:rowOff>
    </xdr:from>
    <xdr:to>
      <xdr:col>13</xdr:col>
      <xdr:colOff>754156</xdr:colOff>
      <xdr:row>342</xdr:row>
      <xdr:rowOff>6723</xdr:rowOff>
    </xdr:to>
    <xdr:sp macro="" textlink="">
      <xdr:nvSpPr>
        <xdr:cNvPr id="66" name="TextBox 65">
          <a:extLst>
            <a:ext uri="{FF2B5EF4-FFF2-40B4-BE49-F238E27FC236}">
              <a16:creationId xmlns:a16="http://schemas.microsoft.com/office/drawing/2014/main" id="{6FC6EB07-014F-4216-8A7E-A450E8FFA54E}"/>
            </a:ext>
          </a:extLst>
        </xdr:cNvPr>
        <xdr:cNvSpPr txBox="1"/>
      </xdr:nvSpPr>
      <xdr:spPr>
        <a:xfrm rot="19462498">
          <a:off x="8807824" y="6806452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33617</xdr:colOff>
      <xdr:row>337</xdr:row>
      <xdr:rowOff>56031</xdr:rowOff>
    </xdr:from>
    <xdr:to>
      <xdr:col>16</xdr:col>
      <xdr:colOff>855009</xdr:colOff>
      <xdr:row>341</xdr:row>
      <xdr:rowOff>163607</xdr:rowOff>
    </xdr:to>
    <xdr:sp macro="" textlink="">
      <xdr:nvSpPr>
        <xdr:cNvPr id="67" name="TextBox 66">
          <a:extLst>
            <a:ext uri="{FF2B5EF4-FFF2-40B4-BE49-F238E27FC236}">
              <a16:creationId xmlns:a16="http://schemas.microsoft.com/office/drawing/2014/main" id="{DA42C403-1CC4-46CD-97A3-F61D9C70252D}"/>
            </a:ext>
          </a:extLst>
        </xdr:cNvPr>
        <xdr:cNvSpPr txBox="1"/>
      </xdr:nvSpPr>
      <xdr:spPr>
        <a:xfrm rot="19462498">
          <a:off x="13211735" y="6801970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537882</xdr:colOff>
      <xdr:row>359</xdr:row>
      <xdr:rowOff>22412</xdr:rowOff>
    </xdr:from>
    <xdr:to>
      <xdr:col>6</xdr:col>
      <xdr:colOff>552450</xdr:colOff>
      <xdr:row>363</xdr:row>
      <xdr:rowOff>129989</xdr:rowOff>
    </xdr:to>
    <xdr:sp macro="" textlink="">
      <xdr:nvSpPr>
        <xdr:cNvPr id="68" name="TextBox 67">
          <a:extLst>
            <a:ext uri="{FF2B5EF4-FFF2-40B4-BE49-F238E27FC236}">
              <a16:creationId xmlns:a16="http://schemas.microsoft.com/office/drawing/2014/main" id="{9447A3FF-7F62-4938-B5E1-A1A37F80BDC0}"/>
            </a:ext>
          </a:extLst>
        </xdr:cNvPr>
        <xdr:cNvSpPr txBox="1"/>
      </xdr:nvSpPr>
      <xdr:spPr>
        <a:xfrm rot="19462498">
          <a:off x="1322294" y="7242361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1154206</xdr:colOff>
      <xdr:row>360</xdr:row>
      <xdr:rowOff>145676</xdr:rowOff>
    </xdr:from>
    <xdr:to>
      <xdr:col>10</xdr:col>
      <xdr:colOff>664509</xdr:colOff>
      <xdr:row>365</xdr:row>
      <xdr:rowOff>51547</xdr:rowOff>
    </xdr:to>
    <xdr:sp macro="" textlink="">
      <xdr:nvSpPr>
        <xdr:cNvPr id="69" name="TextBox 68">
          <a:extLst>
            <a:ext uri="{FF2B5EF4-FFF2-40B4-BE49-F238E27FC236}">
              <a16:creationId xmlns:a16="http://schemas.microsoft.com/office/drawing/2014/main" id="{A46F66D0-A086-42DA-A3A1-CF85FACC38CC}"/>
            </a:ext>
          </a:extLst>
        </xdr:cNvPr>
        <xdr:cNvSpPr txBox="1"/>
      </xdr:nvSpPr>
      <xdr:spPr>
        <a:xfrm rot="19462498">
          <a:off x="5233147" y="7274858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896471</xdr:colOff>
      <xdr:row>361</xdr:row>
      <xdr:rowOff>123265</xdr:rowOff>
    </xdr:from>
    <xdr:to>
      <xdr:col>13</xdr:col>
      <xdr:colOff>608479</xdr:colOff>
      <xdr:row>366</xdr:row>
      <xdr:rowOff>29136</xdr:rowOff>
    </xdr:to>
    <xdr:sp macro="" textlink="">
      <xdr:nvSpPr>
        <xdr:cNvPr id="70" name="TextBox 69">
          <a:extLst>
            <a:ext uri="{FF2B5EF4-FFF2-40B4-BE49-F238E27FC236}">
              <a16:creationId xmlns:a16="http://schemas.microsoft.com/office/drawing/2014/main" id="{B729B30C-1CD7-4EE0-BE25-AA84516CAA9A}"/>
            </a:ext>
          </a:extLst>
        </xdr:cNvPr>
        <xdr:cNvSpPr txBox="1"/>
      </xdr:nvSpPr>
      <xdr:spPr>
        <a:xfrm rot="19462498">
          <a:off x="8662147" y="7292788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123264</xdr:colOff>
      <xdr:row>360</xdr:row>
      <xdr:rowOff>168087</xdr:rowOff>
    </xdr:from>
    <xdr:to>
      <xdr:col>16</xdr:col>
      <xdr:colOff>944656</xdr:colOff>
      <xdr:row>365</xdr:row>
      <xdr:rowOff>73958</xdr:rowOff>
    </xdr:to>
    <xdr:sp macro="" textlink="">
      <xdr:nvSpPr>
        <xdr:cNvPr id="71" name="TextBox 70">
          <a:extLst>
            <a:ext uri="{FF2B5EF4-FFF2-40B4-BE49-F238E27FC236}">
              <a16:creationId xmlns:a16="http://schemas.microsoft.com/office/drawing/2014/main" id="{4230946B-FA6D-4983-8EEC-86ABEA143B5F}"/>
            </a:ext>
          </a:extLst>
        </xdr:cNvPr>
        <xdr:cNvSpPr txBox="1"/>
      </xdr:nvSpPr>
      <xdr:spPr>
        <a:xfrm rot="19462498">
          <a:off x="13301382" y="727709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481851</xdr:colOff>
      <xdr:row>379</xdr:row>
      <xdr:rowOff>33616</xdr:rowOff>
    </xdr:from>
    <xdr:to>
      <xdr:col>6</xdr:col>
      <xdr:colOff>496419</xdr:colOff>
      <xdr:row>383</xdr:row>
      <xdr:rowOff>141193</xdr:rowOff>
    </xdr:to>
    <xdr:sp macro="" textlink="">
      <xdr:nvSpPr>
        <xdr:cNvPr id="72" name="TextBox 71">
          <a:extLst>
            <a:ext uri="{FF2B5EF4-FFF2-40B4-BE49-F238E27FC236}">
              <a16:creationId xmlns:a16="http://schemas.microsoft.com/office/drawing/2014/main" id="{0BA68712-8791-4209-B347-D05FCECD327C}"/>
            </a:ext>
          </a:extLst>
        </xdr:cNvPr>
        <xdr:cNvSpPr txBox="1"/>
      </xdr:nvSpPr>
      <xdr:spPr>
        <a:xfrm rot="19462498">
          <a:off x="1266263" y="7646894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1288676</xdr:colOff>
      <xdr:row>380</xdr:row>
      <xdr:rowOff>112058</xdr:rowOff>
    </xdr:from>
    <xdr:to>
      <xdr:col>10</xdr:col>
      <xdr:colOff>798979</xdr:colOff>
      <xdr:row>385</xdr:row>
      <xdr:rowOff>17928</xdr:rowOff>
    </xdr:to>
    <xdr:sp macro="" textlink="">
      <xdr:nvSpPr>
        <xdr:cNvPr id="73" name="TextBox 72">
          <a:extLst>
            <a:ext uri="{FF2B5EF4-FFF2-40B4-BE49-F238E27FC236}">
              <a16:creationId xmlns:a16="http://schemas.microsoft.com/office/drawing/2014/main" id="{85AB5929-C006-47E2-8392-AC57E599E933}"/>
            </a:ext>
          </a:extLst>
        </xdr:cNvPr>
        <xdr:cNvSpPr txBox="1"/>
      </xdr:nvSpPr>
      <xdr:spPr>
        <a:xfrm rot="19462498">
          <a:off x="5367617" y="7674908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392207</xdr:colOff>
      <xdr:row>381</xdr:row>
      <xdr:rowOff>67235</xdr:rowOff>
    </xdr:from>
    <xdr:to>
      <xdr:col>13</xdr:col>
      <xdr:colOff>1101539</xdr:colOff>
      <xdr:row>385</xdr:row>
      <xdr:rowOff>174811</xdr:rowOff>
    </xdr:to>
    <xdr:sp macro="" textlink="">
      <xdr:nvSpPr>
        <xdr:cNvPr id="74" name="TextBox 73">
          <a:extLst>
            <a:ext uri="{FF2B5EF4-FFF2-40B4-BE49-F238E27FC236}">
              <a16:creationId xmlns:a16="http://schemas.microsoft.com/office/drawing/2014/main" id="{8BE8C588-B5A9-4E17-A472-55AD5F78C571}"/>
            </a:ext>
          </a:extLst>
        </xdr:cNvPr>
        <xdr:cNvSpPr txBox="1"/>
      </xdr:nvSpPr>
      <xdr:spPr>
        <a:xfrm rot="19462498">
          <a:off x="9155207" y="7690597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156882</xdr:colOff>
      <xdr:row>383</xdr:row>
      <xdr:rowOff>100853</xdr:rowOff>
    </xdr:from>
    <xdr:to>
      <xdr:col>16</xdr:col>
      <xdr:colOff>978274</xdr:colOff>
      <xdr:row>388</xdr:row>
      <xdr:rowOff>6724</xdr:rowOff>
    </xdr:to>
    <xdr:sp macro="" textlink="">
      <xdr:nvSpPr>
        <xdr:cNvPr id="75" name="TextBox 74">
          <a:extLst>
            <a:ext uri="{FF2B5EF4-FFF2-40B4-BE49-F238E27FC236}">
              <a16:creationId xmlns:a16="http://schemas.microsoft.com/office/drawing/2014/main" id="{A76C0DD7-F2AE-4549-ABB2-89476D9D6352}"/>
            </a:ext>
          </a:extLst>
        </xdr:cNvPr>
        <xdr:cNvSpPr txBox="1"/>
      </xdr:nvSpPr>
      <xdr:spPr>
        <a:xfrm rot="19462498">
          <a:off x="13335000" y="773430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392205</xdr:colOff>
      <xdr:row>400</xdr:row>
      <xdr:rowOff>78442</xdr:rowOff>
    </xdr:from>
    <xdr:to>
      <xdr:col>6</xdr:col>
      <xdr:colOff>406773</xdr:colOff>
      <xdr:row>404</xdr:row>
      <xdr:rowOff>186018</xdr:rowOff>
    </xdr:to>
    <xdr:sp macro="" textlink="">
      <xdr:nvSpPr>
        <xdr:cNvPr id="76" name="TextBox 75">
          <a:extLst>
            <a:ext uri="{FF2B5EF4-FFF2-40B4-BE49-F238E27FC236}">
              <a16:creationId xmlns:a16="http://schemas.microsoft.com/office/drawing/2014/main" id="{7EDB96B6-DC54-4DC2-9096-4DB5455B9A35}"/>
            </a:ext>
          </a:extLst>
        </xdr:cNvPr>
        <xdr:cNvSpPr txBox="1"/>
      </xdr:nvSpPr>
      <xdr:spPr>
        <a:xfrm rot="19462498">
          <a:off x="1176617" y="8074958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163606</xdr:colOff>
      <xdr:row>401</xdr:row>
      <xdr:rowOff>51548</xdr:rowOff>
    </xdr:from>
    <xdr:to>
      <xdr:col>9</xdr:col>
      <xdr:colOff>603997</xdr:colOff>
      <xdr:row>405</xdr:row>
      <xdr:rowOff>159125</xdr:rowOff>
    </xdr:to>
    <xdr:sp macro="" textlink="">
      <xdr:nvSpPr>
        <xdr:cNvPr id="77" name="TextBox 76">
          <a:extLst>
            <a:ext uri="{FF2B5EF4-FFF2-40B4-BE49-F238E27FC236}">
              <a16:creationId xmlns:a16="http://schemas.microsoft.com/office/drawing/2014/main" id="{3F1A9B90-2B69-461D-B989-68DCB023E66A}"/>
            </a:ext>
          </a:extLst>
        </xdr:cNvPr>
        <xdr:cNvSpPr txBox="1"/>
      </xdr:nvSpPr>
      <xdr:spPr>
        <a:xfrm rot="19462498">
          <a:off x="4242547" y="8092440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7</xdr:col>
      <xdr:colOff>672353</xdr:colOff>
      <xdr:row>403</xdr:row>
      <xdr:rowOff>100851</xdr:rowOff>
    </xdr:from>
    <xdr:to>
      <xdr:col>12</xdr:col>
      <xdr:colOff>709332</xdr:colOff>
      <xdr:row>408</xdr:row>
      <xdr:rowOff>6722</xdr:rowOff>
    </xdr:to>
    <xdr:sp macro="" textlink="">
      <xdr:nvSpPr>
        <xdr:cNvPr id="78" name="TextBox 77">
          <a:extLst>
            <a:ext uri="{FF2B5EF4-FFF2-40B4-BE49-F238E27FC236}">
              <a16:creationId xmlns:a16="http://schemas.microsoft.com/office/drawing/2014/main" id="{A6B4C5BE-83EC-471A-9EA4-93B327B49007}"/>
            </a:ext>
          </a:extLst>
        </xdr:cNvPr>
        <xdr:cNvSpPr txBox="1"/>
      </xdr:nvSpPr>
      <xdr:spPr>
        <a:xfrm rot="19462498">
          <a:off x="7485529" y="8137711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448236</xdr:colOff>
      <xdr:row>402</xdr:row>
      <xdr:rowOff>44823</xdr:rowOff>
    </xdr:from>
    <xdr:to>
      <xdr:col>15</xdr:col>
      <xdr:colOff>1426509</xdr:colOff>
      <xdr:row>406</xdr:row>
      <xdr:rowOff>152400</xdr:rowOff>
    </xdr:to>
    <xdr:sp macro="" textlink="">
      <xdr:nvSpPr>
        <xdr:cNvPr id="79" name="TextBox 78">
          <a:extLst>
            <a:ext uri="{FF2B5EF4-FFF2-40B4-BE49-F238E27FC236}">
              <a16:creationId xmlns:a16="http://schemas.microsoft.com/office/drawing/2014/main" id="{98974D1A-8558-408D-BAA5-1C4153952593}"/>
            </a:ext>
          </a:extLst>
        </xdr:cNvPr>
        <xdr:cNvSpPr txBox="1"/>
      </xdr:nvSpPr>
      <xdr:spPr>
        <a:xfrm rot="19462498">
          <a:off x="12348883" y="81119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661146</xdr:colOff>
      <xdr:row>422</xdr:row>
      <xdr:rowOff>44824</xdr:rowOff>
    </xdr:from>
    <xdr:to>
      <xdr:col>6</xdr:col>
      <xdr:colOff>675714</xdr:colOff>
      <xdr:row>426</xdr:row>
      <xdr:rowOff>152400</xdr:rowOff>
    </xdr:to>
    <xdr:sp macro="" textlink="">
      <xdr:nvSpPr>
        <xdr:cNvPr id="80" name="TextBox 79">
          <a:extLst>
            <a:ext uri="{FF2B5EF4-FFF2-40B4-BE49-F238E27FC236}">
              <a16:creationId xmlns:a16="http://schemas.microsoft.com/office/drawing/2014/main" id="{6970870A-B2B7-459E-96D8-FA9DB2BDFF16}"/>
            </a:ext>
          </a:extLst>
        </xdr:cNvPr>
        <xdr:cNvSpPr txBox="1"/>
      </xdr:nvSpPr>
      <xdr:spPr>
        <a:xfrm rot="19462498">
          <a:off x="1445558" y="8515350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1030940</xdr:colOff>
      <xdr:row>423</xdr:row>
      <xdr:rowOff>201705</xdr:rowOff>
    </xdr:from>
    <xdr:to>
      <xdr:col>10</xdr:col>
      <xdr:colOff>541243</xdr:colOff>
      <xdr:row>428</xdr:row>
      <xdr:rowOff>107575</xdr:rowOff>
    </xdr:to>
    <xdr:sp macro="" textlink="">
      <xdr:nvSpPr>
        <xdr:cNvPr id="81" name="TextBox 80">
          <a:extLst>
            <a:ext uri="{FF2B5EF4-FFF2-40B4-BE49-F238E27FC236}">
              <a16:creationId xmlns:a16="http://schemas.microsoft.com/office/drawing/2014/main" id="{76082CA9-7390-4B9B-A43D-2D09D2EE144F}"/>
            </a:ext>
          </a:extLst>
        </xdr:cNvPr>
        <xdr:cNvSpPr txBox="1"/>
      </xdr:nvSpPr>
      <xdr:spPr>
        <a:xfrm rot="19462498">
          <a:off x="5109881" y="8551208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302560</xdr:colOff>
      <xdr:row>424</xdr:row>
      <xdr:rowOff>134471</xdr:rowOff>
    </xdr:from>
    <xdr:to>
      <xdr:col>13</xdr:col>
      <xdr:colOff>1011892</xdr:colOff>
      <xdr:row>429</xdr:row>
      <xdr:rowOff>40341</xdr:rowOff>
    </xdr:to>
    <xdr:sp macro="" textlink="">
      <xdr:nvSpPr>
        <xdr:cNvPr id="82" name="TextBox 81">
          <a:extLst>
            <a:ext uri="{FF2B5EF4-FFF2-40B4-BE49-F238E27FC236}">
              <a16:creationId xmlns:a16="http://schemas.microsoft.com/office/drawing/2014/main" id="{AE4A0CED-4F46-4AD7-AD9A-4AE7C393ADDA}"/>
            </a:ext>
          </a:extLst>
        </xdr:cNvPr>
        <xdr:cNvSpPr txBox="1"/>
      </xdr:nvSpPr>
      <xdr:spPr>
        <a:xfrm rot="19462498">
          <a:off x="9065560" y="8564655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1064559</xdr:colOff>
      <xdr:row>425</xdr:row>
      <xdr:rowOff>0</xdr:rowOff>
    </xdr:from>
    <xdr:to>
      <xdr:col>16</xdr:col>
      <xdr:colOff>608480</xdr:colOff>
      <xdr:row>429</xdr:row>
      <xdr:rowOff>107576</xdr:rowOff>
    </xdr:to>
    <xdr:sp macro="" textlink="">
      <xdr:nvSpPr>
        <xdr:cNvPr id="83" name="TextBox 82">
          <a:extLst>
            <a:ext uri="{FF2B5EF4-FFF2-40B4-BE49-F238E27FC236}">
              <a16:creationId xmlns:a16="http://schemas.microsoft.com/office/drawing/2014/main" id="{63CDAD1E-09F0-4D47-9B12-F43A1CA325F2}"/>
            </a:ext>
          </a:extLst>
        </xdr:cNvPr>
        <xdr:cNvSpPr txBox="1"/>
      </xdr:nvSpPr>
      <xdr:spPr>
        <a:xfrm rot="19462498">
          <a:off x="12965206" y="8571379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369794</xdr:colOff>
      <xdr:row>444</xdr:row>
      <xdr:rowOff>100853</xdr:rowOff>
    </xdr:from>
    <xdr:to>
      <xdr:col>6</xdr:col>
      <xdr:colOff>384362</xdr:colOff>
      <xdr:row>449</xdr:row>
      <xdr:rowOff>6724</xdr:rowOff>
    </xdr:to>
    <xdr:sp macro="" textlink="">
      <xdr:nvSpPr>
        <xdr:cNvPr id="84" name="TextBox 83">
          <a:extLst>
            <a:ext uri="{FF2B5EF4-FFF2-40B4-BE49-F238E27FC236}">
              <a16:creationId xmlns:a16="http://schemas.microsoft.com/office/drawing/2014/main" id="{7EDA0E25-EEE8-4B14-B09B-6C2B5FF12A11}"/>
            </a:ext>
          </a:extLst>
        </xdr:cNvPr>
        <xdr:cNvSpPr txBox="1"/>
      </xdr:nvSpPr>
      <xdr:spPr>
        <a:xfrm rot="19462498">
          <a:off x="1154206" y="8964705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941294</xdr:colOff>
      <xdr:row>443</xdr:row>
      <xdr:rowOff>179295</xdr:rowOff>
    </xdr:from>
    <xdr:to>
      <xdr:col>10</xdr:col>
      <xdr:colOff>451597</xdr:colOff>
      <xdr:row>448</xdr:row>
      <xdr:rowOff>85166</xdr:rowOff>
    </xdr:to>
    <xdr:sp macro="" textlink="">
      <xdr:nvSpPr>
        <xdr:cNvPr id="85" name="TextBox 84">
          <a:extLst>
            <a:ext uri="{FF2B5EF4-FFF2-40B4-BE49-F238E27FC236}">
              <a16:creationId xmlns:a16="http://schemas.microsoft.com/office/drawing/2014/main" id="{B749732A-29B8-4A75-8D0C-B66B3BAF75D4}"/>
            </a:ext>
          </a:extLst>
        </xdr:cNvPr>
        <xdr:cNvSpPr txBox="1"/>
      </xdr:nvSpPr>
      <xdr:spPr>
        <a:xfrm rot="19462498">
          <a:off x="5020235" y="8952379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56029</xdr:colOff>
      <xdr:row>445</xdr:row>
      <xdr:rowOff>112058</xdr:rowOff>
    </xdr:from>
    <xdr:to>
      <xdr:col>13</xdr:col>
      <xdr:colOff>765361</xdr:colOff>
      <xdr:row>450</xdr:row>
      <xdr:rowOff>17929</xdr:rowOff>
    </xdr:to>
    <xdr:sp macro="" textlink="">
      <xdr:nvSpPr>
        <xdr:cNvPr id="86" name="TextBox 85">
          <a:extLst>
            <a:ext uri="{FF2B5EF4-FFF2-40B4-BE49-F238E27FC236}">
              <a16:creationId xmlns:a16="http://schemas.microsoft.com/office/drawing/2014/main" id="{1EA1E15D-AE35-48EF-8AB6-3D84D3BB9BC9}"/>
            </a:ext>
          </a:extLst>
        </xdr:cNvPr>
        <xdr:cNvSpPr txBox="1"/>
      </xdr:nvSpPr>
      <xdr:spPr>
        <a:xfrm rot="19462498">
          <a:off x="8819029" y="8985997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1199030</xdr:colOff>
      <xdr:row>446</xdr:row>
      <xdr:rowOff>78441</xdr:rowOff>
    </xdr:from>
    <xdr:to>
      <xdr:col>16</xdr:col>
      <xdr:colOff>742951</xdr:colOff>
      <xdr:row>450</xdr:row>
      <xdr:rowOff>186018</xdr:rowOff>
    </xdr:to>
    <xdr:sp macro="" textlink="">
      <xdr:nvSpPr>
        <xdr:cNvPr id="87" name="TextBox 86">
          <a:extLst>
            <a:ext uri="{FF2B5EF4-FFF2-40B4-BE49-F238E27FC236}">
              <a16:creationId xmlns:a16="http://schemas.microsoft.com/office/drawing/2014/main" id="{2C4B22F7-8B66-4B3E-BD37-EA304F8CD2FC}"/>
            </a:ext>
          </a:extLst>
        </xdr:cNvPr>
        <xdr:cNvSpPr txBox="1"/>
      </xdr:nvSpPr>
      <xdr:spPr>
        <a:xfrm rot="19462498">
          <a:off x="13099677" y="9002805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302559</xdr:colOff>
      <xdr:row>463</xdr:row>
      <xdr:rowOff>11206</xdr:rowOff>
    </xdr:from>
    <xdr:to>
      <xdr:col>6</xdr:col>
      <xdr:colOff>317127</xdr:colOff>
      <xdr:row>467</xdr:row>
      <xdr:rowOff>118783</xdr:rowOff>
    </xdr:to>
    <xdr:sp macro="" textlink="">
      <xdr:nvSpPr>
        <xdr:cNvPr id="88" name="TextBox 87">
          <a:extLst>
            <a:ext uri="{FF2B5EF4-FFF2-40B4-BE49-F238E27FC236}">
              <a16:creationId xmlns:a16="http://schemas.microsoft.com/office/drawing/2014/main" id="{0851114C-98D3-4E6C-AF40-FBDD51AEA865}"/>
            </a:ext>
          </a:extLst>
        </xdr:cNvPr>
        <xdr:cNvSpPr txBox="1"/>
      </xdr:nvSpPr>
      <xdr:spPr>
        <a:xfrm rot="19462498">
          <a:off x="1086971" y="933898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974911</xdr:colOff>
      <xdr:row>463</xdr:row>
      <xdr:rowOff>190499</xdr:rowOff>
    </xdr:from>
    <xdr:to>
      <xdr:col>10</xdr:col>
      <xdr:colOff>485214</xdr:colOff>
      <xdr:row>468</xdr:row>
      <xdr:rowOff>96370</xdr:rowOff>
    </xdr:to>
    <xdr:sp macro="" textlink="">
      <xdr:nvSpPr>
        <xdr:cNvPr id="89" name="TextBox 88">
          <a:extLst>
            <a:ext uri="{FF2B5EF4-FFF2-40B4-BE49-F238E27FC236}">
              <a16:creationId xmlns:a16="http://schemas.microsoft.com/office/drawing/2014/main" id="{F81846CB-3EF5-4214-8479-2533C1C9B54A}"/>
            </a:ext>
          </a:extLst>
        </xdr:cNvPr>
        <xdr:cNvSpPr txBox="1"/>
      </xdr:nvSpPr>
      <xdr:spPr>
        <a:xfrm rot="19462498">
          <a:off x="5053852" y="9356911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22412</xdr:colOff>
      <xdr:row>464</xdr:row>
      <xdr:rowOff>112057</xdr:rowOff>
    </xdr:from>
    <xdr:to>
      <xdr:col>13</xdr:col>
      <xdr:colOff>731744</xdr:colOff>
      <xdr:row>469</xdr:row>
      <xdr:rowOff>17928</xdr:rowOff>
    </xdr:to>
    <xdr:sp macro="" textlink="">
      <xdr:nvSpPr>
        <xdr:cNvPr id="90" name="TextBox 89">
          <a:extLst>
            <a:ext uri="{FF2B5EF4-FFF2-40B4-BE49-F238E27FC236}">
              <a16:creationId xmlns:a16="http://schemas.microsoft.com/office/drawing/2014/main" id="{95850B6C-4EE1-42D4-8C6B-F98EF15ECBD4}"/>
            </a:ext>
          </a:extLst>
        </xdr:cNvPr>
        <xdr:cNvSpPr txBox="1"/>
      </xdr:nvSpPr>
      <xdr:spPr>
        <a:xfrm rot="19462498">
          <a:off x="8785412" y="9369238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1086972</xdr:colOff>
      <xdr:row>466</xdr:row>
      <xdr:rowOff>22413</xdr:rowOff>
    </xdr:from>
    <xdr:to>
      <xdr:col>16</xdr:col>
      <xdr:colOff>630893</xdr:colOff>
      <xdr:row>470</xdr:row>
      <xdr:rowOff>129989</xdr:rowOff>
    </xdr:to>
    <xdr:sp macro="" textlink="">
      <xdr:nvSpPr>
        <xdr:cNvPr id="91" name="TextBox 90">
          <a:extLst>
            <a:ext uri="{FF2B5EF4-FFF2-40B4-BE49-F238E27FC236}">
              <a16:creationId xmlns:a16="http://schemas.microsoft.com/office/drawing/2014/main" id="{1816CC51-1869-44F1-83FB-105FD06A6064}"/>
            </a:ext>
          </a:extLst>
        </xdr:cNvPr>
        <xdr:cNvSpPr txBox="1"/>
      </xdr:nvSpPr>
      <xdr:spPr>
        <a:xfrm rot="19462498">
          <a:off x="12987619" y="9400614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0</xdr:col>
      <xdr:colOff>638736</xdr:colOff>
      <xdr:row>485</xdr:row>
      <xdr:rowOff>168089</xdr:rowOff>
    </xdr:from>
    <xdr:to>
      <xdr:col>5</xdr:col>
      <xdr:colOff>1684245</xdr:colOff>
      <xdr:row>490</xdr:row>
      <xdr:rowOff>73960</xdr:rowOff>
    </xdr:to>
    <xdr:sp macro="" textlink="">
      <xdr:nvSpPr>
        <xdr:cNvPr id="92" name="TextBox 91">
          <a:extLst>
            <a:ext uri="{FF2B5EF4-FFF2-40B4-BE49-F238E27FC236}">
              <a16:creationId xmlns:a16="http://schemas.microsoft.com/office/drawing/2014/main" id="{F6CE0873-8628-4DAA-A81B-9892054AD884}"/>
            </a:ext>
          </a:extLst>
        </xdr:cNvPr>
        <xdr:cNvSpPr txBox="1"/>
      </xdr:nvSpPr>
      <xdr:spPr>
        <a:xfrm rot="19462498">
          <a:off x="638736" y="9798423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134471</xdr:colOff>
      <xdr:row>489</xdr:row>
      <xdr:rowOff>123263</xdr:rowOff>
    </xdr:from>
    <xdr:to>
      <xdr:col>9</xdr:col>
      <xdr:colOff>574862</xdr:colOff>
      <xdr:row>494</xdr:row>
      <xdr:rowOff>29134</xdr:rowOff>
    </xdr:to>
    <xdr:sp macro="" textlink="">
      <xdr:nvSpPr>
        <xdr:cNvPr id="93" name="TextBox 92">
          <a:extLst>
            <a:ext uri="{FF2B5EF4-FFF2-40B4-BE49-F238E27FC236}">
              <a16:creationId xmlns:a16="http://schemas.microsoft.com/office/drawing/2014/main" id="{7F7B6F33-5E25-41F0-9C4F-CE48ED14F219}"/>
            </a:ext>
          </a:extLst>
        </xdr:cNvPr>
        <xdr:cNvSpPr txBox="1"/>
      </xdr:nvSpPr>
      <xdr:spPr>
        <a:xfrm rot="19462498">
          <a:off x="4213412" y="9874623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302558</xdr:colOff>
      <xdr:row>490</xdr:row>
      <xdr:rowOff>156882</xdr:rowOff>
    </xdr:from>
    <xdr:to>
      <xdr:col>13</xdr:col>
      <xdr:colOff>14566</xdr:colOff>
      <xdr:row>495</xdr:row>
      <xdr:rowOff>62752</xdr:rowOff>
    </xdr:to>
    <xdr:sp macro="" textlink="">
      <xdr:nvSpPr>
        <xdr:cNvPr id="94" name="TextBox 93">
          <a:extLst>
            <a:ext uri="{FF2B5EF4-FFF2-40B4-BE49-F238E27FC236}">
              <a16:creationId xmlns:a16="http://schemas.microsoft.com/office/drawing/2014/main" id="{B61DFE50-BCAA-4416-90B4-0EAE3CC657F7}"/>
            </a:ext>
          </a:extLst>
        </xdr:cNvPr>
        <xdr:cNvSpPr txBox="1"/>
      </xdr:nvSpPr>
      <xdr:spPr>
        <a:xfrm rot="19462498">
          <a:off x="8068234" y="9898155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78443</xdr:colOff>
      <xdr:row>491</xdr:row>
      <xdr:rowOff>11205</xdr:rowOff>
    </xdr:from>
    <xdr:to>
      <xdr:col>16</xdr:col>
      <xdr:colOff>899835</xdr:colOff>
      <xdr:row>495</xdr:row>
      <xdr:rowOff>118781</xdr:rowOff>
    </xdr:to>
    <xdr:sp macro="" textlink="">
      <xdr:nvSpPr>
        <xdr:cNvPr id="95" name="TextBox 94">
          <a:extLst>
            <a:ext uri="{FF2B5EF4-FFF2-40B4-BE49-F238E27FC236}">
              <a16:creationId xmlns:a16="http://schemas.microsoft.com/office/drawing/2014/main" id="{FF1E6687-5510-46CF-9924-6BC11D80070A}"/>
            </a:ext>
          </a:extLst>
        </xdr:cNvPr>
        <xdr:cNvSpPr txBox="1"/>
      </xdr:nvSpPr>
      <xdr:spPr>
        <a:xfrm rot="19462498">
          <a:off x="13256561" y="9903758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246530</xdr:colOff>
      <xdr:row>509</xdr:row>
      <xdr:rowOff>44824</xdr:rowOff>
    </xdr:from>
    <xdr:to>
      <xdr:col>6</xdr:col>
      <xdr:colOff>261098</xdr:colOff>
      <xdr:row>513</xdr:row>
      <xdr:rowOff>152400</xdr:rowOff>
    </xdr:to>
    <xdr:sp macro="" textlink="">
      <xdr:nvSpPr>
        <xdr:cNvPr id="96" name="TextBox 95">
          <a:extLst>
            <a:ext uri="{FF2B5EF4-FFF2-40B4-BE49-F238E27FC236}">
              <a16:creationId xmlns:a16="http://schemas.microsoft.com/office/drawing/2014/main" id="{5241D980-48A0-4A65-8C85-E7144C74B55D}"/>
            </a:ext>
          </a:extLst>
        </xdr:cNvPr>
        <xdr:cNvSpPr txBox="1"/>
      </xdr:nvSpPr>
      <xdr:spPr>
        <a:xfrm rot="19462498">
          <a:off x="1030942" y="10270191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941294</xdr:colOff>
      <xdr:row>512</xdr:row>
      <xdr:rowOff>44824</xdr:rowOff>
    </xdr:from>
    <xdr:to>
      <xdr:col>10</xdr:col>
      <xdr:colOff>451597</xdr:colOff>
      <xdr:row>516</xdr:row>
      <xdr:rowOff>152401</xdr:rowOff>
    </xdr:to>
    <xdr:sp macro="" textlink="">
      <xdr:nvSpPr>
        <xdr:cNvPr id="97" name="TextBox 96">
          <a:extLst>
            <a:ext uri="{FF2B5EF4-FFF2-40B4-BE49-F238E27FC236}">
              <a16:creationId xmlns:a16="http://schemas.microsoft.com/office/drawing/2014/main" id="{81544D33-6FB7-40AF-B8C7-640E2D93A756}"/>
            </a:ext>
          </a:extLst>
        </xdr:cNvPr>
        <xdr:cNvSpPr txBox="1"/>
      </xdr:nvSpPr>
      <xdr:spPr>
        <a:xfrm rot="19462498">
          <a:off x="5020235" y="10330703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280148</xdr:colOff>
      <xdr:row>512</xdr:row>
      <xdr:rowOff>89647</xdr:rowOff>
    </xdr:from>
    <xdr:to>
      <xdr:col>13</xdr:col>
      <xdr:colOff>989480</xdr:colOff>
      <xdr:row>516</xdr:row>
      <xdr:rowOff>197224</xdr:rowOff>
    </xdr:to>
    <xdr:sp macro="" textlink="">
      <xdr:nvSpPr>
        <xdr:cNvPr id="98" name="TextBox 97">
          <a:extLst>
            <a:ext uri="{FF2B5EF4-FFF2-40B4-BE49-F238E27FC236}">
              <a16:creationId xmlns:a16="http://schemas.microsoft.com/office/drawing/2014/main" id="{EDD5F2E2-1F6C-4BC7-B3B8-61B0E96542B3}"/>
            </a:ext>
          </a:extLst>
        </xdr:cNvPr>
        <xdr:cNvSpPr txBox="1"/>
      </xdr:nvSpPr>
      <xdr:spPr>
        <a:xfrm rot="19462498">
          <a:off x="9043148" y="10335185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89647</xdr:colOff>
      <xdr:row>514</xdr:row>
      <xdr:rowOff>123265</xdr:rowOff>
    </xdr:from>
    <xdr:to>
      <xdr:col>16</xdr:col>
      <xdr:colOff>911039</xdr:colOff>
      <xdr:row>519</xdr:row>
      <xdr:rowOff>29136</xdr:rowOff>
    </xdr:to>
    <xdr:sp macro="" textlink="">
      <xdr:nvSpPr>
        <xdr:cNvPr id="99" name="TextBox 98">
          <a:extLst>
            <a:ext uri="{FF2B5EF4-FFF2-40B4-BE49-F238E27FC236}">
              <a16:creationId xmlns:a16="http://schemas.microsoft.com/office/drawing/2014/main" id="{FA154634-5912-4355-9A8E-B5A7D0FC0DF9}"/>
            </a:ext>
          </a:extLst>
        </xdr:cNvPr>
        <xdr:cNvSpPr txBox="1"/>
      </xdr:nvSpPr>
      <xdr:spPr>
        <a:xfrm rot="19462498">
          <a:off x="13267765" y="10378888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44823</xdr:colOff>
      <xdr:row>532</xdr:row>
      <xdr:rowOff>201704</xdr:rowOff>
    </xdr:from>
    <xdr:to>
      <xdr:col>6</xdr:col>
      <xdr:colOff>59391</xdr:colOff>
      <xdr:row>537</xdr:row>
      <xdr:rowOff>107575</xdr:rowOff>
    </xdr:to>
    <xdr:sp macro="" textlink="">
      <xdr:nvSpPr>
        <xdr:cNvPr id="100" name="TextBox 99">
          <a:extLst>
            <a:ext uri="{FF2B5EF4-FFF2-40B4-BE49-F238E27FC236}">
              <a16:creationId xmlns:a16="http://schemas.microsoft.com/office/drawing/2014/main" id="{A6C0E534-B486-4E9A-B954-9664C5D8D6AA}"/>
            </a:ext>
          </a:extLst>
        </xdr:cNvPr>
        <xdr:cNvSpPr txBox="1"/>
      </xdr:nvSpPr>
      <xdr:spPr>
        <a:xfrm rot="19462498">
          <a:off x="829235" y="10749802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874058</xdr:colOff>
      <xdr:row>535</xdr:row>
      <xdr:rowOff>78440</xdr:rowOff>
    </xdr:from>
    <xdr:to>
      <xdr:col>10</xdr:col>
      <xdr:colOff>384361</xdr:colOff>
      <xdr:row>539</xdr:row>
      <xdr:rowOff>186016</xdr:rowOff>
    </xdr:to>
    <xdr:sp macro="" textlink="">
      <xdr:nvSpPr>
        <xdr:cNvPr id="101" name="TextBox 100">
          <a:extLst>
            <a:ext uri="{FF2B5EF4-FFF2-40B4-BE49-F238E27FC236}">
              <a16:creationId xmlns:a16="http://schemas.microsoft.com/office/drawing/2014/main" id="{D50D5940-D7EF-4E73-9D58-FD7E15E7D09C}"/>
            </a:ext>
          </a:extLst>
        </xdr:cNvPr>
        <xdr:cNvSpPr txBox="1"/>
      </xdr:nvSpPr>
      <xdr:spPr>
        <a:xfrm rot="19462498">
          <a:off x="4952999" y="10797988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414617</xdr:colOff>
      <xdr:row>535</xdr:row>
      <xdr:rowOff>156883</xdr:rowOff>
    </xdr:from>
    <xdr:to>
      <xdr:col>13</xdr:col>
      <xdr:colOff>1123949</xdr:colOff>
      <xdr:row>540</xdr:row>
      <xdr:rowOff>62753</xdr:rowOff>
    </xdr:to>
    <xdr:sp macro="" textlink="">
      <xdr:nvSpPr>
        <xdr:cNvPr id="102" name="TextBox 101">
          <a:extLst>
            <a:ext uri="{FF2B5EF4-FFF2-40B4-BE49-F238E27FC236}">
              <a16:creationId xmlns:a16="http://schemas.microsoft.com/office/drawing/2014/main" id="{8D790656-6416-434E-91B4-1F8F20527488}"/>
            </a:ext>
          </a:extLst>
        </xdr:cNvPr>
        <xdr:cNvSpPr txBox="1"/>
      </xdr:nvSpPr>
      <xdr:spPr>
        <a:xfrm rot="19462498">
          <a:off x="9177617" y="1080583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100853</xdr:colOff>
      <xdr:row>537</xdr:row>
      <xdr:rowOff>134470</xdr:rowOff>
    </xdr:from>
    <xdr:to>
      <xdr:col>16</xdr:col>
      <xdr:colOff>922245</xdr:colOff>
      <xdr:row>542</xdr:row>
      <xdr:rowOff>40341</xdr:rowOff>
    </xdr:to>
    <xdr:sp macro="" textlink="">
      <xdr:nvSpPr>
        <xdr:cNvPr id="103" name="TextBox 102">
          <a:extLst>
            <a:ext uri="{FF2B5EF4-FFF2-40B4-BE49-F238E27FC236}">
              <a16:creationId xmlns:a16="http://schemas.microsoft.com/office/drawing/2014/main" id="{08F54F78-C739-41FA-9F57-9CF6423D3CCD}"/>
            </a:ext>
          </a:extLst>
        </xdr:cNvPr>
        <xdr:cNvSpPr txBox="1"/>
      </xdr:nvSpPr>
      <xdr:spPr>
        <a:xfrm rot="19462498">
          <a:off x="13278971" y="10843932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179294</xdr:colOff>
      <xdr:row>555</xdr:row>
      <xdr:rowOff>44824</xdr:rowOff>
    </xdr:from>
    <xdr:to>
      <xdr:col>6</xdr:col>
      <xdr:colOff>193862</xdr:colOff>
      <xdr:row>559</xdr:row>
      <xdr:rowOff>152401</xdr:rowOff>
    </xdr:to>
    <xdr:sp macro="" textlink="">
      <xdr:nvSpPr>
        <xdr:cNvPr id="104" name="TextBox 103">
          <a:extLst>
            <a:ext uri="{FF2B5EF4-FFF2-40B4-BE49-F238E27FC236}">
              <a16:creationId xmlns:a16="http://schemas.microsoft.com/office/drawing/2014/main" id="{2059BF7E-806C-4E3D-BC32-7B9F542303B4}"/>
            </a:ext>
          </a:extLst>
        </xdr:cNvPr>
        <xdr:cNvSpPr txBox="1"/>
      </xdr:nvSpPr>
      <xdr:spPr>
        <a:xfrm rot="19462498">
          <a:off x="963706" y="11198038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414617</xdr:colOff>
      <xdr:row>555</xdr:row>
      <xdr:rowOff>123265</xdr:rowOff>
    </xdr:from>
    <xdr:to>
      <xdr:col>9</xdr:col>
      <xdr:colOff>855008</xdr:colOff>
      <xdr:row>560</xdr:row>
      <xdr:rowOff>29136</xdr:rowOff>
    </xdr:to>
    <xdr:sp macro="" textlink="">
      <xdr:nvSpPr>
        <xdr:cNvPr id="105" name="TextBox 104">
          <a:extLst>
            <a:ext uri="{FF2B5EF4-FFF2-40B4-BE49-F238E27FC236}">
              <a16:creationId xmlns:a16="http://schemas.microsoft.com/office/drawing/2014/main" id="{342D697F-0DF4-4215-9985-A814BD09A2FE}"/>
            </a:ext>
          </a:extLst>
        </xdr:cNvPr>
        <xdr:cNvSpPr txBox="1"/>
      </xdr:nvSpPr>
      <xdr:spPr>
        <a:xfrm rot="19462498">
          <a:off x="4493558" y="1120588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557</xdr:row>
      <xdr:rowOff>0</xdr:rowOff>
    </xdr:from>
    <xdr:to>
      <xdr:col>16</xdr:col>
      <xdr:colOff>821392</xdr:colOff>
      <xdr:row>561</xdr:row>
      <xdr:rowOff>107577</xdr:rowOff>
    </xdr:to>
    <xdr:sp macro="" textlink="">
      <xdr:nvSpPr>
        <xdr:cNvPr id="106" name="TextBox 105">
          <a:extLst>
            <a:ext uri="{FF2B5EF4-FFF2-40B4-BE49-F238E27FC236}">
              <a16:creationId xmlns:a16="http://schemas.microsoft.com/office/drawing/2014/main" id="{F1AC297C-6C73-4AD1-B416-6D7061F9DA79}"/>
            </a:ext>
          </a:extLst>
        </xdr:cNvPr>
        <xdr:cNvSpPr txBox="1"/>
      </xdr:nvSpPr>
      <xdr:spPr>
        <a:xfrm rot="19462498">
          <a:off x="13178118" y="11233897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11206</xdr:colOff>
      <xdr:row>555</xdr:row>
      <xdr:rowOff>156882</xdr:rowOff>
    </xdr:from>
    <xdr:to>
      <xdr:col>13</xdr:col>
      <xdr:colOff>720538</xdr:colOff>
      <xdr:row>560</xdr:row>
      <xdr:rowOff>62753</xdr:rowOff>
    </xdr:to>
    <xdr:sp macro="" textlink="">
      <xdr:nvSpPr>
        <xdr:cNvPr id="107" name="TextBox 106">
          <a:extLst>
            <a:ext uri="{FF2B5EF4-FFF2-40B4-BE49-F238E27FC236}">
              <a16:creationId xmlns:a16="http://schemas.microsoft.com/office/drawing/2014/main" id="{97EA0643-E978-474B-9733-2BD780A75DCB}"/>
            </a:ext>
          </a:extLst>
        </xdr:cNvPr>
        <xdr:cNvSpPr txBox="1"/>
      </xdr:nvSpPr>
      <xdr:spPr>
        <a:xfrm rot="19462498">
          <a:off x="8774206" y="1120924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0</xdr:col>
      <xdr:colOff>302559</xdr:colOff>
      <xdr:row>574</xdr:row>
      <xdr:rowOff>168087</xdr:rowOff>
    </xdr:from>
    <xdr:to>
      <xdr:col>5</xdr:col>
      <xdr:colOff>1348068</xdr:colOff>
      <xdr:row>579</xdr:row>
      <xdr:rowOff>73958</xdr:rowOff>
    </xdr:to>
    <xdr:sp macro="" textlink="">
      <xdr:nvSpPr>
        <xdr:cNvPr id="108" name="TextBox 107">
          <a:extLst>
            <a:ext uri="{FF2B5EF4-FFF2-40B4-BE49-F238E27FC236}">
              <a16:creationId xmlns:a16="http://schemas.microsoft.com/office/drawing/2014/main" id="{5361F8D5-A55C-4500-9A49-F3BF9533D15C}"/>
            </a:ext>
          </a:extLst>
        </xdr:cNvPr>
        <xdr:cNvSpPr txBox="1"/>
      </xdr:nvSpPr>
      <xdr:spPr>
        <a:xfrm rot="19462498">
          <a:off x="302559" y="11593605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4</xdr:col>
      <xdr:colOff>717176</xdr:colOff>
      <xdr:row>577</xdr:row>
      <xdr:rowOff>123264</xdr:rowOff>
    </xdr:from>
    <xdr:to>
      <xdr:col>9</xdr:col>
      <xdr:colOff>216273</xdr:colOff>
      <xdr:row>582</xdr:row>
      <xdr:rowOff>29134</xdr:rowOff>
    </xdr:to>
    <xdr:sp macro="" textlink="">
      <xdr:nvSpPr>
        <xdr:cNvPr id="109" name="TextBox 108">
          <a:extLst>
            <a:ext uri="{FF2B5EF4-FFF2-40B4-BE49-F238E27FC236}">
              <a16:creationId xmlns:a16="http://schemas.microsoft.com/office/drawing/2014/main" id="{05057F5E-EA70-4065-B544-2CA4088F61B7}"/>
            </a:ext>
          </a:extLst>
        </xdr:cNvPr>
        <xdr:cNvSpPr txBox="1"/>
      </xdr:nvSpPr>
      <xdr:spPr>
        <a:xfrm rot="19462498">
          <a:off x="3854823" y="11649635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145677</xdr:colOff>
      <xdr:row>577</xdr:row>
      <xdr:rowOff>100853</xdr:rowOff>
    </xdr:from>
    <xdr:to>
      <xdr:col>12</xdr:col>
      <xdr:colOff>1135156</xdr:colOff>
      <xdr:row>582</xdr:row>
      <xdr:rowOff>6723</xdr:rowOff>
    </xdr:to>
    <xdr:sp macro="" textlink="">
      <xdr:nvSpPr>
        <xdr:cNvPr id="110" name="TextBox 109">
          <a:extLst>
            <a:ext uri="{FF2B5EF4-FFF2-40B4-BE49-F238E27FC236}">
              <a16:creationId xmlns:a16="http://schemas.microsoft.com/office/drawing/2014/main" id="{2AC0A7FB-B9D0-4C83-8045-F83F1616495C}"/>
            </a:ext>
          </a:extLst>
        </xdr:cNvPr>
        <xdr:cNvSpPr txBox="1"/>
      </xdr:nvSpPr>
      <xdr:spPr>
        <a:xfrm rot="19462498">
          <a:off x="7911353" y="1164739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257736</xdr:colOff>
      <xdr:row>577</xdr:row>
      <xdr:rowOff>11207</xdr:rowOff>
    </xdr:from>
    <xdr:to>
      <xdr:col>15</xdr:col>
      <xdr:colOff>1236009</xdr:colOff>
      <xdr:row>581</xdr:row>
      <xdr:rowOff>118783</xdr:rowOff>
    </xdr:to>
    <xdr:sp macro="" textlink="">
      <xdr:nvSpPr>
        <xdr:cNvPr id="111" name="TextBox 110">
          <a:extLst>
            <a:ext uri="{FF2B5EF4-FFF2-40B4-BE49-F238E27FC236}">
              <a16:creationId xmlns:a16="http://schemas.microsoft.com/office/drawing/2014/main" id="{276CA712-5167-4F35-82E7-06788D1E7681}"/>
            </a:ext>
          </a:extLst>
        </xdr:cNvPr>
        <xdr:cNvSpPr txBox="1"/>
      </xdr:nvSpPr>
      <xdr:spPr>
        <a:xfrm rot="19462498">
          <a:off x="12158383" y="11638429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0</xdr:col>
      <xdr:colOff>638735</xdr:colOff>
      <xdr:row>595</xdr:row>
      <xdr:rowOff>56030</xdr:rowOff>
    </xdr:from>
    <xdr:to>
      <xdr:col>5</xdr:col>
      <xdr:colOff>1684244</xdr:colOff>
      <xdr:row>599</xdr:row>
      <xdr:rowOff>163606</xdr:rowOff>
    </xdr:to>
    <xdr:sp macro="" textlink="">
      <xdr:nvSpPr>
        <xdr:cNvPr id="112" name="TextBox 111">
          <a:extLst>
            <a:ext uri="{FF2B5EF4-FFF2-40B4-BE49-F238E27FC236}">
              <a16:creationId xmlns:a16="http://schemas.microsoft.com/office/drawing/2014/main" id="{2993F862-110B-4382-BDE7-BEA39E6419E2}"/>
            </a:ext>
          </a:extLst>
        </xdr:cNvPr>
        <xdr:cNvSpPr txBox="1"/>
      </xdr:nvSpPr>
      <xdr:spPr>
        <a:xfrm rot="19462498">
          <a:off x="638735" y="1200598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4</xdr:col>
      <xdr:colOff>672351</xdr:colOff>
      <xdr:row>598</xdr:row>
      <xdr:rowOff>112059</xdr:rowOff>
    </xdr:from>
    <xdr:to>
      <xdr:col>9</xdr:col>
      <xdr:colOff>171448</xdr:colOff>
      <xdr:row>603</xdr:row>
      <xdr:rowOff>17930</xdr:rowOff>
    </xdr:to>
    <xdr:sp macro="" textlink="">
      <xdr:nvSpPr>
        <xdr:cNvPr id="113" name="TextBox 112">
          <a:extLst>
            <a:ext uri="{FF2B5EF4-FFF2-40B4-BE49-F238E27FC236}">
              <a16:creationId xmlns:a16="http://schemas.microsoft.com/office/drawing/2014/main" id="{D742A19B-C761-4E42-8844-336200ECB0BA}"/>
            </a:ext>
          </a:extLst>
        </xdr:cNvPr>
        <xdr:cNvSpPr txBox="1"/>
      </xdr:nvSpPr>
      <xdr:spPr>
        <a:xfrm rot="19462498">
          <a:off x="3809998" y="12072097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257736</xdr:colOff>
      <xdr:row>598</xdr:row>
      <xdr:rowOff>112059</xdr:rowOff>
    </xdr:from>
    <xdr:to>
      <xdr:col>12</xdr:col>
      <xdr:colOff>1247215</xdr:colOff>
      <xdr:row>603</xdr:row>
      <xdr:rowOff>17930</xdr:rowOff>
    </xdr:to>
    <xdr:sp macro="" textlink="">
      <xdr:nvSpPr>
        <xdr:cNvPr id="114" name="TextBox 113">
          <a:extLst>
            <a:ext uri="{FF2B5EF4-FFF2-40B4-BE49-F238E27FC236}">
              <a16:creationId xmlns:a16="http://schemas.microsoft.com/office/drawing/2014/main" id="{056C1C7F-8A05-47B7-A5B0-8843BE6E57DD}"/>
            </a:ext>
          </a:extLst>
        </xdr:cNvPr>
        <xdr:cNvSpPr txBox="1"/>
      </xdr:nvSpPr>
      <xdr:spPr>
        <a:xfrm rot="19462498">
          <a:off x="8023412" y="12072097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1255058</xdr:colOff>
      <xdr:row>597</xdr:row>
      <xdr:rowOff>33618</xdr:rowOff>
    </xdr:from>
    <xdr:to>
      <xdr:col>16</xdr:col>
      <xdr:colOff>798979</xdr:colOff>
      <xdr:row>601</xdr:row>
      <xdr:rowOff>141195</xdr:rowOff>
    </xdr:to>
    <xdr:sp macro="" textlink="">
      <xdr:nvSpPr>
        <xdr:cNvPr id="115" name="TextBox 114">
          <a:extLst>
            <a:ext uri="{FF2B5EF4-FFF2-40B4-BE49-F238E27FC236}">
              <a16:creationId xmlns:a16="http://schemas.microsoft.com/office/drawing/2014/main" id="{5EC7BA84-9DB3-478B-B979-8B4F62B5CDFF}"/>
            </a:ext>
          </a:extLst>
        </xdr:cNvPr>
        <xdr:cNvSpPr txBox="1"/>
      </xdr:nvSpPr>
      <xdr:spPr>
        <a:xfrm rot="19462498">
          <a:off x="13155705" y="1204408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212912</xdr:colOff>
      <xdr:row>618</xdr:row>
      <xdr:rowOff>123264</xdr:rowOff>
    </xdr:from>
    <xdr:to>
      <xdr:col>6</xdr:col>
      <xdr:colOff>227480</xdr:colOff>
      <xdr:row>623</xdr:row>
      <xdr:rowOff>29134</xdr:rowOff>
    </xdr:to>
    <xdr:sp macro="" textlink="">
      <xdr:nvSpPr>
        <xdr:cNvPr id="116" name="TextBox 115">
          <a:extLst>
            <a:ext uri="{FF2B5EF4-FFF2-40B4-BE49-F238E27FC236}">
              <a16:creationId xmlns:a16="http://schemas.microsoft.com/office/drawing/2014/main" id="{772DBBF9-9BD7-4282-9C38-FACE37610519}"/>
            </a:ext>
          </a:extLst>
        </xdr:cNvPr>
        <xdr:cNvSpPr txBox="1"/>
      </xdr:nvSpPr>
      <xdr:spPr>
        <a:xfrm rot="19462498">
          <a:off x="997324" y="12476629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33619</xdr:colOff>
      <xdr:row>622</xdr:row>
      <xdr:rowOff>11205</xdr:rowOff>
    </xdr:from>
    <xdr:to>
      <xdr:col>12</xdr:col>
      <xdr:colOff>1023098</xdr:colOff>
      <xdr:row>626</xdr:row>
      <xdr:rowOff>118782</xdr:rowOff>
    </xdr:to>
    <xdr:sp macro="" textlink="">
      <xdr:nvSpPr>
        <xdr:cNvPr id="117" name="TextBox 116">
          <a:extLst>
            <a:ext uri="{FF2B5EF4-FFF2-40B4-BE49-F238E27FC236}">
              <a16:creationId xmlns:a16="http://schemas.microsoft.com/office/drawing/2014/main" id="{13908AA9-4F7B-41A5-AE52-FE76AF198959}"/>
            </a:ext>
          </a:extLst>
        </xdr:cNvPr>
        <xdr:cNvSpPr txBox="1"/>
      </xdr:nvSpPr>
      <xdr:spPr>
        <a:xfrm rot="19462498">
          <a:off x="7799295" y="12546105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593912</xdr:colOff>
      <xdr:row>618</xdr:row>
      <xdr:rowOff>89647</xdr:rowOff>
    </xdr:from>
    <xdr:to>
      <xdr:col>16</xdr:col>
      <xdr:colOff>137833</xdr:colOff>
      <xdr:row>622</xdr:row>
      <xdr:rowOff>197223</xdr:rowOff>
    </xdr:to>
    <xdr:sp macro="" textlink="">
      <xdr:nvSpPr>
        <xdr:cNvPr id="118" name="TextBox 117">
          <a:extLst>
            <a:ext uri="{FF2B5EF4-FFF2-40B4-BE49-F238E27FC236}">
              <a16:creationId xmlns:a16="http://schemas.microsoft.com/office/drawing/2014/main" id="{621CBE45-6D61-4FAB-9A0B-AEAF4DE479C4}"/>
            </a:ext>
          </a:extLst>
        </xdr:cNvPr>
        <xdr:cNvSpPr txBox="1"/>
      </xdr:nvSpPr>
      <xdr:spPr>
        <a:xfrm rot="19462498">
          <a:off x="12494559" y="12473267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4</xdr:col>
      <xdr:colOff>907677</xdr:colOff>
      <xdr:row>621</xdr:row>
      <xdr:rowOff>67235</xdr:rowOff>
    </xdr:from>
    <xdr:to>
      <xdr:col>9</xdr:col>
      <xdr:colOff>406774</xdr:colOff>
      <xdr:row>625</xdr:row>
      <xdr:rowOff>174811</xdr:rowOff>
    </xdr:to>
    <xdr:sp macro="" textlink="">
      <xdr:nvSpPr>
        <xdr:cNvPr id="119" name="TextBox 118">
          <a:extLst>
            <a:ext uri="{FF2B5EF4-FFF2-40B4-BE49-F238E27FC236}">
              <a16:creationId xmlns:a16="http://schemas.microsoft.com/office/drawing/2014/main" id="{0240FFCA-F93C-4801-9E18-953F4C70126B}"/>
            </a:ext>
          </a:extLst>
        </xdr:cNvPr>
        <xdr:cNvSpPr txBox="1"/>
      </xdr:nvSpPr>
      <xdr:spPr>
        <a:xfrm rot="19462498">
          <a:off x="4045324" y="125315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0</xdr:col>
      <xdr:colOff>694764</xdr:colOff>
      <xdr:row>642</xdr:row>
      <xdr:rowOff>112059</xdr:rowOff>
    </xdr:from>
    <xdr:to>
      <xdr:col>5</xdr:col>
      <xdr:colOff>1740273</xdr:colOff>
      <xdr:row>647</xdr:row>
      <xdr:rowOff>17930</xdr:rowOff>
    </xdr:to>
    <xdr:sp macro="" textlink="">
      <xdr:nvSpPr>
        <xdr:cNvPr id="120" name="TextBox 119">
          <a:extLst>
            <a:ext uri="{FF2B5EF4-FFF2-40B4-BE49-F238E27FC236}">
              <a16:creationId xmlns:a16="http://schemas.microsoft.com/office/drawing/2014/main" id="{CBDD326C-081B-402C-834B-2BED54492776}"/>
            </a:ext>
          </a:extLst>
        </xdr:cNvPr>
        <xdr:cNvSpPr txBox="1"/>
      </xdr:nvSpPr>
      <xdr:spPr>
        <a:xfrm rot="19462498">
          <a:off x="694764" y="12959603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4</xdr:col>
      <xdr:colOff>593912</xdr:colOff>
      <xdr:row>643</xdr:row>
      <xdr:rowOff>123265</xdr:rowOff>
    </xdr:from>
    <xdr:to>
      <xdr:col>9</xdr:col>
      <xdr:colOff>93009</xdr:colOff>
      <xdr:row>648</xdr:row>
      <xdr:rowOff>29135</xdr:rowOff>
    </xdr:to>
    <xdr:sp macro="" textlink="">
      <xdr:nvSpPr>
        <xdr:cNvPr id="121" name="TextBox 120">
          <a:extLst>
            <a:ext uri="{FF2B5EF4-FFF2-40B4-BE49-F238E27FC236}">
              <a16:creationId xmlns:a16="http://schemas.microsoft.com/office/drawing/2014/main" id="{DE3C923C-E743-43CB-BAD1-90D3F8A7E3F8}"/>
            </a:ext>
          </a:extLst>
        </xdr:cNvPr>
        <xdr:cNvSpPr txBox="1"/>
      </xdr:nvSpPr>
      <xdr:spPr>
        <a:xfrm rot="19462498">
          <a:off x="3731559" y="1298089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224118</xdr:colOff>
      <xdr:row>640</xdr:row>
      <xdr:rowOff>78440</xdr:rowOff>
    </xdr:from>
    <xdr:to>
      <xdr:col>12</xdr:col>
      <xdr:colOff>1213597</xdr:colOff>
      <xdr:row>644</xdr:row>
      <xdr:rowOff>186017</xdr:rowOff>
    </xdr:to>
    <xdr:sp macro="" textlink="">
      <xdr:nvSpPr>
        <xdr:cNvPr id="122" name="TextBox 121">
          <a:extLst>
            <a:ext uri="{FF2B5EF4-FFF2-40B4-BE49-F238E27FC236}">
              <a16:creationId xmlns:a16="http://schemas.microsoft.com/office/drawing/2014/main" id="{1C7D057E-ADF6-4054-9D87-91E6BF7BF13B}"/>
            </a:ext>
          </a:extLst>
        </xdr:cNvPr>
        <xdr:cNvSpPr txBox="1"/>
      </xdr:nvSpPr>
      <xdr:spPr>
        <a:xfrm rot="19462498">
          <a:off x="7989794" y="12915899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1199029</xdr:colOff>
      <xdr:row>638</xdr:row>
      <xdr:rowOff>44824</xdr:rowOff>
    </xdr:from>
    <xdr:to>
      <xdr:col>16</xdr:col>
      <xdr:colOff>742950</xdr:colOff>
      <xdr:row>642</xdr:row>
      <xdr:rowOff>152400</xdr:rowOff>
    </xdr:to>
    <xdr:sp macro="" textlink="">
      <xdr:nvSpPr>
        <xdr:cNvPr id="123" name="TextBox 122">
          <a:extLst>
            <a:ext uri="{FF2B5EF4-FFF2-40B4-BE49-F238E27FC236}">
              <a16:creationId xmlns:a16="http://schemas.microsoft.com/office/drawing/2014/main" id="{FB589C87-6EB5-4565-856E-ADE3557580B2}"/>
            </a:ext>
          </a:extLst>
        </xdr:cNvPr>
        <xdr:cNvSpPr txBox="1"/>
      </xdr:nvSpPr>
      <xdr:spPr>
        <a:xfrm rot="19462498">
          <a:off x="13099676" y="12872197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11205</xdr:colOff>
      <xdr:row>664</xdr:row>
      <xdr:rowOff>168089</xdr:rowOff>
    </xdr:from>
    <xdr:to>
      <xdr:col>6</xdr:col>
      <xdr:colOff>25773</xdr:colOff>
      <xdr:row>669</xdr:row>
      <xdr:rowOff>73960</xdr:rowOff>
    </xdr:to>
    <xdr:sp macro="" textlink="">
      <xdr:nvSpPr>
        <xdr:cNvPr id="124" name="TextBox 123">
          <a:extLst>
            <a:ext uri="{FF2B5EF4-FFF2-40B4-BE49-F238E27FC236}">
              <a16:creationId xmlns:a16="http://schemas.microsoft.com/office/drawing/2014/main" id="{FD90051B-B5B2-4338-9310-C60A4E4EFE7C}"/>
            </a:ext>
          </a:extLst>
        </xdr:cNvPr>
        <xdr:cNvSpPr txBox="1"/>
      </xdr:nvSpPr>
      <xdr:spPr>
        <a:xfrm rot="19462498">
          <a:off x="795617" y="13408958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4</xdr:col>
      <xdr:colOff>829233</xdr:colOff>
      <xdr:row>666</xdr:row>
      <xdr:rowOff>78441</xdr:rowOff>
    </xdr:from>
    <xdr:to>
      <xdr:col>9</xdr:col>
      <xdr:colOff>328330</xdr:colOff>
      <xdr:row>670</xdr:row>
      <xdr:rowOff>186018</xdr:rowOff>
    </xdr:to>
    <xdr:sp macro="" textlink="">
      <xdr:nvSpPr>
        <xdr:cNvPr id="125" name="TextBox 124">
          <a:extLst>
            <a:ext uri="{FF2B5EF4-FFF2-40B4-BE49-F238E27FC236}">
              <a16:creationId xmlns:a16="http://schemas.microsoft.com/office/drawing/2014/main" id="{BAAEB458-6E2A-4DB1-B156-AC3AB092C23F}"/>
            </a:ext>
          </a:extLst>
        </xdr:cNvPr>
        <xdr:cNvSpPr txBox="1"/>
      </xdr:nvSpPr>
      <xdr:spPr>
        <a:xfrm rot="19462498">
          <a:off x="3966880" y="13440335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661</xdr:row>
      <xdr:rowOff>0</xdr:rowOff>
    </xdr:from>
    <xdr:to>
      <xdr:col>16</xdr:col>
      <xdr:colOff>821392</xdr:colOff>
      <xdr:row>665</xdr:row>
      <xdr:rowOff>107576</xdr:rowOff>
    </xdr:to>
    <xdr:sp macro="" textlink="">
      <xdr:nvSpPr>
        <xdr:cNvPr id="126" name="TextBox 125">
          <a:extLst>
            <a:ext uri="{FF2B5EF4-FFF2-40B4-BE49-F238E27FC236}">
              <a16:creationId xmlns:a16="http://schemas.microsoft.com/office/drawing/2014/main" id="{18864537-D0A1-4343-902B-8416FE04944C}"/>
            </a:ext>
          </a:extLst>
        </xdr:cNvPr>
        <xdr:cNvSpPr txBox="1"/>
      </xdr:nvSpPr>
      <xdr:spPr>
        <a:xfrm rot="19462498">
          <a:off x="13178118" y="133316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970431</xdr:colOff>
      <xdr:row>661</xdr:row>
      <xdr:rowOff>197223</xdr:rowOff>
    </xdr:from>
    <xdr:to>
      <xdr:col>13</xdr:col>
      <xdr:colOff>682439</xdr:colOff>
      <xdr:row>666</xdr:row>
      <xdr:rowOff>103093</xdr:rowOff>
    </xdr:to>
    <xdr:sp macro="" textlink="">
      <xdr:nvSpPr>
        <xdr:cNvPr id="127" name="TextBox 126">
          <a:extLst>
            <a:ext uri="{FF2B5EF4-FFF2-40B4-BE49-F238E27FC236}">
              <a16:creationId xmlns:a16="http://schemas.microsoft.com/office/drawing/2014/main" id="{E991BDFA-2263-49C2-ABA6-8A8FDF48084E}"/>
            </a:ext>
          </a:extLst>
        </xdr:cNvPr>
        <xdr:cNvSpPr txBox="1"/>
      </xdr:nvSpPr>
      <xdr:spPr>
        <a:xfrm rot="19462498">
          <a:off x="8736107" y="13351360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0</xdr:colOff>
      <xdr:row>682</xdr:row>
      <xdr:rowOff>0</xdr:rowOff>
    </xdr:from>
    <xdr:to>
      <xdr:col>6</xdr:col>
      <xdr:colOff>798980</xdr:colOff>
      <xdr:row>686</xdr:row>
      <xdr:rowOff>107577</xdr:rowOff>
    </xdr:to>
    <xdr:sp macro="" textlink="">
      <xdr:nvSpPr>
        <xdr:cNvPr id="128" name="TextBox 127">
          <a:extLst>
            <a:ext uri="{FF2B5EF4-FFF2-40B4-BE49-F238E27FC236}">
              <a16:creationId xmlns:a16="http://schemas.microsoft.com/office/drawing/2014/main" id="{33A3D272-2923-4B85-ADCD-FC5407A7BACC}"/>
            </a:ext>
          </a:extLst>
        </xdr:cNvPr>
        <xdr:cNvSpPr txBox="1"/>
      </xdr:nvSpPr>
      <xdr:spPr>
        <a:xfrm rot="19462498">
          <a:off x="1568824" y="137552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6</xdr:col>
      <xdr:colOff>0</xdr:colOff>
      <xdr:row>682</xdr:row>
      <xdr:rowOff>0</xdr:rowOff>
    </xdr:from>
    <xdr:to>
      <xdr:col>11</xdr:col>
      <xdr:colOff>193862</xdr:colOff>
      <xdr:row>686</xdr:row>
      <xdr:rowOff>107577</xdr:rowOff>
    </xdr:to>
    <xdr:sp macro="" textlink="">
      <xdr:nvSpPr>
        <xdr:cNvPr id="129" name="TextBox 128">
          <a:extLst>
            <a:ext uri="{FF2B5EF4-FFF2-40B4-BE49-F238E27FC236}">
              <a16:creationId xmlns:a16="http://schemas.microsoft.com/office/drawing/2014/main" id="{FAD06B40-D450-46CC-A38D-891C28D2436D}"/>
            </a:ext>
          </a:extLst>
        </xdr:cNvPr>
        <xdr:cNvSpPr txBox="1"/>
      </xdr:nvSpPr>
      <xdr:spPr>
        <a:xfrm rot="19462498">
          <a:off x="5894294" y="137552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10</xdr:col>
      <xdr:colOff>0</xdr:colOff>
      <xdr:row>682</xdr:row>
      <xdr:rowOff>0</xdr:rowOff>
    </xdr:from>
    <xdr:to>
      <xdr:col>14</xdr:col>
      <xdr:colOff>205067</xdr:colOff>
      <xdr:row>686</xdr:row>
      <xdr:rowOff>107577</xdr:rowOff>
    </xdr:to>
    <xdr:sp macro="" textlink="">
      <xdr:nvSpPr>
        <xdr:cNvPr id="130" name="TextBox 129">
          <a:extLst>
            <a:ext uri="{FF2B5EF4-FFF2-40B4-BE49-F238E27FC236}">
              <a16:creationId xmlns:a16="http://schemas.microsoft.com/office/drawing/2014/main" id="{E9037560-68F0-4CA2-9CBF-B8FF18ABF00C}"/>
            </a:ext>
          </a:extLst>
        </xdr:cNvPr>
        <xdr:cNvSpPr txBox="1"/>
      </xdr:nvSpPr>
      <xdr:spPr>
        <a:xfrm rot="19462498">
          <a:off x="9693088" y="137552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683</xdr:row>
      <xdr:rowOff>0</xdr:rowOff>
    </xdr:from>
    <xdr:to>
      <xdr:col>16</xdr:col>
      <xdr:colOff>821392</xdr:colOff>
      <xdr:row>687</xdr:row>
      <xdr:rowOff>107577</xdr:rowOff>
    </xdr:to>
    <xdr:sp macro="" textlink="">
      <xdr:nvSpPr>
        <xdr:cNvPr id="131" name="TextBox 130">
          <a:extLst>
            <a:ext uri="{FF2B5EF4-FFF2-40B4-BE49-F238E27FC236}">
              <a16:creationId xmlns:a16="http://schemas.microsoft.com/office/drawing/2014/main" id="{48FBE819-771F-44BB-88AE-D5C3E2AAA411}"/>
            </a:ext>
          </a:extLst>
        </xdr:cNvPr>
        <xdr:cNvSpPr txBox="1"/>
      </xdr:nvSpPr>
      <xdr:spPr>
        <a:xfrm rot="19462498">
          <a:off x="13178118" y="13775391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699</xdr:row>
      <xdr:rowOff>0</xdr:rowOff>
    </xdr:from>
    <xdr:to>
      <xdr:col>6</xdr:col>
      <xdr:colOff>14568</xdr:colOff>
      <xdr:row>703</xdr:row>
      <xdr:rowOff>107577</xdr:rowOff>
    </xdr:to>
    <xdr:sp macro="" textlink="">
      <xdr:nvSpPr>
        <xdr:cNvPr id="132" name="TextBox 131">
          <a:extLst>
            <a:ext uri="{FF2B5EF4-FFF2-40B4-BE49-F238E27FC236}">
              <a16:creationId xmlns:a16="http://schemas.microsoft.com/office/drawing/2014/main" id="{024B288A-7C5E-4BC4-B035-5D1966B5E41E}"/>
            </a:ext>
          </a:extLst>
        </xdr:cNvPr>
        <xdr:cNvSpPr txBox="1"/>
      </xdr:nvSpPr>
      <xdr:spPr>
        <a:xfrm rot="19462498">
          <a:off x="784412" y="140981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701</xdr:row>
      <xdr:rowOff>0</xdr:rowOff>
    </xdr:from>
    <xdr:to>
      <xdr:col>9</xdr:col>
      <xdr:colOff>440391</xdr:colOff>
      <xdr:row>705</xdr:row>
      <xdr:rowOff>107577</xdr:rowOff>
    </xdr:to>
    <xdr:sp macro="" textlink="">
      <xdr:nvSpPr>
        <xdr:cNvPr id="133" name="TextBox 132">
          <a:extLst>
            <a:ext uri="{FF2B5EF4-FFF2-40B4-BE49-F238E27FC236}">
              <a16:creationId xmlns:a16="http://schemas.microsoft.com/office/drawing/2014/main" id="{B476907C-376F-4A1F-82BF-202BAB13A592}"/>
            </a:ext>
          </a:extLst>
        </xdr:cNvPr>
        <xdr:cNvSpPr txBox="1"/>
      </xdr:nvSpPr>
      <xdr:spPr>
        <a:xfrm rot="19462498">
          <a:off x="4078941" y="14138461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702</xdr:row>
      <xdr:rowOff>0</xdr:rowOff>
    </xdr:from>
    <xdr:to>
      <xdr:col>13</xdr:col>
      <xdr:colOff>709332</xdr:colOff>
      <xdr:row>706</xdr:row>
      <xdr:rowOff>107577</xdr:rowOff>
    </xdr:to>
    <xdr:sp macro="" textlink="">
      <xdr:nvSpPr>
        <xdr:cNvPr id="135" name="TextBox 134">
          <a:extLst>
            <a:ext uri="{FF2B5EF4-FFF2-40B4-BE49-F238E27FC236}">
              <a16:creationId xmlns:a16="http://schemas.microsoft.com/office/drawing/2014/main" id="{80F659C3-806C-4E1F-9FFB-08256BF0248B}"/>
            </a:ext>
          </a:extLst>
        </xdr:cNvPr>
        <xdr:cNvSpPr txBox="1"/>
      </xdr:nvSpPr>
      <xdr:spPr>
        <a:xfrm rot="19462498">
          <a:off x="8763000" y="1415863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14</xdr:col>
      <xdr:colOff>0</xdr:colOff>
      <xdr:row>702</xdr:row>
      <xdr:rowOff>0</xdr:rowOff>
    </xdr:from>
    <xdr:to>
      <xdr:col>18</xdr:col>
      <xdr:colOff>518833</xdr:colOff>
      <xdr:row>706</xdr:row>
      <xdr:rowOff>107577</xdr:rowOff>
    </xdr:to>
    <xdr:sp macro="" textlink="">
      <xdr:nvSpPr>
        <xdr:cNvPr id="136" name="TextBox 135">
          <a:extLst>
            <a:ext uri="{FF2B5EF4-FFF2-40B4-BE49-F238E27FC236}">
              <a16:creationId xmlns:a16="http://schemas.microsoft.com/office/drawing/2014/main" id="{4C0F3A0B-8292-46DB-AC19-C12FCE17985A}"/>
            </a:ext>
          </a:extLst>
        </xdr:cNvPr>
        <xdr:cNvSpPr txBox="1"/>
      </xdr:nvSpPr>
      <xdr:spPr>
        <a:xfrm rot="19462498">
          <a:off x="14612471" y="1415863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723</xdr:row>
      <xdr:rowOff>0</xdr:rowOff>
    </xdr:from>
    <xdr:to>
      <xdr:col>6</xdr:col>
      <xdr:colOff>14568</xdr:colOff>
      <xdr:row>727</xdr:row>
      <xdr:rowOff>107576</xdr:rowOff>
    </xdr:to>
    <xdr:sp macro="" textlink="">
      <xdr:nvSpPr>
        <xdr:cNvPr id="138" name="TextBox 137">
          <a:extLst>
            <a:ext uri="{FF2B5EF4-FFF2-40B4-BE49-F238E27FC236}">
              <a16:creationId xmlns:a16="http://schemas.microsoft.com/office/drawing/2014/main" id="{CBABA3DF-046D-42C4-A01C-B9BB5C2412D7}"/>
            </a:ext>
          </a:extLst>
        </xdr:cNvPr>
        <xdr:cNvSpPr txBox="1"/>
      </xdr:nvSpPr>
      <xdr:spPr>
        <a:xfrm rot="19462498">
          <a:off x="784412" y="14582214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717177</xdr:colOff>
      <xdr:row>722</xdr:row>
      <xdr:rowOff>168089</xdr:rowOff>
    </xdr:from>
    <xdr:to>
      <xdr:col>10</xdr:col>
      <xdr:colOff>227480</xdr:colOff>
      <xdr:row>727</xdr:row>
      <xdr:rowOff>73959</xdr:rowOff>
    </xdr:to>
    <xdr:sp macro="" textlink="">
      <xdr:nvSpPr>
        <xdr:cNvPr id="139" name="TextBox 138">
          <a:extLst>
            <a:ext uri="{FF2B5EF4-FFF2-40B4-BE49-F238E27FC236}">
              <a16:creationId xmlns:a16="http://schemas.microsoft.com/office/drawing/2014/main" id="{C5697218-C343-4A81-B579-BFC081CC4219}"/>
            </a:ext>
          </a:extLst>
        </xdr:cNvPr>
        <xdr:cNvSpPr txBox="1"/>
      </xdr:nvSpPr>
      <xdr:spPr>
        <a:xfrm rot="19462498">
          <a:off x="4796118" y="145788530"/>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459440</xdr:colOff>
      <xdr:row>722</xdr:row>
      <xdr:rowOff>78442</xdr:rowOff>
    </xdr:from>
    <xdr:to>
      <xdr:col>13</xdr:col>
      <xdr:colOff>1168772</xdr:colOff>
      <xdr:row>726</xdr:row>
      <xdr:rowOff>186018</xdr:rowOff>
    </xdr:to>
    <xdr:sp macro="" textlink="">
      <xdr:nvSpPr>
        <xdr:cNvPr id="140" name="TextBox 139">
          <a:extLst>
            <a:ext uri="{FF2B5EF4-FFF2-40B4-BE49-F238E27FC236}">
              <a16:creationId xmlns:a16="http://schemas.microsoft.com/office/drawing/2014/main" id="{3D84E568-6570-4A25-A6DA-881346B0FEC8}"/>
            </a:ext>
          </a:extLst>
        </xdr:cNvPr>
        <xdr:cNvSpPr txBox="1"/>
      </xdr:nvSpPr>
      <xdr:spPr>
        <a:xfrm rot="19462498">
          <a:off x="9222440" y="14569888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1221441</xdr:colOff>
      <xdr:row>723</xdr:row>
      <xdr:rowOff>190499</xdr:rowOff>
    </xdr:from>
    <xdr:to>
      <xdr:col>16</xdr:col>
      <xdr:colOff>765362</xdr:colOff>
      <xdr:row>728</xdr:row>
      <xdr:rowOff>96370</xdr:rowOff>
    </xdr:to>
    <xdr:sp macro="" textlink="">
      <xdr:nvSpPr>
        <xdr:cNvPr id="141" name="TextBox 140">
          <a:extLst>
            <a:ext uri="{FF2B5EF4-FFF2-40B4-BE49-F238E27FC236}">
              <a16:creationId xmlns:a16="http://schemas.microsoft.com/office/drawing/2014/main" id="{FAE88857-85AE-4DE0-BD6F-C29AC7F345D1}"/>
            </a:ext>
          </a:extLst>
        </xdr:cNvPr>
        <xdr:cNvSpPr txBox="1"/>
      </xdr:nvSpPr>
      <xdr:spPr>
        <a:xfrm rot="19462498">
          <a:off x="13122088" y="14601264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2</xdr:col>
      <xdr:colOff>0</xdr:colOff>
      <xdr:row>745</xdr:row>
      <xdr:rowOff>0</xdr:rowOff>
    </xdr:from>
    <xdr:to>
      <xdr:col>6</xdr:col>
      <xdr:colOff>798980</xdr:colOff>
      <xdr:row>749</xdr:row>
      <xdr:rowOff>107576</xdr:rowOff>
    </xdr:to>
    <xdr:sp macro="" textlink="">
      <xdr:nvSpPr>
        <xdr:cNvPr id="142" name="TextBox 141">
          <a:extLst>
            <a:ext uri="{FF2B5EF4-FFF2-40B4-BE49-F238E27FC236}">
              <a16:creationId xmlns:a16="http://schemas.microsoft.com/office/drawing/2014/main" id="{B9D64705-30D5-46FA-A419-82B814750778}"/>
            </a:ext>
          </a:extLst>
        </xdr:cNvPr>
        <xdr:cNvSpPr txBox="1"/>
      </xdr:nvSpPr>
      <xdr:spPr>
        <a:xfrm rot="19462498">
          <a:off x="1568824" y="15025967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6</xdr:col>
      <xdr:colOff>0</xdr:colOff>
      <xdr:row>747</xdr:row>
      <xdr:rowOff>0</xdr:rowOff>
    </xdr:from>
    <xdr:to>
      <xdr:col>11</xdr:col>
      <xdr:colOff>193862</xdr:colOff>
      <xdr:row>751</xdr:row>
      <xdr:rowOff>107576</xdr:rowOff>
    </xdr:to>
    <xdr:sp macro="" textlink="">
      <xdr:nvSpPr>
        <xdr:cNvPr id="143" name="TextBox 142">
          <a:extLst>
            <a:ext uri="{FF2B5EF4-FFF2-40B4-BE49-F238E27FC236}">
              <a16:creationId xmlns:a16="http://schemas.microsoft.com/office/drawing/2014/main" id="{E3E3D4DC-3A34-42CA-B768-21F527AD7CC7}"/>
            </a:ext>
          </a:extLst>
        </xdr:cNvPr>
        <xdr:cNvSpPr txBox="1"/>
      </xdr:nvSpPr>
      <xdr:spPr>
        <a:xfrm rot="19462498">
          <a:off x="5894294" y="15066308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10</xdr:col>
      <xdr:colOff>0</xdr:colOff>
      <xdr:row>747</xdr:row>
      <xdr:rowOff>0</xdr:rowOff>
    </xdr:from>
    <xdr:to>
      <xdr:col>14</xdr:col>
      <xdr:colOff>205067</xdr:colOff>
      <xdr:row>751</xdr:row>
      <xdr:rowOff>107576</xdr:rowOff>
    </xdr:to>
    <xdr:sp macro="" textlink="">
      <xdr:nvSpPr>
        <xdr:cNvPr id="144" name="TextBox 143">
          <a:extLst>
            <a:ext uri="{FF2B5EF4-FFF2-40B4-BE49-F238E27FC236}">
              <a16:creationId xmlns:a16="http://schemas.microsoft.com/office/drawing/2014/main" id="{8F90DBD2-1EAD-49ED-93A5-0505775EA3A9}"/>
            </a:ext>
          </a:extLst>
        </xdr:cNvPr>
        <xdr:cNvSpPr txBox="1"/>
      </xdr:nvSpPr>
      <xdr:spPr>
        <a:xfrm rot="19462498">
          <a:off x="9693088" y="15066308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748</xdr:row>
      <xdr:rowOff>0</xdr:rowOff>
    </xdr:from>
    <xdr:to>
      <xdr:col>16</xdr:col>
      <xdr:colOff>821392</xdr:colOff>
      <xdr:row>752</xdr:row>
      <xdr:rowOff>107576</xdr:rowOff>
    </xdr:to>
    <xdr:sp macro="" textlink="">
      <xdr:nvSpPr>
        <xdr:cNvPr id="145" name="TextBox 144">
          <a:extLst>
            <a:ext uri="{FF2B5EF4-FFF2-40B4-BE49-F238E27FC236}">
              <a16:creationId xmlns:a16="http://schemas.microsoft.com/office/drawing/2014/main" id="{560B7806-488A-4EA4-8315-CF7A8ED51BB6}"/>
            </a:ext>
          </a:extLst>
        </xdr:cNvPr>
        <xdr:cNvSpPr txBox="1"/>
      </xdr:nvSpPr>
      <xdr:spPr>
        <a:xfrm rot="19462498">
          <a:off x="13178118" y="15086479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769</xdr:row>
      <xdr:rowOff>0</xdr:rowOff>
    </xdr:from>
    <xdr:to>
      <xdr:col>6</xdr:col>
      <xdr:colOff>14568</xdr:colOff>
      <xdr:row>773</xdr:row>
      <xdr:rowOff>107577</xdr:rowOff>
    </xdr:to>
    <xdr:sp macro="" textlink="">
      <xdr:nvSpPr>
        <xdr:cNvPr id="146" name="TextBox 145">
          <a:extLst>
            <a:ext uri="{FF2B5EF4-FFF2-40B4-BE49-F238E27FC236}">
              <a16:creationId xmlns:a16="http://schemas.microsoft.com/office/drawing/2014/main" id="{2F7577AB-F766-4965-ABEF-F3CF207A8750}"/>
            </a:ext>
          </a:extLst>
        </xdr:cNvPr>
        <xdr:cNvSpPr txBox="1"/>
      </xdr:nvSpPr>
      <xdr:spPr>
        <a:xfrm rot="19462498">
          <a:off x="784412" y="15510061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772</xdr:row>
      <xdr:rowOff>0</xdr:rowOff>
    </xdr:from>
    <xdr:to>
      <xdr:col>9</xdr:col>
      <xdr:colOff>440391</xdr:colOff>
      <xdr:row>776</xdr:row>
      <xdr:rowOff>107576</xdr:rowOff>
    </xdr:to>
    <xdr:sp macro="" textlink="">
      <xdr:nvSpPr>
        <xdr:cNvPr id="147" name="TextBox 146">
          <a:extLst>
            <a:ext uri="{FF2B5EF4-FFF2-40B4-BE49-F238E27FC236}">
              <a16:creationId xmlns:a16="http://schemas.microsoft.com/office/drawing/2014/main" id="{7D83AD1F-B690-4433-951B-77D7223983CC}"/>
            </a:ext>
          </a:extLst>
        </xdr:cNvPr>
        <xdr:cNvSpPr txBox="1"/>
      </xdr:nvSpPr>
      <xdr:spPr>
        <a:xfrm rot="19462498">
          <a:off x="4078941" y="15570573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0</xdr:colOff>
      <xdr:row>772</xdr:row>
      <xdr:rowOff>0</xdr:rowOff>
    </xdr:from>
    <xdr:to>
      <xdr:col>12</xdr:col>
      <xdr:colOff>989479</xdr:colOff>
      <xdr:row>776</xdr:row>
      <xdr:rowOff>107576</xdr:rowOff>
    </xdr:to>
    <xdr:sp macro="" textlink="">
      <xdr:nvSpPr>
        <xdr:cNvPr id="148" name="TextBox 147">
          <a:extLst>
            <a:ext uri="{FF2B5EF4-FFF2-40B4-BE49-F238E27FC236}">
              <a16:creationId xmlns:a16="http://schemas.microsoft.com/office/drawing/2014/main" id="{35BCF6A3-EAF4-483E-8F07-C103D6CA35AD}"/>
            </a:ext>
          </a:extLst>
        </xdr:cNvPr>
        <xdr:cNvSpPr txBox="1"/>
      </xdr:nvSpPr>
      <xdr:spPr>
        <a:xfrm rot="19462498">
          <a:off x="7765676" y="15570573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0</xdr:colOff>
      <xdr:row>773</xdr:row>
      <xdr:rowOff>0</xdr:rowOff>
    </xdr:from>
    <xdr:to>
      <xdr:col>15</xdr:col>
      <xdr:colOff>978273</xdr:colOff>
      <xdr:row>777</xdr:row>
      <xdr:rowOff>107576</xdr:rowOff>
    </xdr:to>
    <xdr:sp macro="" textlink="">
      <xdr:nvSpPr>
        <xdr:cNvPr id="149" name="TextBox 148">
          <a:extLst>
            <a:ext uri="{FF2B5EF4-FFF2-40B4-BE49-F238E27FC236}">
              <a16:creationId xmlns:a16="http://schemas.microsoft.com/office/drawing/2014/main" id="{A695D94A-AE65-45C3-BE9F-E1C99A1C9A11}"/>
            </a:ext>
          </a:extLst>
        </xdr:cNvPr>
        <xdr:cNvSpPr txBox="1"/>
      </xdr:nvSpPr>
      <xdr:spPr>
        <a:xfrm rot="19462498">
          <a:off x="11900647" y="1559074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794</xdr:row>
      <xdr:rowOff>0</xdr:rowOff>
    </xdr:from>
    <xdr:to>
      <xdr:col>6</xdr:col>
      <xdr:colOff>14568</xdr:colOff>
      <xdr:row>798</xdr:row>
      <xdr:rowOff>107577</xdr:rowOff>
    </xdr:to>
    <xdr:sp macro="" textlink="">
      <xdr:nvSpPr>
        <xdr:cNvPr id="151" name="TextBox 150">
          <a:extLst>
            <a:ext uri="{FF2B5EF4-FFF2-40B4-BE49-F238E27FC236}">
              <a16:creationId xmlns:a16="http://schemas.microsoft.com/office/drawing/2014/main" id="{20AB0AFA-3505-4C23-A712-FEC1B76D43A8}"/>
            </a:ext>
          </a:extLst>
        </xdr:cNvPr>
        <xdr:cNvSpPr txBox="1"/>
      </xdr:nvSpPr>
      <xdr:spPr>
        <a:xfrm rot="19462498">
          <a:off x="784412" y="16014326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797</xdr:row>
      <xdr:rowOff>0</xdr:rowOff>
    </xdr:from>
    <xdr:to>
      <xdr:col>9</xdr:col>
      <xdr:colOff>440391</xdr:colOff>
      <xdr:row>801</xdr:row>
      <xdr:rowOff>107576</xdr:rowOff>
    </xdr:to>
    <xdr:sp macro="" textlink="">
      <xdr:nvSpPr>
        <xdr:cNvPr id="152" name="TextBox 151">
          <a:extLst>
            <a:ext uri="{FF2B5EF4-FFF2-40B4-BE49-F238E27FC236}">
              <a16:creationId xmlns:a16="http://schemas.microsoft.com/office/drawing/2014/main" id="{8A69BCCB-8FDD-4CD1-A1C0-33889BD00CBD}"/>
            </a:ext>
          </a:extLst>
        </xdr:cNvPr>
        <xdr:cNvSpPr txBox="1"/>
      </xdr:nvSpPr>
      <xdr:spPr>
        <a:xfrm rot="19462498">
          <a:off x="4078941" y="160748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797</xdr:row>
      <xdr:rowOff>0</xdr:rowOff>
    </xdr:from>
    <xdr:to>
      <xdr:col>13</xdr:col>
      <xdr:colOff>709332</xdr:colOff>
      <xdr:row>801</xdr:row>
      <xdr:rowOff>107576</xdr:rowOff>
    </xdr:to>
    <xdr:sp macro="" textlink="">
      <xdr:nvSpPr>
        <xdr:cNvPr id="153" name="TextBox 152">
          <a:extLst>
            <a:ext uri="{FF2B5EF4-FFF2-40B4-BE49-F238E27FC236}">
              <a16:creationId xmlns:a16="http://schemas.microsoft.com/office/drawing/2014/main" id="{1CC4E4AC-D250-4992-81DB-8B52BB08C4C3}"/>
            </a:ext>
          </a:extLst>
        </xdr:cNvPr>
        <xdr:cNvSpPr txBox="1"/>
      </xdr:nvSpPr>
      <xdr:spPr>
        <a:xfrm rot="19462498">
          <a:off x="8763000" y="160748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797</xdr:row>
      <xdr:rowOff>0</xdr:rowOff>
    </xdr:from>
    <xdr:to>
      <xdr:col>16</xdr:col>
      <xdr:colOff>821392</xdr:colOff>
      <xdr:row>801</xdr:row>
      <xdr:rowOff>107576</xdr:rowOff>
    </xdr:to>
    <xdr:sp macro="" textlink="">
      <xdr:nvSpPr>
        <xdr:cNvPr id="154" name="TextBox 153">
          <a:extLst>
            <a:ext uri="{FF2B5EF4-FFF2-40B4-BE49-F238E27FC236}">
              <a16:creationId xmlns:a16="http://schemas.microsoft.com/office/drawing/2014/main" id="{3EAB4C29-847C-469A-B7D8-01B9B36657F0}"/>
            </a:ext>
          </a:extLst>
        </xdr:cNvPr>
        <xdr:cNvSpPr txBox="1"/>
      </xdr:nvSpPr>
      <xdr:spPr>
        <a:xfrm rot="19462498">
          <a:off x="13178118" y="160748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816</xdr:row>
      <xdr:rowOff>0</xdr:rowOff>
    </xdr:from>
    <xdr:to>
      <xdr:col>6</xdr:col>
      <xdr:colOff>14568</xdr:colOff>
      <xdr:row>820</xdr:row>
      <xdr:rowOff>107576</xdr:rowOff>
    </xdr:to>
    <xdr:sp macro="" textlink="">
      <xdr:nvSpPr>
        <xdr:cNvPr id="155" name="TextBox 154">
          <a:extLst>
            <a:ext uri="{FF2B5EF4-FFF2-40B4-BE49-F238E27FC236}">
              <a16:creationId xmlns:a16="http://schemas.microsoft.com/office/drawing/2014/main" id="{6DD0B850-4A50-48C7-84C4-F0F011DEE589}"/>
            </a:ext>
          </a:extLst>
        </xdr:cNvPr>
        <xdr:cNvSpPr txBox="1"/>
      </xdr:nvSpPr>
      <xdr:spPr>
        <a:xfrm rot="19462498">
          <a:off x="784412" y="16458079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820</xdr:row>
      <xdr:rowOff>0</xdr:rowOff>
    </xdr:from>
    <xdr:to>
      <xdr:col>9</xdr:col>
      <xdr:colOff>440391</xdr:colOff>
      <xdr:row>824</xdr:row>
      <xdr:rowOff>107577</xdr:rowOff>
    </xdr:to>
    <xdr:sp macro="" textlink="">
      <xdr:nvSpPr>
        <xdr:cNvPr id="156" name="TextBox 155">
          <a:extLst>
            <a:ext uri="{FF2B5EF4-FFF2-40B4-BE49-F238E27FC236}">
              <a16:creationId xmlns:a16="http://schemas.microsoft.com/office/drawing/2014/main" id="{F0624E16-21A7-4E78-A216-DA9E2E8F1EFE}"/>
            </a:ext>
          </a:extLst>
        </xdr:cNvPr>
        <xdr:cNvSpPr txBox="1"/>
      </xdr:nvSpPr>
      <xdr:spPr>
        <a:xfrm rot="19462498">
          <a:off x="4078941" y="165387618"/>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822</xdr:row>
      <xdr:rowOff>0</xdr:rowOff>
    </xdr:from>
    <xdr:to>
      <xdr:col>13</xdr:col>
      <xdr:colOff>709332</xdr:colOff>
      <xdr:row>826</xdr:row>
      <xdr:rowOff>107576</xdr:rowOff>
    </xdr:to>
    <xdr:sp macro="" textlink="">
      <xdr:nvSpPr>
        <xdr:cNvPr id="157" name="TextBox 156">
          <a:extLst>
            <a:ext uri="{FF2B5EF4-FFF2-40B4-BE49-F238E27FC236}">
              <a16:creationId xmlns:a16="http://schemas.microsoft.com/office/drawing/2014/main" id="{98DFD68A-34AA-4798-93EF-7057D2E44D43}"/>
            </a:ext>
          </a:extLst>
        </xdr:cNvPr>
        <xdr:cNvSpPr txBox="1"/>
      </xdr:nvSpPr>
      <xdr:spPr>
        <a:xfrm rot="19462498">
          <a:off x="8763000" y="16579102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822</xdr:row>
      <xdr:rowOff>0</xdr:rowOff>
    </xdr:from>
    <xdr:to>
      <xdr:col>16</xdr:col>
      <xdr:colOff>821392</xdr:colOff>
      <xdr:row>826</xdr:row>
      <xdr:rowOff>107576</xdr:rowOff>
    </xdr:to>
    <xdr:sp macro="" textlink="">
      <xdr:nvSpPr>
        <xdr:cNvPr id="158" name="TextBox 157">
          <a:extLst>
            <a:ext uri="{FF2B5EF4-FFF2-40B4-BE49-F238E27FC236}">
              <a16:creationId xmlns:a16="http://schemas.microsoft.com/office/drawing/2014/main" id="{88889019-21FC-43AC-8E92-1F999895EC93}"/>
            </a:ext>
          </a:extLst>
        </xdr:cNvPr>
        <xdr:cNvSpPr txBox="1"/>
      </xdr:nvSpPr>
      <xdr:spPr>
        <a:xfrm rot="19462498">
          <a:off x="13178118" y="16579102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848</xdr:row>
      <xdr:rowOff>0</xdr:rowOff>
    </xdr:from>
    <xdr:to>
      <xdr:col>6</xdr:col>
      <xdr:colOff>14568</xdr:colOff>
      <xdr:row>852</xdr:row>
      <xdr:rowOff>107576</xdr:rowOff>
    </xdr:to>
    <xdr:sp macro="" textlink="">
      <xdr:nvSpPr>
        <xdr:cNvPr id="159" name="TextBox 158">
          <a:extLst>
            <a:ext uri="{FF2B5EF4-FFF2-40B4-BE49-F238E27FC236}">
              <a16:creationId xmlns:a16="http://schemas.microsoft.com/office/drawing/2014/main" id="{FD2C76DA-8E10-49A0-89BE-3C3AE5619E74}"/>
            </a:ext>
          </a:extLst>
        </xdr:cNvPr>
        <xdr:cNvSpPr txBox="1"/>
      </xdr:nvSpPr>
      <xdr:spPr>
        <a:xfrm rot="19462498">
          <a:off x="784412" y="171035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850</xdr:row>
      <xdr:rowOff>0</xdr:rowOff>
    </xdr:from>
    <xdr:to>
      <xdr:col>9</xdr:col>
      <xdr:colOff>440391</xdr:colOff>
      <xdr:row>854</xdr:row>
      <xdr:rowOff>107576</xdr:rowOff>
    </xdr:to>
    <xdr:sp macro="" textlink="">
      <xdr:nvSpPr>
        <xdr:cNvPr id="160" name="TextBox 159">
          <a:extLst>
            <a:ext uri="{FF2B5EF4-FFF2-40B4-BE49-F238E27FC236}">
              <a16:creationId xmlns:a16="http://schemas.microsoft.com/office/drawing/2014/main" id="{CE62DC01-2BBE-40CD-A64D-F5A578BF0A0A}"/>
            </a:ext>
          </a:extLst>
        </xdr:cNvPr>
        <xdr:cNvSpPr txBox="1"/>
      </xdr:nvSpPr>
      <xdr:spPr>
        <a:xfrm rot="19462498">
          <a:off x="4078941" y="17143879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852</xdr:row>
      <xdr:rowOff>0</xdr:rowOff>
    </xdr:from>
    <xdr:to>
      <xdr:col>13</xdr:col>
      <xdr:colOff>709332</xdr:colOff>
      <xdr:row>856</xdr:row>
      <xdr:rowOff>107577</xdr:rowOff>
    </xdr:to>
    <xdr:sp macro="" textlink="">
      <xdr:nvSpPr>
        <xdr:cNvPr id="161" name="TextBox 160">
          <a:extLst>
            <a:ext uri="{FF2B5EF4-FFF2-40B4-BE49-F238E27FC236}">
              <a16:creationId xmlns:a16="http://schemas.microsoft.com/office/drawing/2014/main" id="{C0477F40-646D-4077-82C7-008E44B97B3D}"/>
            </a:ext>
          </a:extLst>
        </xdr:cNvPr>
        <xdr:cNvSpPr txBox="1"/>
      </xdr:nvSpPr>
      <xdr:spPr>
        <a:xfrm rot="19462498">
          <a:off x="8763000" y="171842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853</xdr:row>
      <xdr:rowOff>0</xdr:rowOff>
    </xdr:from>
    <xdr:to>
      <xdr:col>16</xdr:col>
      <xdr:colOff>821392</xdr:colOff>
      <xdr:row>857</xdr:row>
      <xdr:rowOff>107577</xdr:rowOff>
    </xdr:to>
    <xdr:sp macro="" textlink="">
      <xdr:nvSpPr>
        <xdr:cNvPr id="162" name="TextBox 161">
          <a:extLst>
            <a:ext uri="{FF2B5EF4-FFF2-40B4-BE49-F238E27FC236}">
              <a16:creationId xmlns:a16="http://schemas.microsoft.com/office/drawing/2014/main" id="{C54C41F3-9D41-474D-ABB7-01E7BF8BD928}"/>
            </a:ext>
          </a:extLst>
        </xdr:cNvPr>
        <xdr:cNvSpPr txBox="1"/>
      </xdr:nvSpPr>
      <xdr:spPr>
        <a:xfrm rot="19462498">
          <a:off x="13178118" y="17204391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875</xdr:row>
      <xdr:rowOff>0</xdr:rowOff>
    </xdr:from>
    <xdr:to>
      <xdr:col>6</xdr:col>
      <xdr:colOff>14568</xdr:colOff>
      <xdr:row>879</xdr:row>
      <xdr:rowOff>107576</xdr:rowOff>
    </xdr:to>
    <xdr:sp macro="" textlink="">
      <xdr:nvSpPr>
        <xdr:cNvPr id="163" name="TextBox 162">
          <a:extLst>
            <a:ext uri="{FF2B5EF4-FFF2-40B4-BE49-F238E27FC236}">
              <a16:creationId xmlns:a16="http://schemas.microsoft.com/office/drawing/2014/main" id="{DB7CAD4C-0EC6-4762-900B-EE5582F5C4BA}"/>
            </a:ext>
          </a:extLst>
        </xdr:cNvPr>
        <xdr:cNvSpPr txBox="1"/>
      </xdr:nvSpPr>
      <xdr:spPr>
        <a:xfrm rot="19462498">
          <a:off x="784412" y="1764814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877</xdr:row>
      <xdr:rowOff>0</xdr:rowOff>
    </xdr:from>
    <xdr:to>
      <xdr:col>9</xdr:col>
      <xdr:colOff>440391</xdr:colOff>
      <xdr:row>881</xdr:row>
      <xdr:rowOff>107577</xdr:rowOff>
    </xdr:to>
    <xdr:sp macro="" textlink="">
      <xdr:nvSpPr>
        <xdr:cNvPr id="164" name="TextBox 163">
          <a:extLst>
            <a:ext uri="{FF2B5EF4-FFF2-40B4-BE49-F238E27FC236}">
              <a16:creationId xmlns:a16="http://schemas.microsoft.com/office/drawing/2014/main" id="{3AB4EFAA-8949-46A7-8543-A8896255552F}"/>
            </a:ext>
          </a:extLst>
        </xdr:cNvPr>
        <xdr:cNvSpPr txBox="1"/>
      </xdr:nvSpPr>
      <xdr:spPr>
        <a:xfrm rot="19462498">
          <a:off x="4078941" y="17688485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879</xdr:row>
      <xdr:rowOff>0</xdr:rowOff>
    </xdr:from>
    <xdr:to>
      <xdr:col>13</xdr:col>
      <xdr:colOff>709332</xdr:colOff>
      <xdr:row>883</xdr:row>
      <xdr:rowOff>107577</xdr:rowOff>
    </xdr:to>
    <xdr:sp macro="" textlink="">
      <xdr:nvSpPr>
        <xdr:cNvPr id="165" name="TextBox 164">
          <a:extLst>
            <a:ext uri="{FF2B5EF4-FFF2-40B4-BE49-F238E27FC236}">
              <a16:creationId xmlns:a16="http://schemas.microsoft.com/office/drawing/2014/main" id="{CD827FBA-C8AD-4558-9E84-C2D1E883324E}"/>
            </a:ext>
          </a:extLst>
        </xdr:cNvPr>
        <xdr:cNvSpPr txBox="1"/>
      </xdr:nvSpPr>
      <xdr:spPr>
        <a:xfrm rot="19462498">
          <a:off x="8763000" y="17728826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881</xdr:row>
      <xdr:rowOff>0</xdr:rowOff>
    </xdr:from>
    <xdr:to>
      <xdr:col>16</xdr:col>
      <xdr:colOff>821392</xdr:colOff>
      <xdr:row>885</xdr:row>
      <xdr:rowOff>107576</xdr:rowOff>
    </xdr:to>
    <xdr:sp macro="" textlink="">
      <xdr:nvSpPr>
        <xdr:cNvPr id="166" name="TextBox 165">
          <a:extLst>
            <a:ext uri="{FF2B5EF4-FFF2-40B4-BE49-F238E27FC236}">
              <a16:creationId xmlns:a16="http://schemas.microsoft.com/office/drawing/2014/main" id="{9B19608C-5B27-4DF9-A41E-532B89EC5CD0}"/>
            </a:ext>
          </a:extLst>
        </xdr:cNvPr>
        <xdr:cNvSpPr txBox="1"/>
      </xdr:nvSpPr>
      <xdr:spPr>
        <a:xfrm rot="19462498">
          <a:off x="13178118" y="17769167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903</xdr:row>
      <xdr:rowOff>0</xdr:rowOff>
    </xdr:from>
    <xdr:to>
      <xdr:col>6</xdr:col>
      <xdr:colOff>14568</xdr:colOff>
      <xdr:row>907</xdr:row>
      <xdr:rowOff>107577</xdr:rowOff>
    </xdr:to>
    <xdr:sp macro="" textlink="">
      <xdr:nvSpPr>
        <xdr:cNvPr id="167" name="TextBox 166">
          <a:extLst>
            <a:ext uri="{FF2B5EF4-FFF2-40B4-BE49-F238E27FC236}">
              <a16:creationId xmlns:a16="http://schemas.microsoft.com/office/drawing/2014/main" id="{13CB2CD4-4038-4735-BD28-0D62EA455CC0}"/>
            </a:ext>
          </a:extLst>
        </xdr:cNvPr>
        <xdr:cNvSpPr txBox="1"/>
      </xdr:nvSpPr>
      <xdr:spPr>
        <a:xfrm rot="19462498">
          <a:off x="784412" y="182129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906</xdr:row>
      <xdr:rowOff>0</xdr:rowOff>
    </xdr:from>
    <xdr:to>
      <xdr:col>9</xdr:col>
      <xdr:colOff>440391</xdr:colOff>
      <xdr:row>910</xdr:row>
      <xdr:rowOff>107577</xdr:rowOff>
    </xdr:to>
    <xdr:sp macro="" textlink="">
      <xdr:nvSpPr>
        <xdr:cNvPr id="168" name="TextBox 167">
          <a:extLst>
            <a:ext uri="{FF2B5EF4-FFF2-40B4-BE49-F238E27FC236}">
              <a16:creationId xmlns:a16="http://schemas.microsoft.com/office/drawing/2014/main" id="{E11130B6-807C-4A4D-A5AD-2A44C1D770AB}"/>
            </a:ext>
          </a:extLst>
        </xdr:cNvPr>
        <xdr:cNvSpPr txBox="1"/>
      </xdr:nvSpPr>
      <xdr:spPr>
        <a:xfrm rot="19462498">
          <a:off x="4078941" y="1827343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907</xdr:row>
      <xdr:rowOff>0</xdr:rowOff>
    </xdr:from>
    <xdr:to>
      <xdr:col>13</xdr:col>
      <xdr:colOff>709332</xdr:colOff>
      <xdr:row>911</xdr:row>
      <xdr:rowOff>107576</xdr:rowOff>
    </xdr:to>
    <xdr:sp macro="" textlink="">
      <xdr:nvSpPr>
        <xdr:cNvPr id="169" name="TextBox 168">
          <a:extLst>
            <a:ext uri="{FF2B5EF4-FFF2-40B4-BE49-F238E27FC236}">
              <a16:creationId xmlns:a16="http://schemas.microsoft.com/office/drawing/2014/main" id="{833312CC-97E7-4ADE-8230-E7F1A5D30DE1}"/>
            </a:ext>
          </a:extLst>
        </xdr:cNvPr>
        <xdr:cNvSpPr txBox="1"/>
      </xdr:nvSpPr>
      <xdr:spPr>
        <a:xfrm rot="19462498">
          <a:off x="8763000" y="182936029"/>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909</xdr:row>
      <xdr:rowOff>0</xdr:rowOff>
    </xdr:from>
    <xdr:to>
      <xdr:col>16</xdr:col>
      <xdr:colOff>821392</xdr:colOff>
      <xdr:row>913</xdr:row>
      <xdr:rowOff>107576</xdr:rowOff>
    </xdr:to>
    <xdr:sp macro="" textlink="">
      <xdr:nvSpPr>
        <xdr:cNvPr id="170" name="TextBox 169">
          <a:extLst>
            <a:ext uri="{FF2B5EF4-FFF2-40B4-BE49-F238E27FC236}">
              <a16:creationId xmlns:a16="http://schemas.microsoft.com/office/drawing/2014/main" id="{1DFD5A3A-8E9A-4ADB-846F-50059E017503}"/>
            </a:ext>
          </a:extLst>
        </xdr:cNvPr>
        <xdr:cNvSpPr txBox="1"/>
      </xdr:nvSpPr>
      <xdr:spPr>
        <a:xfrm rot="19462498">
          <a:off x="13178118" y="1833394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928</xdr:row>
      <xdr:rowOff>0</xdr:rowOff>
    </xdr:from>
    <xdr:to>
      <xdr:col>6</xdr:col>
      <xdr:colOff>14568</xdr:colOff>
      <xdr:row>932</xdr:row>
      <xdr:rowOff>107577</xdr:rowOff>
    </xdr:to>
    <xdr:sp macro="" textlink="">
      <xdr:nvSpPr>
        <xdr:cNvPr id="171" name="TextBox 170">
          <a:extLst>
            <a:ext uri="{FF2B5EF4-FFF2-40B4-BE49-F238E27FC236}">
              <a16:creationId xmlns:a16="http://schemas.microsoft.com/office/drawing/2014/main" id="{07047FA6-7AEC-450E-93D2-9DE4E8E1EF2A}"/>
            </a:ext>
          </a:extLst>
        </xdr:cNvPr>
        <xdr:cNvSpPr txBox="1"/>
      </xdr:nvSpPr>
      <xdr:spPr>
        <a:xfrm rot="19462498">
          <a:off x="784412" y="187171853"/>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931</xdr:row>
      <xdr:rowOff>0</xdr:rowOff>
    </xdr:from>
    <xdr:to>
      <xdr:col>9</xdr:col>
      <xdr:colOff>440391</xdr:colOff>
      <xdr:row>935</xdr:row>
      <xdr:rowOff>107577</xdr:rowOff>
    </xdr:to>
    <xdr:sp macro="" textlink="">
      <xdr:nvSpPr>
        <xdr:cNvPr id="172" name="TextBox 171">
          <a:extLst>
            <a:ext uri="{FF2B5EF4-FFF2-40B4-BE49-F238E27FC236}">
              <a16:creationId xmlns:a16="http://schemas.microsoft.com/office/drawing/2014/main" id="{89C2818E-066F-469A-BD82-37FE6151D7CC}"/>
            </a:ext>
          </a:extLst>
        </xdr:cNvPr>
        <xdr:cNvSpPr txBox="1"/>
      </xdr:nvSpPr>
      <xdr:spPr>
        <a:xfrm rot="19462498">
          <a:off x="4078941" y="18777697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932</xdr:row>
      <xdr:rowOff>0</xdr:rowOff>
    </xdr:from>
    <xdr:to>
      <xdr:col>13</xdr:col>
      <xdr:colOff>709332</xdr:colOff>
      <xdr:row>936</xdr:row>
      <xdr:rowOff>107576</xdr:rowOff>
    </xdr:to>
    <xdr:sp macro="" textlink="">
      <xdr:nvSpPr>
        <xdr:cNvPr id="173" name="TextBox 172">
          <a:extLst>
            <a:ext uri="{FF2B5EF4-FFF2-40B4-BE49-F238E27FC236}">
              <a16:creationId xmlns:a16="http://schemas.microsoft.com/office/drawing/2014/main" id="{8AE2407F-8EBD-47AE-A314-150506D26B62}"/>
            </a:ext>
          </a:extLst>
        </xdr:cNvPr>
        <xdr:cNvSpPr txBox="1"/>
      </xdr:nvSpPr>
      <xdr:spPr>
        <a:xfrm rot="19462498">
          <a:off x="8763000" y="18797867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933</xdr:row>
      <xdr:rowOff>0</xdr:rowOff>
    </xdr:from>
    <xdr:to>
      <xdr:col>16</xdr:col>
      <xdr:colOff>821392</xdr:colOff>
      <xdr:row>937</xdr:row>
      <xdr:rowOff>107576</xdr:rowOff>
    </xdr:to>
    <xdr:sp macro="" textlink="">
      <xdr:nvSpPr>
        <xdr:cNvPr id="174" name="TextBox 173">
          <a:extLst>
            <a:ext uri="{FF2B5EF4-FFF2-40B4-BE49-F238E27FC236}">
              <a16:creationId xmlns:a16="http://schemas.microsoft.com/office/drawing/2014/main" id="{5DEDB110-9D94-46DD-B64C-B7CC97522EA3}"/>
            </a:ext>
          </a:extLst>
        </xdr:cNvPr>
        <xdr:cNvSpPr txBox="1"/>
      </xdr:nvSpPr>
      <xdr:spPr>
        <a:xfrm rot="19462498">
          <a:off x="13178118" y="188180382"/>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954</xdr:row>
      <xdr:rowOff>0</xdr:rowOff>
    </xdr:from>
    <xdr:to>
      <xdr:col>6</xdr:col>
      <xdr:colOff>14568</xdr:colOff>
      <xdr:row>958</xdr:row>
      <xdr:rowOff>107577</xdr:rowOff>
    </xdr:to>
    <xdr:sp macro="" textlink="">
      <xdr:nvSpPr>
        <xdr:cNvPr id="175" name="TextBox 174">
          <a:extLst>
            <a:ext uri="{FF2B5EF4-FFF2-40B4-BE49-F238E27FC236}">
              <a16:creationId xmlns:a16="http://schemas.microsoft.com/office/drawing/2014/main" id="{D0D4C646-4B59-452E-B31D-FAFBC3261B35}"/>
            </a:ext>
          </a:extLst>
        </xdr:cNvPr>
        <xdr:cNvSpPr txBox="1"/>
      </xdr:nvSpPr>
      <xdr:spPr>
        <a:xfrm rot="19462498">
          <a:off x="784412" y="192416206"/>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957</xdr:row>
      <xdr:rowOff>0</xdr:rowOff>
    </xdr:from>
    <xdr:to>
      <xdr:col>9</xdr:col>
      <xdr:colOff>440391</xdr:colOff>
      <xdr:row>961</xdr:row>
      <xdr:rowOff>107577</xdr:rowOff>
    </xdr:to>
    <xdr:sp macro="" textlink="">
      <xdr:nvSpPr>
        <xdr:cNvPr id="176" name="TextBox 175">
          <a:extLst>
            <a:ext uri="{FF2B5EF4-FFF2-40B4-BE49-F238E27FC236}">
              <a16:creationId xmlns:a16="http://schemas.microsoft.com/office/drawing/2014/main" id="{867A3AE7-3ADB-455F-B177-E3674635B59B}"/>
            </a:ext>
          </a:extLst>
        </xdr:cNvPr>
        <xdr:cNvSpPr txBox="1"/>
      </xdr:nvSpPr>
      <xdr:spPr>
        <a:xfrm rot="19462498">
          <a:off x="4078941" y="193021324"/>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8</xdr:col>
      <xdr:colOff>0</xdr:colOff>
      <xdr:row>959</xdr:row>
      <xdr:rowOff>0</xdr:rowOff>
    </xdr:from>
    <xdr:to>
      <xdr:col>12</xdr:col>
      <xdr:colOff>989479</xdr:colOff>
      <xdr:row>963</xdr:row>
      <xdr:rowOff>107576</xdr:rowOff>
    </xdr:to>
    <xdr:sp macro="" textlink="">
      <xdr:nvSpPr>
        <xdr:cNvPr id="177" name="TextBox 176">
          <a:extLst>
            <a:ext uri="{FF2B5EF4-FFF2-40B4-BE49-F238E27FC236}">
              <a16:creationId xmlns:a16="http://schemas.microsoft.com/office/drawing/2014/main" id="{7BC256D8-5878-4152-81B6-9AF468B3E514}"/>
            </a:ext>
          </a:extLst>
        </xdr:cNvPr>
        <xdr:cNvSpPr txBox="1"/>
      </xdr:nvSpPr>
      <xdr:spPr>
        <a:xfrm rot="19462498">
          <a:off x="7765676" y="19342473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12</xdr:col>
      <xdr:colOff>0</xdr:colOff>
      <xdr:row>960</xdr:row>
      <xdr:rowOff>0</xdr:rowOff>
    </xdr:from>
    <xdr:to>
      <xdr:col>15</xdr:col>
      <xdr:colOff>978273</xdr:colOff>
      <xdr:row>964</xdr:row>
      <xdr:rowOff>107576</xdr:rowOff>
    </xdr:to>
    <xdr:sp macro="" textlink="">
      <xdr:nvSpPr>
        <xdr:cNvPr id="178" name="TextBox 177">
          <a:extLst>
            <a:ext uri="{FF2B5EF4-FFF2-40B4-BE49-F238E27FC236}">
              <a16:creationId xmlns:a16="http://schemas.microsoft.com/office/drawing/2014/main" id="{D8570F5B-0453-471F-A203-ADA9ADAA40EA}"/>
            </a:ext>
          </a:extLst>
        </xdr:cNvPr>
        <xdr:cNvSpPr txBox="1"/>
      </xdr:nvSpPr>
      <xdr:spPr>
        <a:xfrm rot="19462498">
          <a:off x="11900647" y="193626441"/>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xdr:col>
      <xdr:colOff>0</xdr:colOff>
      <xdr:row>976</xdr:row>
      <xdr:rowOff>0</xdr:rowOff>
    </xdr:from>
    <xdr:to>
      <xdr:col>6</xdr:col>
      <xdr:colOff>14568</xdr:colOff>
      <xdr:row>980</xdr:row>
      <xdr:rowOff>107576</xdr:rowOff>
    </xdr:to>
    <xdr:sp macro="" textlink="">
      <xdr:nvSpPr>
        <xdr:cNvPr id="179" name="TextBox 178">
          <a:extLst>
            <a:ext uri="{FF2B5EF4-FFF2-40B4-BE49-F238E27FC236}">
              <a16:creationId xmlns:a16="http://schemas.microsoft.com/office/drawing/2014/main" id="{1DDC243D-4BBA-4318-ACA6-A4B644A75350}"/>
            </a:ext>
          </a:extLst>
        </xdr:cNvPr>
        <xdr:cNvSpPr txBox="1"/>
      </xdr:nvSpPr>
      <xdr:spPr>
        <a:xfrm rot="19462498">
          <a:off x="784412" y="19685373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5</xdr:col>
      <xdr:colOff>0</xdr:colOff>
      <xdr:row>978</xdr:row>
      <xdr:rowOff>0</xdr:rowOff>
    </xdr:from>
    <xdr:to>
      <xdr:col>9</xdr:col>
      <xdr:colOff>440391</xdr:colOff>
      <xdr:row>982</xdr:row>
      <xdr:rowOff>107576</xdr:rowOff>
    </xdr:to>
    <xdr:sp macro="" textlink="">
      <xdr:nvSpPr>
        <xdr:cNvPr id="180" name="TextBox 179">
          <a:extLst>
            <a:ext uri="{FF2B5EF4-FFF2-40B4-BE49-F238E27FC236}">
              <a16:creationId xmlns:a16="http://schemas.microsoft.com/office/drawing/2014/main" id="{C75A8327-42F2-4BA2-93DF-4EBB4CA3DFE2}"/>
            </a:ext>
          </a:extLst>
        </xdr:cNvPr>
        <xdr:cNvSpPr txBox="1"/>
      </xdr:nvSpPr>
      <xdr:spPr>
        <a:xfrm rot="19462498">
          <a:off x="4078941" y="197257147"/>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9</xdr:col>
      <xdr:colOff>0</xdr:colOff>
      <xdr:row>981</xdr:row>
      <xdr:rowOff>0</xdr:rowOff>
    </xdr:from>
    <xdr:to>
      <xdr:col>13</xdr:col>
      <xdr:colOff>709332</xdr:colOff>
      <xdr:row>985</xdr:row>
      <xdr:rowOff>107577</xdr:rowOff>
    </xdr:to>
    <xdr:sp macro="" textlink="">
      <xdr:nvSpPr>
        <xdr:cNvPr id="181" name="TextBox 180">
          <a:extLst>
            <a:ext uri="{FF2B5EF4-FFF2-40B4-BE49-F238E27FC236}">
              <a16:creationId xmlns:a16="http://schemas.microsoft.com/office/drawing/2014/main" id="{F200B673-BDF5-4A99-88F3-3F48681E86E5}"/>
            </a:ext>
          </a:extLst>
        </xdr:cNvPr>
        <xdr:cNvSpPr txBox="1"/>
      </xdr:nvSpPr>
      <xdr:spPr>
        <a:xfrm rot="19462498">
          <a:off x="8763000" y="19786226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twoCellAnchor>
    <xdr:from>
      <xdr:col>13</xdr:col>
      <xdr:colOff>0</xdr:colOff>
      <xdr:row>981</xdr:row>
      <xdr:rowOff>0</xdr:rowOff>
    </xdr:from>
    <xdr:to>
      <xdr:col>16</xdr:col>
      <xdr:colOff>821392</xdr:colOff>
      <xdr:row>985</xdr:row>
      <xdr:rowOff>107577</xdr:rowOff>
    </xdr:to>
    <xdr:sp macro="" textlink="">
      <xdr:nvSpPr>
        <xdr:cNvPr id="182" name="TextBox 181">
          <a:extLst>
            <a:ext uri="{FF2B5EF4-FFF2-40B4-BE49-F238E27FC236}">
              <a16:creationId xmlns:a16="http://schemas.microsoft.com/office/drawing/2014/main" id="{2BDEA057-512B-4EB3-A574-737A6A6D4E70}"/>
            </a:ext>
          </a:extLst>
        </xdr:cNvPr>
        <xdr:cNvSpPr txBox="1"/>
      </xdr:nvSpPr>
      <xdr:spPr>
        <a:xfrm rot="19462498">
          <a:off x="13178118" y="197862265"/>
          <a:ext cx="51244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dk1">
                  <a:alpha val="25000"/>
                </a:schemeClr>
              </a:solidFill>
            </a:rPr>
            <a:t>MMDC Team PETIX</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LA" refreshedDate="45944.340843287035" createdVersion="8" refreshedVersion="8" minRefreshableVersion="3" recordCount="990" xr:uid="{F24CA244-D4E4-4A4D-9176-B105FE52AB05}">
  <cacheSource type="worksheet">
    <worksheetSource name="MotorPHSales"/>
  </cacheSource>
  <cacheFields count="18">
    <cacheField name="Date" numFmtId="14">
      <sharedItems containsSemiMixedTypes="0" containsNonDate="0" containsDate="1" containsString="0" minDate="2025-01-01T00:00:00" maxDate="2025-09-01T00:00:00"/>
    </cacheField>
    <cacheField name="Month" numFmtId="0">
      <sharedItems count="4">
        <s v="July"/>
        <s v="June"/>
        <s v="August"/>
        <s v="January"/>
      </sharedItems>
    </cacheField>
    <cacheField name="Day" numFmtId="0">
      <sharedItems containsSemiMixedTypes="0" containsString="0" containsNumber="1" containsInteger="1" minValue="1" maxValue="31" count="31">
        <n v="22"/>
        <n v="15"/>
        <n v="11"/>
        <n v="31"/>
        <n v="21"/>
        <n v="26"/>
        <n v="14"/>
        <n v="27"/>
        <n v="24"/>
        <n v="3"/>
        <n v="23"/>
        <n v="2"/>
        <n v="30"/>
        <n v="8"/>
        <n v="28"/>
        <n v="19"/>
        <n v="29"/>
        <n v="12"/>
        <n v="1"/>
        <n v="17"/>
        <n v="25"/>
        <n v="7"/>
        <n v="9"/>
        <n v="18"/>
        <n v="4"/>
        <n v="10"/>
        <n v="5"/>
        <n v="20"/>
        <n v="6"/>
        <n v="13"/>
        <n v="16"/>
      </sharedItems>
    </cacheField>
    <cacheField name="Year" numFmtId="0">
      <sharedItems containsSemiMixedTypes="0" containsString="0" containsNumber="1" containsInteger="1" minValue="2025" maxValue="2025" count="1">
        <n v="2025"/>
      </sharedItems>
    </cacheField>
    <cacheField name="Client_Type" numFmtId="0">
      <sharedItems count="3">
        <s v="Retail"/>
        <s v="Wholesale"/>
        <s v="TBA" u="1"/>
      </sharedItems>
    </cacheField>
    <cacheField name="Product" numFmtId="0">
      <sharedItems count="50">
        <s v="Zontes GK350"/>
        <s v="Yamaha FZi 150"/>
        <s v="Italjet Dragster 200"/>
        <s v="Zontes 310X"/>
        <s v="Yamaha Aerox 155"/>
        <s v="Bajaj Dominar 400"/>
        <s v="KTM 790 Duke"/>
        <s v="Vespa GTS Super 300"/>
        <s v="Moto Guzzi V7 Stone"/>
        <s v="Bristol Veloce 500"/>
        <s v="Honda Click 125i"/>
        <s v="CFMoto 300SR"/>
        <s v="Vespa Primavera 150"/>
        <s v="Honda ADV 160"/>
        <s v="Suzuki Burgman Street 125"/>
        <s v="CFMoto 650MT"/>
        <s v="Yamaha MT-15"/>
        <s v="Yamaha Sniper 155"/>
        <s v="Keeway RKS 150 Sport"/>
        <s v="Husqvarna Svartpilen 401"/>
        <s v="Yamaha XMAX 300"/>
        <s v="Honda CBR500R"/>
        <s v="Honda CRF300L"/>
        <s v="Suzuki GSX-S150"/>
        <s v="Suzuki Raider R150 Fi"/>
        <s v="Suzuki Avenis 125"/>
        <s v="BMW G 310 GS"/>
        <s v="Rusi Flash 125"/>
        <s v="SYM Jet X 150"/>
        <s v="Benelli 502C"/>
        <s v="BMW R nineT"/>
        <s v="Harley-Davidson Street 750"/>
        <s v="Aprilia SR GT 200"/>
        <s v="Moto Morini X-Cape 650"/>
        <s v="Motorstar Xplorer 250R"/>
        <s v="Kawasaki KLX 230"/>
        <s v="Bajaj CT125"/>
        <s v="Kawasaki Z400"/>
        <s v="Bristol Bobber 650"/>
        <s v="Yamaha NMAX 155"/>
        <s v="Kawasaki Ninja 400"/>
        <s v="Yamaha Serow 250"/>
        <s v="KTM RC 200"/>
        <s v="KTM Duke 200"/>
        <s v="CFMoto 300NK"/>
        <s v="TVS Apache RTR 200 4V"/>
        <s v="Honda Rebel 1100"/>
        <s v="Yamaha XSR155"/>
        <s v="SYM Husky 150"/>
        <s v="Royal Enfield Classic 350"/>
      </sharedItems>
    </cacheField>
    <cacheField name="UnitPrice" numFmtId="164">
      <sharedItems containsSemiMixedTypes="0" containsString="0" containsNumber="1" containsInteger="1" minValue="48000" maxValue="2067000"/>
    </cacheField>
    <cacheField name="Quantity" numFmtId="0">
      <sharedItems containsSemiMixedTypes="0" containsString="0" containsNumber="1" containsInteger="1" minValue="1" maxValue="50"/>
    </cacheField>
    <cacheField name="Total" numFmtId="164">
      <sharedItems containsSemiMixedTypes="0" containsString="0" containsNumber="1" containsInteger="1" minValue="67900" maxValue="32835000"/>
    </cacheField>
    <cacheField name="Payment" numFmtId="0">
      <sharedItems containsBlank="1" count="4">
        <s v="Cash"/>
        <s v="Credit card"/>
        <s v="Transfer"/>
        <m u="1"/>
      </sharedItems>
    </cacheField>
    <cacheField name="Product Type" numFmtId="0">
      <sharedItems count="17">
        <s v="Cafe racer"/>
        <s v="Street"/>
        <s v="Scooter"/>
        <s v="Adventure"/>
        <s v="Sport touring"/>
        <s v="Naked bike"/>
        <s v="Heritage"/>
        <s v="Sport"/>
        <s v="Touring"/>
        <s v="Underbone"/>
        <s v="Standard"/>
        <s v="Scrambler"/>
        <s v="Dual-sport"/>
        <s v="Commuter"/>
        <s v="Cruiser"/>
        <s v="Retro"/>
        <s v="Classic"/>
      </sharedItems>
    </cacheField>
    <cacheField name="Engine Type" numFmtId="0">
      <sharedItems/>
    </cacheField>
    <cacheField name="Cooling System" numFmtId="0">
      <sharedItems/>
    </cacheField>
    <cacheField name="Displacement (cc)" numFmtId="0">
      <sharedItems containsMixedTypes="1" containsNumber="1" containsInteger="1" minValue="0" maxValue="0" count="31">
        <s v="348cc"/>
        <s v="149cc"/>
        <s v="181cc"/>
        <s v="312cc"/>
        <s v="155cc"/>
        <s v="373cc"/>
        <s v="799cc"/>
        <s v="278cc"/>
        <s v="853cc"/>
        <s v="471cc"/>
        <s v="125cc"/>
        <s v="292cc"/>
        <s v="150cc"/>
        <s v="157cc"/>
        <s v="124cc"/>
        <s v="649cc"/>
        <s v="286cc"/>
        <s v="147cc"/>
        <s v="313cc"/>
        <s v="500cc"/>
        <n v="0"/>
        <s v="749cc"/>
        <s v="174cc"/>
        <s v="223cc"/>
        <s v="233cc"/>
        <s v="399cc"/>
        <s v="249cc"/>
        <s v="199cc"/>
        <s v="197cc"/>
        <s v="1084cc"/>
        <s v="349cc"/>
      </sharedItems>
    </cacheField>
    <cacheField name="Segment" numFmtId="0">
      <sharedItems/>
    </cacheField>
    <cacheField name="Mark up Rate" numFmtId="164">
      <sharedItems containsSemiMixedTypes="0" containsString="0" containsNumber="1" minValue="52230.769230769227" maxValue="40628888.888888888"/>
    </cacheField>
    <cacheField name="Transmission" numFmtId="0">
      <sharedItems containsMixedTypes="1" containsNumber="1" containsInteger="1" minValue="0" maxValue="0"/>
    </cacheField>
    <cacheField name="BoughtAmt" numFmtId="0" formula="'Mark up Rate'*Quantity" databaseField="0"/>
  </cacheFields>
  <extLst>
    <ext xmlns:x14="http://schemas.microsoft.com/office/spreadsheetml/2009/9/main" uri="{725AE2AE-9491-48be-B2B4-4EB974FC3084}">
      <x14:pivotCacheDefinition pivotCacheId="18365698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LA" refreshedDate="45944.340844444443" createdVersion="8" refreshedVersion="8" minRefreshableVersion="3" recordCount="50" xr:uid="{AB63243F-A05D-4964-B53F-D568EF8A8500}">
  <cacheSource type="worksheet">
    <worksheetSource ref="A1:J51" sheet="CLEANED_MotorPH_Products_List_2"/>
  </cacheSource>
  <cacheFields count="10">
    <cacheField name="Product ID Number" numFmtId="0">
      <sharedItems containsSemiMixedTypes="0" containsString="0" containsNumber="1" containsInteger="1" minValue="1" maxValue="50"/>
    </cacheField>
    <cacheField name="Product Name" numFmtId="0">
      <sharedItems count="50">
        <s v="Honda CBR500R"/>
        <s v="Yamaha MT-15"/>
        <s v="Kawasaki Ninja 400"/>
        <s v="Suzuki Raider R150 Fi"/>
        <s v="Royal Enfield Classic 350"/>
        <s v="CFMoto 300NK"/>
        <s v="Bristol Veloce 500"/>
        <s v="KTM Duke 200"/>
        <s v="Yamaha XSR155"/>
        <s v="Bajaj Dominar 400"/>
        <s v="Yamaha NMAX 155"/>
        <s v="Honda ADV 160"/>
        <s v="Suzuki Avenis 125"/>
        <s v="KTM RC 200"/>
        <s v="BMW G 310 GS"/>
        <s v="TVS Apache RTR 200 4V"/>
        <s v="Husqvarna Svartpilen 401"/>
        <s v="Vespa Primavera 150"/>
        <s v="Suzuki GSX-S150"/>
        <s v="Kawasaki Z400"/>
        <s v="Yamaha Aerox 155"/>
        <s v="Bristol Bobber 650"/>
        <s v="Keeway RKS 150 Sport"/>
        <s v="Motorstar Xplorer 250R"/>
        <s v="CFMoto 650MT"/>
        <s v="Honda Click 125i"/>
        <s v="Yamaha Sniper 155"/>
        <s v="Bajaj CT125"/>
        <s v="Honda CRF300L"/>
        <s v="Rusi Flash 125"/>
        <s v="SYM Jet X 150"/>
        <s v="Harley-Davidson Street 750"/>
        <s v="Zontes 310X"/>
        <s v="Aprilia SR GT 200"/>
        <s v="Yamaha XMAX 300"/>
        <s v="Benelli 502C"/>
        <s v="Moto Morini X-Cape 650"/>
        <s v="Yamaha FZi 150"/>
        <s v="Vespa GTS Super 300"/>
        <s v="Kawasaki KLX 230"/>
        <s v="BMW R nineT"/>
        <s v="Honda Rebel 1100"/>
        <s v="KTM 790 Duke"/>
        <s v="CFMoto 300SR"/>
        <s v="Italjet Dragster 200"/>
        <s v="Yamaha Serow 250"/>
        <s v="Suzuki Burgman Street 125"/>
        <s v="Zontes GK350"/>
        <s v="Moto Guzzi V7 Stone"/>
        <s v="SYM Husky 150"/>
      </sharedItems>
    </cacheField>
    <cacheField name="Product Type" numFmtId="0">
      <sharedItems count="17">
        <s v="Sport"/>
        <s v="Naked bike"/>
        <s v="Underbone"/>
        <s v="Classic"/>
        <s v="Cafe racer"/>
        <s v="Retro"/>
        <s v="Sport touring"/>
        <s v="Scooter"/>
        <s v="Adventure"/>
        <s v="Scrambler"/>
        <s v="Cruiser"/>
        <s v="Standard"/>
        <s v="Touring"/>
        <s v="Commuter"/>
        <s v="Dual-sport"/>
        <s v="Street"/>
        <s v="Heritage"/>
      </sharedItems>
    </cacheField>
    <cacheField name="Unit Price (PHP)" numFmtId="164">
      <sharedItems containsSemiMixedTypes="0" containsString="0" containsNumber="1" containsInteger="1" minValue="48000" maxValue="995000"/>
    </cacheField>
    <cacheField name="Engine Type" numFmtId="0">
      <sharedItems/>
    </cacheField>
    <cacheField name="Cooling System" numFmtId="0">
      <sharedItems/>
    </cacheField>
    <cacheField name="Displacement (cc)" numFmtId="0">
      <sharedItems containsBlank="1"/>
    </cacheField>
    <cacheField name="Transmission" numFmtId="0">
      <sharedItems containsBlank="1"/>
    </cacheField>
    <cacheField name="Manufacturing Date" numFmtId="0">
      <sharedItems containsSemiMixedTypes="0" containsString="0" containsNumber="1" containsInteger="1" minValue="2020" maxValue="2023" count="4">
        <n v="2021"/>
        <n v="2022"/>
        <n v="2023"/>
        <n v="2020"/>
      </sharedItems>
    </cacheField>
    <cacheField name="Date of Acquisition" numFmtId="0">
      <sharedItems containsSemiMixedTypes="0" containsString="0" containsNumber="1" containsInteger="1" minValue="2021" maxValue="2024" count="4">
        <n v="2023"/>
        <n v="2024"/>
        <n v="2021"/>
        <n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d v="2025-07-22T00:00:00"/>
    <x v="0"/>
    <x v="0"/>
    <x v="0"/>
    <x v="0"/>
    <x v="0"/>
    <n v="269000"/>
    <n v="20"/>
    <n v="5380000"/>
    <x v="0"/>
    <x v="0"/>
    <s v="Single cylinder"/>
    <s v="liquid-cooled"/>
    <x v="0"/>
    <s v="Mid-range"/>
    <n v="3985185.1851851847"/>
    <s v="6-speed"/>
  </r>
  <r>
    <d v="2025-06-15T00:00:00"/>
    <x v="1"/>
    <x v="1"/>
    <x v="0"/>
    <x v="1"/>
    <x v="1"/>
    <n v="99900"/>
    <n v="18"/>
    <n v="1798200"/>
    <x v="1"/>
    <x v="1"/>
    <s v="Single cylinder"/>
    <s v="air-cooled"/>
    <x v="1"/>
    <s v="Entry-level"/>
    <n v="1383230.7692307692"/>
    <s v="5-speed"/>
  </r>
  <r>
    <d v="2025-08-11T00:00:00"/>
    <x v="2"/>
    <x v="2"/>
    <x v="0"/>
    <x v="1"/>
    <x v="0"/>
    <n v="269000"/>
    <n v="41"/>
    <n v="11029000"/>
    <x v="1"/>
    <x v="0"/>
    <s v="Single cylinder"/>
    <s v="liquid-cooled"/>
    <x v="0"/>
    <s v="Mid-range"/>
    <n v="8169629.6296296287"/>
    <s v="6-speed"/>
  </r>
  <r>
    <d v="2025-07-31T00:00:00"/>
    <x v="0"/>
    <x v="3"/>
    <x v="0"/>
    <x v="0"/>
    <x v="2"/>
    <n v="867000"/>
    <n v="50"/>
    <n v="14450000"/>
    <x v="0"/>
    <x v="2"/>
    <s v="Single cylinder"/>
    <s v="liquid-cooled"/>
    <x v="2"/>
    <s v="Entry-level"/>
    <n v="33346153.846153844"/>
    <s v="CVT"/>
  </r>
  <r>
    <d v="2025-06-21T00:00:00"/>
    <x v="1"/>
    <x v="4"/>
    <x v="0"/>
    <x v="1"/>
    <x v="3"/>
    <n v="248000"/>
    <n v="7"/>
    <n v="1736000"/>
    <x v="0"/>
    <x v="3"/>
    <s v="Single cylinder"/>
    <s v="liquid-cooled"/>
    <x v="3"/>
    <s v="Mid-range"/>
    <n v="1285925.9259259258"/>
    <s v="6-speed"/>
  </r>
  <r>
    <d v="2025-08-22T00:00:00"/>
    <x v="2"/>
    <x v="0"/>
    <x v="0"/>
    <x v="0"/>
    <x v="3"/>
    <n v="248000"/>
    <n v="3"/>
    <n v="744000"/>
    <x v="0"/>
    <x v="3"/>
    <s v="Single cylinder"/>
    <s v="liquid-cooled"/>
    <x v="3"/>
    <s v="Mid-range"/>
    <n v="551111.11111111101"/>
    <s v="6-speed"/>
  </r>
  <r>
    <d v="2025-08-26T00:00:00"/>
    <x v="2"/>
    <x v="5"/>
    <x v="0"/>
    <x v="0"/>
    <x v="4"/>
    <n v="124000"/>
    <n v="28"/>
    <n v="3472000"/>
    <x v="1"/>
    <x v="2"/>
    <s v="Single cylinder"/>
    <s v="liquid-cooled"/>
    <x v="4"/>
    <s v="Entry-level"/>
    <n v="2670769.2307692305"/>
    <s v="CVT"/>
  </r>
  <r>
    <d v="2025-08-14T00:00:00"/>
    <x v="2"/>
    <x v="6"/>
    <x v="0"/>
    <x v="0"/>
    <x v="5"/>
    <n v="199900"/>
    <n v="12"/>
    <n v="2398800"/>
    <x v="2"/>
    <x v="4"/>
    <s v="Single cylinder"/>
    <s v="liquid-cooled"/>
    <x v="5"/>
    <s v="Mid-range"/>
    <n v="1776888.888888889"/>
    <s v="6-speed"/>
  </r>
  <r>
    <d v="2025-08-27T00:00:00"/>
    <x v="2"/>
    <x v="7"/>
    <x v="0"/>
    <x v="1"/>
    <x v="6"/>
    <n v="599000"/>
    <n v="46"/>
    <n v="27554000"/>
    <x v="1"/>
    <x v="5"/>
    <s v="Parallel-twin"/>
    <s v="liquid-cooled"/>
    <x v="6"/>
    <s v="Premium"/>
    <n v="19681428.571428575"/>
    <s v="6-speed"/>
  </r>
  <r>
    <d v="2025-06-24T00:00:00"/>
    <x v="1"/>
    <x v="8"/>
    <x v="0"/>
    <x v="1"/>
    <x v="7"/>
    <n v="398000"/>
    <n v="19"/>
    <n v="7562000"/>
    <x v="1"/>
    <x v="2"/>
    <s v="Single cylinder"/>
    <s v="liquid-cooled"/>
    <x v="7"/>
    <s v="Mid-range"/>
    <n v="5601481.4814814804"/>
    <s v="CVT"/>
  </r>
  <r>
    <d v="2025-06-03T00:00:00"/>
    <x v="1"/>
    <x v="9"/>
    <x v="0"/>
    <x v="1"/>
    <x v="8"/>
    <n v="689000"/>
    <n v="13"/>
    <n v="8957000"/>
    <x v="0"/>
    <x v="6"/>
    <s v="V-twin"/>
    <s v="air-cooled"/>
    <x v="8"/>
    <s v="Premium"/>
    <n v="6397857.1428571427"/>
    <s v="6-speed"/>
  </r>
  <r>
    <d v="2025-06-22T00:00:00"/>
    <x v="1"/>
    <x v="0"/>
    <x v="0"/>
    <x v="0"/>
    <x v="9"/>
    <n v="328000"/>
    <n v="4"/>
    <n v="1312000"/>
    <x v="1"/>
    <x v="0"/>
    <s v="Twin cylinder"/>
    <s v="air-cooled"/>
    <x v="9"/>
    <s v="Mid-range"/>
    <n v="971851.8518518518"/>
    <s v="6-speed"/>
  </r>
  <r>
    <d v="2025-07-23T00:00:00"/>
    <x v="0"/>
    <x v="10"/>
    <x v="0"/>
    <x v="0"/>
    <x v="10"/>
    <n v="80900"/>
    <n v="14"/>
    <n v="1132600"/>
    <x v="0"/>
    <x v="2"/>
    <s v="Single cylinder"/>
    <s v="liquid-cooled"/>
    <x v="10"/>
    <s v="Entry-level"/>
    <n v="871230.76923076913"/>
    <s v="CVT"/>
  </r>
  <r>
    <d v="2025-06-02T00:00:00"/>
    <x v="1"/>
    <x v="11"/>
    <x v="0"/>
    <x v="0"/>
    <x v="11"/>
    <n v="165000"/>
    <n v="9"/>
    <n v="1485000"/>
    <x v="2"/>
    <x v="7"/>
    <s v="Single cylinder"/>
    <s v="liquid-cooled"/>
    <x v="11"/>
    <s v="Mid-range"/>
    <n v="1100000"/>
    <s v="6-speed"/>
  </r>
  <r>
    <d v="2025-08-27T00:00:00"/>
    <x v="2"/>
    <x v="7"/>
    <x v="0"/>
    <x v="0"/>
    <x v="12"/>
    <n v="210000"/>
    <n v="2"/>
    <n v="420000"/>
    <x v="0"/>
    <x v="2"/>
    <s v="Single cylinder"/>
    <s v="air-cooled"/>
    <x v="12"/>
    <s v="Entry-level"/>
    <n v="323076.92307692306"/>
    <s v="CVT"/>
  </r>
  <r>
    <d v="2025-06-30T00:00:00"/>
    <x v="1"/>
    <x v="12"/>
    <x v="0"/>
    <x v="1"/>
    <x v="13"/>
    <n v="164900"/>
    <n v="5"/>
    <n v="824500"/>
    <x v="0"/>
    <x v="2"/>
    <s v="Single cylinder"/>
    <s v="liquid-cooled"/>
    <x v="13"/>
    <s v="Entry-level"/>
    <n v="634230.76923076925"/>
    <s v="CVT"/>
  </r>
  <r>
    <d v="2025-07-08T00:00:00"/>
    <x v="0"/>
    <x v="13"/>
    <x v="0"/>
    <x v="1"/>
    <x v="14"/>
    <n v="80900"/>
    <n v="42"/>
    <n v="3397800"/>
    <x v="2"/>
    <x v="2"/>
    <s v="Single cylinder"/>
    <s v="air-cooled"/>
    <x v="14"/>
    <s v="Entry-level"/>
    <n v="2613692.3076923075"/>
    <s v="CVT"/>
  </r>
  <r>
    <d v="2025-06-02T00:00:00"/>
    <x v="1"/>
    <x v="11"/>
    <x v="0"/>
    <x v="0"/>
    <x v="8"/>
    <n v="689000"/>
    <n v="10"/>
    <n v="6890000"/>
    <x v="2"/>
    <x v="6"/>
    <s v="V-twin"/>
    <s v="air-cooled"/>
    <x v="8"/>
    <s v="Premium"/>
    <n v="4921428.5714285718"/>
    <s v="6-speed"/>
  </r>
  <r>
    <d v="2025-08-03T00:00:00"/>
    <x v="2"/>
    <x v="9"/>
    <x v="0"/>
    <x v="0"/>
    <x v="15"/>
    <n v="345000"/>
    <n v="47"/>
    <n v="16215000"/>
    <x v="0"/>
    <x v="8"/>
    <s v="Parallel-twin"/>
    <s v="liquid-cooled"/>
    <x v="15"/>
    <s v="Premium"/>
    <n v="11582142.857142858"/>
    <s v="6-speed"/>
  </r>
  <r>
    <d v="2025-07-30T00:00:00"/>
    <x v="0"/>
    <x v="12"/>
    <x v="0"/>
    <x v="1"/>
    <x v="16"/>
    <n v="178000"/>
    <n v="15"/>
    <n v="2670000"/>
    <x v="1"/>
    <x v="5"/>
    <s v="Single cylinder"/>
    <s v="liquid-cooled"/>
    <x v="4"/>
    <s v="Entry-level"/>
    <n v="2053846.1538461535"/>
    <s v="6-speed"/>
  </r>
  <r>
    <d v="2025-06-21T00:00:00"/>
    <x v="1"/>
    <x v="4"/>
    <x v="0"/>
    <x v="0"/>
    <x v="17"/>
    <n v="125900"/>
    <n v="24"/>
    <n v="3021600"/>
    <x v="1"/>
    <x v="9"/>
    <s v="Single cylinder"/>
    <s v="liquid-cooled"/>
    <x v="4"/>
    <s v="Entry-level"/>
    <n v="2324307.692307692"/>
    <s v="6-speed"/>
  </r>
  <r>
    <d v="2025-07-03T00:00:00"/>
    <x v="0"/>
    <x v="9"/>
    <x v="0"/>
    <x v="0"/>
    <x v="1"/>
    <n v="99900"/>
    <n v="19"/>
    <n v="1898100"/>
    <x v="1"/>
    <x v="1"/>
    <s v="Single cylinder"/>
    <s v="air-cooled"/>
    <x v="1"/>
    <s v="Entry-level"/>
    <n v="1460076.923076923"/>
    <s v="5-speed"/>
  </r>
  <r>
    <d v="2025-08-15T00:00:00"/>
    <x v="2"/>
    <x v="1"/>
    <x v="0"/>
    <x v="0"/>
    <x v="18"/>
    <n v="206700"/>
    <n v="4"/>
    <n v="275600"/>
    <x v="0"/>
    <x v="10"/>
    <s v="Single cylinder"/>
    <s v="air-cooled"/>
    <x v="1"/>
    <s v="Entry-level"/>
    <n v="636000"/>
    <s v="5-speed"/>
  </r>
  <r>
    <d v="2025-07-28T00:00:00"/>
    <x v="0"/>
    <x v="14"/>
    <x v="0"/>
    <x v="1"/>
    <x v="19"/>
    <n v="295000"/>
    <n v="49"/>
    <n v="14455000"/>
    <x v="2"/>
    <x v="11"/>
    <s v="Single cylinder"/>
    <s v="liquid-cooled"/>
    <x v="5"/>
    <s v="Mid-range"/>
    <n v="10707407.407407407"/>
    <s v="6-speed"/>
  </r>
  <r>
    <d v="2025-06-22T00:00:00"/>
    <x v="1"/>
    <x v="0"/>
    <x v="0"/>
    <x v="0"/>
    <x v="18"/>
    <n v="68900"/>
    <n v="3"/>
    <n v="206700"/>
    <x v="0"/>
    <x v="10"/>
    <s v="Single cylinder"/>
    <s v="air-cooled"/>
    <x v="1"/>
    <s v="Entry-level"/>
    <n v="159000"/>
    <s v="5-speed"/>
  </r>
  <r>
    <d v="2025-08-28T00:00:00"/>
    <x v="2"/>
    <x v="14"/>
    <x v="0"/>
    <x v="1"/>
    <x v="20"/>
    <n v="319000"/>
    <n v="22"/>
    <n v="7018000"/>
    <x v="0"/>
    <x v="2"/>
    <s v="Single cylinder"/>
    <s v="liquid-cooled"/>
    <x v="11"/>
    <s v="Mid-range"/>
    <n v="5198518.5185185187"/>
    <s v="CVT"/>
  </r>
  <r>
    <d v="2025-07-19T00:00:00"/>
    <x v="0"/>
    <x v="15"/>
    <x v="0"/>
    <x v="1"/>
    <x v="5"/>
    <n v="199900"/>
    <n v="15"/>
    <n v="2998500"/>
    <x v="0"/>
    <x v="4"/>
    <s v="Single cylinder"/>
    <s v="liquid-cooled"/>
    <x v="5"/>
    <s v="Mid-range"/>
    <n v="2221111.111111111"/>
    <s v="6-speed"/>
  </r>
  <r>
    <d v="2025-08-30T00:00:00"/>
    <x v="2"/>
    <x v="12"/>
    <x v="0"/>
    <x v="1"/>
    <x v="21"/>
    <n v="389000"/>
    <n v="2"/>
    <n v="778000"/>
    <x v="0"/>
    <x v="7"/>
    <s v="Parallel-twin"/>
    <s v="liquid-cooled"/>
    <x v="9"/>
    <s v="Mid-range"/>
    <n v="576296.29629629629"/>
    <s v="6-speed"/>
  </r>
  <r>
    <d v="2025-07-29T00:00:00"/>
    <x v="0"/>
    <x v="16"/>
    <x v="0"/>
    <x v="0"/>
    <x v="22"/>
    <n v="284900"/>
    <n v="42"/>
    <n v="11965800"/>
    <x v="1"/>
    <x v="12"/>
    <s v="Single cylinder"/>
    <s v="liquid-cooled"/>
    <x v="16"/>
    <s v="Mid-range"/>
    <n v="8863555.5555555541"/>
    <s v="6-speed"/>
  </r>
  <r>
    <d v="2025-07-12T00:00:00"/>
    <x v="0"/>
    <x v="17"/>
    <x v="0"/>
    <x v="1"/>
    <x v="23"/>
    <n v="125000"/>
    <n v="19"/>
    <n v="2375000"/>
    <x v="0"/>
    <x v="5"/>
    <s v="Single cylinder"/>
    <s v="liquid-cooled"/>
    <x v="17"/>
    <s v="Entry-level"/>
    <n v="1826923.076923077"/>
    <s v="6-speed"/>
  </r>
  <r>
    <d v="2025-08-31T00:00:00"/>
    <x v="2"/>
    <x v="3"/>
    <x v="0"/>
    <x v="0"/>
    <x v="22"/>
    <n v="284900"/>
    <n v="3"/>
    <n v="854700"/>
    <x v="2"/>
    <x v="12"/>
    <s v="Single cylinder"/>
    <s v="liquid-cooled"/>
    <x v="16"/>
    <s v="Mid-range"/>
    <n v="633111.11111111101"/>
    <s v="6-speed"/>
  </r>
  <r>
    <d v="2025-07-30T00:00:00"/>
    <x v="0"/>
    <x v="12"/>
    <x v="0"/>
    <x v="0"/>
    <x v="24"/>
    <n v="119900"/>
    <n v="6"/>
    <n v="719400"/>
    <x v="2"/>
    <x v="9"/>
    <s v="Single cylinder"/>
    <s v="liquid-cooled"/>
    <x v="12"/>
    <s v="Entry-level"/>
    <n v="553384.61538461538"/>
    <s v="6-speed"/>
  </r>
  <r>
    <d v="2025-08-19T00:00:00"/>
    <x v="2"/>
    <x v="15"/>
    <x v="0"/>
    <x v="1"/>
    <x v="7"/>
    <n v="398000"/>
    <n v="20"/>
    <n v="7960000"/>
    <x v="1"/>
    <x v="2"/>
    <s v="Single cylinder"/>
    <s v="liquid-cooled"/>
    <x v="7"/>
    <s v="Mid-range"/>
    <n v="5896296.2962962957"/>
    <s v="CVT"/>
  </r>
  <r>
    <d v="2025-06-15T00:00:00"/>
    <x v="1"/>
    <x v="1"/>
    <x v="0"/>
    <x v="1"/>
    <x v="25"/>
    <n v="79900"/>
    <n v="7"/>
    <n v="559300"/>
    <x v="1"/>
    <x v="2"/>
    <s v="Single cylinder"/>
    <s v="air-cooled"/>
    <x v="14"/>
    <s v="Entry-level"/>
    <n v="430230.76923076925"/>
    <s v="CVT"/>
  </r>
  <r>
    <d v="2025-08-01T00:00:00"/>
    <x v="2"/>
    <x v="18"/>
    <x v="0"/>
    <x v="1"/>
    <x v="26"/>
    <n v="320000"/>
    <n v="5"/>
    <n v="1600000"/>
    <x v="1"/>
    <x v="3"/>
    <s v="Single cylinder"/>
    <s v="liquid-cooled"/>
    <x v="18"/>
    <s v="Mid-range"/>
    <n v="1185185.1851851852"/>
    <s v="6-speed"/>
  </r>
  <r>
    <d v="2025-08-01T00:00:00"/>
    <x v="2"/>
    <x v="18"/>
    <x v="0"/>
    <x v="0"/>
    <x v="26"/>
    <n v="320000"/>
    <n v="18"/>
    <n v="5760000"/>
    <x v="2"/>
    <x v="3"/>
    <s v="Single cylinder"/>
    <s v="liquid-cooled"/>
    <x v="18"/>
    <s v="Mid-range"/>
    <n v="4266666.666666666"/>
    <s v="6-speed"/>
  </r>
  <r>
    <d v="2025-07-17T00:00:00"/>
    <x v="0"/>
    <x v="19"/>
    <x v="0"/>
    <x v="1"/>
    <x v="27"/>
    <n v="48000"/>
    <n v="50"/>
    <n v="2400000"/>
    <x v="2"/>
    <x v="13"/>
    <s v="Single cylinder"/>
    <s v="air-cooled"/>
    <x v="10"/>
    <s v="Entry-level"/>
    <n v="1846153.846153846"/>
    <s v="4-speed"/>
  </r>
  <r>
    <d v="2025-08-01T00:00:00"/>
    <x v="2"/>
    <x v="18"/>
    <x v="0"/>
    <x v="1"/>
    <x v="24"/>
    <n v="359700"/>
    <n v="9"/>
    <n v="1079100"/>
    <x v="1"/>
    <x v="9"/>
    <s v="Single cylinder"/>
    <s v="liquid-cooled"/>
    <x v="12"/>
    <s v="Entry-level"/>
    <n v="2490230.769230769"/>
    <s v="6-speed"/>
  </r>
  <r>
    <d v="2025-07-21T00:00:00"/>
    <x v="0"/>
    <x v="4"/>
    <x v="0"/>
    <x v="0"/>
    <x v="23"/>
    <n v="125000"/>
    <n v="11"/>
    <n v="1375000"/>
    <x v="0"/>
    <x v="5"/>
    <s v="Single cylinder"/>
    <s v="liquid-cooled"/>
    <x v="17"/>
    <s v="Entry-level"/>
    <n v="1057692.3076923077"/>
    <s v="6-speed"/>
  </r>
  <r>
    <d v="2025-07-25T00:00:00"/>
    <x v="0"/>
    <x v="20"/>
    <x v="0"/>
    <x v="0"/>
    <x v="28"/>
    <n v="128000"/>
    <n v="18"/>
    <n v="2304000"/>
    <x v="2"/>
    <x v="2"/>
    <s v="Single cylinder"/>
    <s v="liquid-cooled"/>
    <x v="1"/>
    <s v="Entry-level"/>
    <n v="1772307.6923076923"/>
    <s v="CVT"/>
  </r>
  <r>
    <d v="2025-08-03T00:00:00"/>
    <x v="2"/>
    <x v="9"/>
    <x v="0"/>
    <x v="1"/>
    <x v="4"/>
    <n v="124000"/>
    <n v="12"/>
    <n v="1488000"/>
    <x v="1"/>
    <x v="2"/>
    <s v="Single cylinder"/>
    <s v="liquid-cooled"/>
    <x v="4"/>
    <s v="Entry-level"/>
    <n v="1144615.3846153845"/>
    <s v="CVT"/>
  </r>
  <r>
    <d v="2025-06-03T00:00:00"/>
    <x v="1"/>
    <x v="9"/>
    <x v="0"/>
    <x v="0"/>
    <x v="18"/>
    <n v="68900"/>
    <n v="35"/>
    <n v="2411500"/>
    <x v="1"/>
    <x v="10"/>
    <s v="Single cylinder"/>
    <s v="air-cooled"/>
    <x v="1"/>
    <s v="Entry-level"/>
    <n v="1855000"/>
    <s v="5-speed"/>
  </r>
  <r>
    <d v="2025-07-21T00:00:00"/>
    <x v="0"/>
    <x v="4"/>
    <x v="0"/>
    <x v="1"/>
    <x v="12"/>
    <n v="210000"/>
    <n v="13"/>
    <n v="2730000"/>
    <x v="2"/>
    <x v="2"/>
    <s v="Single cylinder"/>
    <s v="air-cooled"/>
    <x v="12"/>
    <s v="Entry-level"/>
    <n v="2100000"/>
    <s v="CVT"/>
  </r>
  <r>
    <d v="2025-06-07T00:00:00"/>
    <x v="1"/>
    <x v="21"/>
    <x v="0"/>
    <x v="0"/>
    <x v="28"/>
    <n v="128000"/>
    <n v="43"/>
    <n v="5504000"/>
    <x v="2"/>
    <x v="2"/>
    <s v="Single cylinder"/>
    <s v="liquid-cooled"/>
    <x v="1"/>
    <s v="Entry-level"/>
    <n v="4233846.1538461531"/>
    <s v="CVT"/>
  </r>
  <r>
    <d v="2025-06-21T00:00:00"/>
    <x v="1"/>
    <x v="4"/>
    <x v="0"/>
    <x v="0"/>
    <x v="29"/>
    <n v="349000"/>
    <n v="21"/>
    <n v="7329000"/>
    <x v="2"/>
    <x v="14"/>
    <s v="Parallel-twin"/>
    <s v="liquid-cooled"/>
    <x v="19"/>
    <s v="Mid-range"/>
    <n v="5428888.888888889"/>
    <s v="6-speed"/>
  </r>
  <r>
    <d v="2025-08-12T00:00:00"/>
    <x v="2"/>
    <x v="17"/>
    <x v="0"/>
    <x v="0"/>
    <x v="22"/>
    <n v="284900"/>
    <n v="2"/>
    <n v="569800"/>
    <x v="0"/>
    <x v="12"/>
    <s v="Single cylinder"/>
    <s v="liquid-cooled"/>
    <x v="16"/>
    <s v="Mid-range"/>
    <n v="422074.07407407404"/>
    <s v="6-speed"/>
  </r>
  <r>
    <d v="2025-07-09T00:00:00"/>
    <x v="0"/>
    <x v="22"/>
    <x v="0"/>
    <x v="0"/>
    <x v="23"/>
    <n v="125000"/>
    <n v="9"/>
    <n v="1125000"/>
    <x v="1"/>
    <x v="5"/>
    <s v="Single cylinder"/>
    <s v="liquid-cooled"/>
    <x v="17"/>
    <s v="Entry-level"/>
    <n v="865384.61538461538"/>
    <s v="6-speed"/>
  </r>
  <r>
    <d v="2025-06-18T00:00:00"/>
    <x v="1"/>
    <x v="23"/>
    <x v="0"/>
    <x v="1"/>
    <x v="13"/>
    <n v="164900"/>
    <n v="50"/>
    <n v="8245000"/>
    <x v="1"/>
    <x v="2"/>
    <s v="Single cylinder"/>
    <s v="liquid-cooled"/>
    <x v="13"/>
    <s v="Entry-level"/>
    <n v="6342307.692307692"/>
    <s v="CVT"/>
  </r>
  <r>
    <d v="2025-06-04T00:00:00"/>
    <x v="1"/>
    <x v="24"/>
    <x v="0"/>
    <x v="0"/>
    <x v="4"/>
    <n v="124000"/>
    <n v="2"/>
    <n v="248000"/>
    <x v="1"/>
    <x v="2"/>
    <s v="Single cylinder"/>
    <s v="liquid-cooled"/>
    <x v="4"/>
    <s v="Entry-level"/>
    <n v="190769.23076923075"/>
    <s v="CVT"/>
  </r>
  <r>
    <d v="2025-08-28T00:00:00"/>
    <x v="2"/>
    <x v="14"/>
    <x v="0"/>
    <x v="0"/>
    <x v="14"/>
    <n v="80900"/>
    <n v="25"/>
    <n v="2022500"/>
    <x v="1"/>
    <x v="2"/>
    <s v="Single cylinder"/>
    <s v="air-cooled"/>
    <x v="14"/>
    <s v="Entry-level"/>
    <n v="1555769.2307692308"/>
    <s v="CVT"/>
  </r>
  <r>
    <d v="2025-07-30T00:00:00"/>
    <x v="0"/>
    <x v="12"/>
    <x v="0"/>
    <x v="0"/>
    <x v="30"/>
    <n v="995000"/>
    <n v="33"/>
    <n v="32835000"/>
    <x v="2"/>
    <x v="6"/>
    <s v="Flat twin"/>
    <s v="air"/>
    <x v="20"/>
    <s v="Premium"/>
    <n v="23453571.428571433"/>
    <n v="0"/>
  </r>
  <r>
    <d v="2025-06-14T00:00:00"/>
    <x v="1"/>
    <x v="6"/>
    <x v="0"/>
    <x v="0"/>
    <x v="8"/>
    <n v="689000"/>
    <n v="43"/>
    <n v="29627000"/>
    <x v="2"/>
    <x v="6"/>
    <s v="V-twin"/>
    <s v="air-cooled"/>
    <x v="8"/>
    <s v="Premium"/>
    <n v="21162142.857142858"/>
    <s v="6-speed"/>
  </r>
  <r>
    <d v="2025-06-09T00:00:00"/>
    <x v="1"/>
    <x v="22"/>
    <x v="0"/>
    <x v="0"/>
    <x v="15"/>
    <n v="345000"/>
    <n v="13"/>
    <n v="4485000"/>
    <x v="0"/>
    <x v="8"/>
    <s v="Parallel-twin"/>
    <s v="liquid-cooled"/>
    <x v="15"/>
    <s v="Premium"/>
    <n v="3203571.4285714286"/>
    <s v="6-speed"/>
  </r>
  <r>
    <d v="2025-08-29T00:00:00"/>
    <x v="2"/>
    <x v="16"/>
    <x v="0"/>
    <x v="1"/>
    <x v="31"/>
    <n v="499000"/>
    <n v="3"/>
    <n v="1497000"/>
    <x v="1"/>
    <x v="14"/>
    <s v="V-twin"/>
    <s v="liquid-cooled"/>
    <x v="21"/>
    <s v="Premium"/>
    <n v="1069285.7142857146"/>
    <s v="6-speed"/>
  </r>
  <r>
    <d v="2025-07-23T00:00:00"/>
    <x v="0"/>
    <x v="10"/>
    <x v="0"/>
    <x v="0"/>
    <x v="11"/>
    <n v="165000"/>
    <n v="19"/>
    <n v="3135000"/>
    <x v="1"/>
    <x v="7"/>
    <s v="Single cylinder"/>
    <s v="liquid-cooled"/>
    <x v="11"/>
    <s v="Mid-range"/>
    <n v="2322222.222222222"/>
    <s v="6-speed"/>
  </r>
  <r>
    <d v="2025-06-02T00:00:00"/>
    <x v="1"/>
    <x v="11"/>
    <x v="0"/>
    <x v="0"/>
    <x v="11"/>
    <n v="165000"/>
    <n v="25"/>
    <n v="4125000"/>
    <x v="0"/>
    <x v="7"/>
    <s v="Single cylinder"/>
    <s v="liquid-cooled"/>
    <x v="11"/>
    <s v="Mid-range"/>
    <n v="3055555.5555555555"/>
    <s v="6-speed"/>
  </r>
  <r>
    <d v="2025-08-23T00:00:00"/>
    <x v="2"/>
    <x v="10"/>
    <x v="0"/>
    <x v="1"/>
    <x v="12"/>
    <n v="210000"/>
    <n v="11"/>
    <n v="2310000"/>
    <x v="2"/>
    <x v="2"/>
    <s v="Single cylinder"/>
    <s v="air-cooled"/>
    <x v="12"/>
    <s v="Entry-level"/>
    <n v="1776923.0769230768"/>
    <s v="CVT"/>
  </r>
  <r>
    <d v="2025-08-31T00:00:00"/>
    <x v="2"/>
    <x v="3"/>
    <x v="0"/>
    <x v="1"/>
    <x v="10"/>
    <n v="80900"/>
    <n v="31"/>
    <n v="2507900"/>
    <x v="1"/>
    <x v="2"/>
    <s v="Single cylinder"/>
    <s v="liquid-cooled"/>
    <x v="10"/>
    <s v="Entry-level"/>
    <n v="1929153.846153846"/>
    <s v="CVT"/>
  </r>
  <r>
    <d v="2025-07-30T00:00:00"/>
    <x v="0"/>
    <x v="12"/>
    <x v="0"/>
    <x v="1"/>
    <x v="7"/>
    <n v="398000"/>
    <n v="9"/>
    <n v="3582000"/>
    <x v="2"/>
    <x v="2"/>
    <s v="Single cylinder"/>
    <s v="liquid-cooled"/>
    <x v="7"/>
    <s v="Mid-range"/>
    <n v="2653333.333333333"/>
    <s v="CVT"/>
  </r>
  <r>
    <d v="2025-08-10T00:00:00"/>
    <x v="2"/>
    <x v="25"/>
    <x v="0"/>
    <x v="1"/>
    <x v="32"/>
    <n v="219000"/>
    <n v="10"/>
    <n v="2190000"/>
    <x v="1"/>
    <x v="2"/>
    <s v="Single cylinder"/>
    <s v="liquid-cooled"/>
    <x v="22"/>
    <s v="Entry-level"/>
    <n v="1684615.3846153847"/>
    <s v="CVT"/>
  </r>
  <r>
    <d v="2025-07-14T00:00:00"/>
    <x v="0"/>
    <x v="6"/>
    <x v="0"/>
    <x v="1"/>
    <x v="5"/>
    <n v="199900"/>
    <n v="7"/>
    <n v="1399300"/>
    <x v="2"/>
    <x v="4"/>
    <s v="Single cylinder"/>
    <s v="liquid-cooled"/>
    <x v="5"/>
    <s v="Mid-range"/>
    <n v="1036518.5185185185"/>
    <s v="6-speed"/>
  </r>
  <r>
    <d v="2025-06-08T00:00:00"/>
    <x v="1"/>
    <x v="13"/>
    <x v="0"/>
    <x v="1"/>
    <x v="33"/>
    <n v="369000"/>
    <n v="27"/>
    <n v="9963000"/>
    <x v="0"/>
    <x v="3"/>
    <s v="Parallel-twin"/>
    <s v="liquid-cooled"/>
    <x v="15"/>
    <s v="Premium"/>
    <n v="7116428.5714285718"/>
    <s v="6-speed"/>
  </r>
  <r>
    <d v="2025-07-17T00:00:00"/>
    <x v="0"/>
    <x v="19"/>
    <x v="0"/>
    <x v="1"/>
    <x v="0"/>
    <n v="269000"/>
    <n v="4"/>
    <n v="1076000"/>
    <x v="2"/>
    <x v="0"/>
    <s v="Single cylinder"/>
    <s v="liquid-cooled"/>
    <x v="0"/>
    <s v="Mid-range"/>
    <n v="797037.03703703696"/>
    <s v="6-speed"/>
  </r>
  <r>
    <d v="2025-07-05T00:00:00"/>
    <x v="0"/>
    <x v="26"/>
    <x v="0"/>
    <x v="1"/>
    <x v="34"/>
    <n v="78900"/>
    <n v="10"/>
    <n v="789000"/>
    <x v="1"/>
    <x v="3"/>
    <s v="Single cylinder"/>
    <s v="oil-cooled"/>
    <x v="23"/>
    <s v="Mid-range"/>
    <n v="584444.44444444438"/>
    <s v="6-speed"/>
  </r>
  <r>
    <d v="2025-01-01T00:00:00"/>
    <x v="3"/>
    <x v="18"/>
    <x v="0"/>
    <x v="0"/>
    <x v="12"/>
    <n v="210000"/>
    <n v="31"/>
    <n v="6510000"/>
    <x v="1"/>
    <x v="2"/>
    <s v="Single cylinder"/>
    <s v="air-cooled"/>
    <x v="12"/>
    <s v="Entry-level"/>
    <n v="5007692.307692307"/>
    <s v="CVT"/>
  </r>
  <r>
    <d v="2025-08-20T00:00:00"/>
    <x v="2"/>
    <x v="27"/>
    <x v="0"/>
    <x v="0"/>
    <x v="35"/>
    <n v="199000"/>
    <n v="5"/>
    <n v="995000"/>
    <x v="2"/>
    <x v="12"/>
    <s v="Single cylinder"/>
    <s v="air-cooled"/>
    <x v="24"/>
    <s v="Mid-range"/>
    <n v="737037.03703703696"/>
    <s v="6-speed"/>
  </r>
  <r>
    <d v="2025-07-06T00:00:00"/>
    <x v="0"/>
    <x v="28"/>
    <x v="0"/>
    <x v="0"/>
    <x v="36"/>
    <n v="67900"/>
    <n v="17"/>
    <n v="1154300"/>
    <x v="2"/>
    <x v="13"/>
    <s v="Single cylinder"/>
    <s v="air-cooled"/>
    <x v="10"/>
    <s v="Entry-level"/>
    <n v="887923.07692307688"/>
    <s v="4-speed"/>
  </r>
  <r>
    <d v="2025-07-20T00:00:00"/>
    <x v="0"/>
    <x v="27"/>
    <x v="0"/>
    <x v="1"/>
    <x v="21"/>
    <n v="389000"/>
    <n v="18"/>
    <n v="7002000"/>
    <x v="0"/>
    <x v="7"/>
    <s v="Parallel-twin"/>
    <s v="liquid-cooled"/>
    <x v="9"/>
    <s v="Mid-range"/>
    <n v="5186666.666666667"/>
    <s v="6-speed"/>
  </r>
  <r>
    <d v="2025-06-04T00:00:00"/>
    <x v="1"/>
    <x v="24"/>
    <x v="0"/>
    <x v="1"/>
    <x v="36"/>
    <n v="67900"/>
    <n v="20"/>
    <n v="1358000"/>
    <x v="2"/>
    <x v="13"/>
    <s v="Single cylinder"/>
    <s v="air-cooled"/>
    <x v="10"/>
    <s v="Entry-level"/>
    <n v="1044615.3846153845"/>
    <s v="4-speed"/>
  </r>
  <r>
    <d v="2025-06-02T00:00:00"/>
    <x v="1"/>
    <x v="11"/>
    <x v="0"/>
    <x v="1"/>
    <x v="37"/>
    <n v="331000"/>
    <n v="15"/>
    <n v="4965000"/>
    <x v="2"/>
    <x v="5"/>
    <s v="Parallel-twin"/>
    <s v="liquid-cooled"/>
    <x v="25"/>
    <s v="Mid-range"/>
    <n v="3677777.7777777775"/>
    <s v="6-speed"/>
  </r>
  <r>
    <d v="2025-06-06T00:00:00"/>
    <x v="1"/>
    <x v="28"/>
    <x v="0"/>
    <x v="0"/>
    <x v="34"/>
    <n v="78900"/>
    <n v="36"/>
    <n v="2840400"/>
    <x v="1"/>
    <x v="3"/>
    <s v="Single cylinder"/>
    <s v="oil-cooled"/>
    <x v="23"/>
    <s v="Mid-range"/>
    <n v="2104000"/>
    <s v="6-speed"/>
  </r>
  <r>
    <d v="2025-07-24T00:00:00"/>
    <x v="0"/>
    <x v="8"/>
    <x v="0"/>
    <x v="1"/>
    <x v="27"/>
    <n v="48000"/>
    <n v="9"/>
    <n v="432000"/>
    <x v="1"/>
    <x v="13"/>
    <s v="Single cylinder"/>
    <s v="air-cooled"/>
    <x v="10"/>
    <s v="Entry-level"/>
    <n v="332307.69230769231"/>
    <s v="4-speed"/>
  </r>
  <r>
    <d v="2025-06-04T00:00:00"/>
    <x v="1"/>
    <x v="24"/>
    <x v="0"/>
    <x v="0"/>
    <x v="38"/>
    <n v="398000"/>
    <n v="36"/>
    <n v="14328000"/>
    <x v="1"/>
    <x v="14"/>
    <s v="Parallel-twin"/>
    <s v="liquid-cooled"/>
    <x v="15"/>
    <s v="Premium"/>
    <n v="10234285.714285716"/>
    <s v="6-speed"/>
  </r>
  <r>
    <d v="2025-07-24T00:00:00"/>
    <x v="0"/>
    <x v="8"/>
    <x v="0"/>
    <x v="0"/>
    <x v="11"/>
    <n v="165000"/>
    <n v="42"/>
    <n v="6930000"/>
    <x v="0"/>
    <x v="7"/>
    <s v="Single cylinder"/>
    <s v="liquid-cooled"/>
    <x v="11"/>
    <s v="Mid-range"/>
    <n v="5133333.333333333"/>
    <s v="6-speed"/>
  </r>
  <r>
    <d v="2025-08-02T00:00:00"/>
    <x v="2"/>
    <x v="11"/>
    <x v="0"/>
    <x v="0"/>
    <x v="17"/>
    <n v="125900"/>
    <n v="13"/>
    <n v="1636700"/>
    <x v="1"/>
    <x v="9"/>
    <s v="Single cylinder"/>
    <s v="liquid-cooled"/>
    <x v="4"/>
    <s v="Entry-level"/>
    <n v="1259000"/>
    <s v="6-speed"/>
  </r>
  <r>
    <d v="2025-06-18T00:00:00"/>
    <x v="1"/>
    <x v="23"/>
    <x v="0"/>
    <x v="1"/>
    <x v="32"/>
    <n v="219000"/>
    <n v="4"/>
    <n v="876000"/>
    <x v="1"/>
    <x v="2"/>
    <s v="Single cylinder"/>
    <s v="liquid-cooled"/>
    <x v="22"/>
    <s v="Entry-level"/>
    <n v="673846.15384615387"/>
    <s v="CVT"/>
  </r>
  <r>
    <d v="2025-08-29T00:00:00"/>
    <x v="2"/>
    <x v="16"/>
    <x v="0"/>
    <x v="0"/>
    <x v="1"/>
    <n v="99900"/>
    <n v="46"/>
    <n v="4595400"/>
    <x v="2"/>
    <x v="1"/>
    <s v="Single cylinder"/>
    <s v="air-cooled"/>
    <x v="1"/>
    <s v="Entry-level"/>
    <n v="3534923.076923077"/>
    <s v="5-speed"/>
  </r>
  <r>
    <d v="2025-07-14T00:00:00"/>
    <x v="0"/>
    <x v="6"/>
    <x v="0"/>
    <x v="0"/>
    <x v="39"/>
    <n v="151900"/>
    <n v="5"/>
    <n v="759500"/>
    <x v="2"/>
    <x v="2"/>
    <s v="Single cylinder"/>
    <s v="liquid-cooled"/>
    <x v="4"/>
    <s v="Entry-level"/>
    <n v="584230.76923076925"/>
    <s v="CVT"/>
  </r>
  <r>
    <d v="2025-07-04T00:00:00"/>
    <x v="0"/>
    <x v="24"/>
    <x v="0"/>
    <x v="1"/>
    <x v="24"/>
    <n v="119900"/>
    <n v="5"/>
    <n v="599500"/>
    <x v="1"/>
    <x v="9"/>
    <s v="Single cylinder"/>
    <s v="liquid-cooled"/>
    <x v="12"/>
    <s v="Entry-level"/>
    <n v="461153.84615384619"/>
    <s v="6-speed"/>
  </r>
  <r>
    <d v="2025-08-13T00:00:00"/>
    <x v="2"/>
    <x v="29"/>
    <x v="0"/>
    <x v="0"/>
    <x v="40"/>
    <n v="340000"/>
    <n v="8"/>
    <n v="2720000"/>
    <x v="0"/>
    <x v="7"/>
    <s v="Parallel-twin"/>
    <s v="liquid-cooled"/>
    <x v="25"/>
    <s v="Mid-range"/>
    <n v="2014814.8148148146"/>
    <s v="6-speed"/>
  </r>
  <r>
    <d v="2025-08-01T00:00:00"/>
    <x v="2"/>
    <x v="18"/>
    <x v="0"/>
    <x v="1"/>
    <x v="1"/>
    <n v="99900"/>
    <n v="8"/>
    <n v="799200"/>
    <x v="0"/>
    <x v="1"/>
    <s v="Single cylinder"/>
    <s v="air-cooled"/>
    <x v="1"/>
    <s v="Entry-level"/>
    <n v="614769.23076923075"/>
    <s v="5-speed"/>
  </r>
  <r>
    <d v="2025-06-14T00:00:00"/>
    <x v="1"/>
    <x v="6"/>
    <x v="0"/>
    <x v="0"/>
    <x v="8"/>
    <n v="689000"/>
    <n v="40"/>
    <n v="27560000"/>
    <x v="0"/>
    <x v="6"/>
    <s v="V-twin"/>
    <s v="air-cooled"/>
    <x v="8"/>
    <s v="Premium"/>
    <n v="19685714.285714287"/>
    <s v="6-speed"/>
  </r>
  <r>
    <d v="2025-07-18T00:00:00"/>
    <x v="0"/>
    <x v="23"/>
    <x v="0"/>
    <x v="0"/>
    <x v="41"/>
    <n v="299000"/>
    <n v="31"/>
    <n v="9269000"/>
    <x v="2"/>
    <x v="12"/>
    <s v="Single cylinder"/>
    <s v="air-cooled"/>
    <x v="26"/>
    <s v="Mid-range"/>
    <n v="6865925.9259259254"/>
    <s v="5-speed"/>
  </r>
  <r>
    <d v="2025-08-11T00:00:00"/>
    <x v="2"/>
    <x v="2"/>
    <x v="0"/>
    <x v="0"/>
    <x v="24"/>
    <n v="119900"/>
    <n v="2"/>
    <n v="239800"/>
    <x v="2"/>
    <x v="9"/>
    <s v="Single cylinder"/>
    <s v="liquid-cooled"/>
    <x v="12"/>
    <s v="Entry-level"/>
    <n v="184461.53846153847"/>
    <s v="6-speed"/>
  </r>
  <r>
    <d v="2025-08-17T00:00:00"/>
    <x v="2"/>
    <x v="19"/>
    <x v="0"/>
    <x v="1"/>
    <x v="13"/>
    <n v="164900"/>
    <n v="8"/>
    <n v="1319200"/>
    <x v="1"/>
    <x v="2"/>
    <s v="Single cylinder"/>
    <s v="liquid-cooled"/>
    <x v="13"/>
    <s v="Entry-level"/>
    <n v="1014769.2307692308"/>
    <s v="CVT"/>
  </r>
  <r>
    <d v="2025-08-26T00:00:00"/>
    <x v="2"/>
    <x v="5"/>
    <x v="0"/>
    <x v="0"/>
    <x v="33"/>
    <n v="369000"/>
    <n v="12"/>
    <n v="4428000"/>
    <x v="0"/>
    <x v="3"/>
    <s v="Parallel-twin"/>
    <s v="liquid-cooled"/>
    <x v="15"/>
    <s v="Premium"/>
    <n v="3162857.1428571427"/>
    <s v="6-speed"/>
  </r>
  <r>
    <d v="2025-08-01T00:00:00"/>
    <x v="2"/>
    <x v="18"/>
    <x v="0"/>
    <x v="0"/>
    <x v="35"/>
    <n v="199000"/>
    <n v="19"/>
    <n v="3781000"/>
    <x v="2"/>
    <x v="12"/>
    <s v="Single cylinder"/>
    <s v="air-cooled"/>
    <x v="24"/>
    <s v="Mid-range"/>
    <n v="2800740.7407407402"/>
    <s v="6-speed"/>
  </r>
  <r>
    <d v="2025-07-10T00:00:00"/>
    <x v="0"/>
    <x v="25"/>
    <x v="0"/>
    <x v="0"/>
    <x v="38"/>
    <n v="398000"/>
    <n v="20"/>
    <n v="7960000"/>
    <x v="2"/>
    <x v="14"/>
    <s v="Parallel-twin"/>
    <s v="liquid-cooled"/>
    <x v="15"/>
    <s v="Premium"/>
    <n v="5685714.2857142864"/>
    <s v="6-speed"/>
  </r>
  <r>
    <d v="2025-08-24T00:00:00"/>
    <x v="2"/>
    <x v="8"/>
    <x v="0"/>
    <x v="0"/>
    <x v="28"/>
    <n v="128000"/>
    <n v="17"/>
    <n v="2176000"/>
    <x v="0"/>
    <x v="2"/>
    <s v="Single cylinder"/>
    <s v="liquid-cooled"/>
    <x v="1"/>
    <s v="Entry-level"/>
    <n v="1673846.1538461538"/>
    <s v="CVT"/>
  </r>
  <r>
    <d v="2025-08-19T00:00:00"/>
    <x v="2"/>
    <x v="15"/>
    <x v="0"/>
    <x v="0"/>
    <x v="22"/>
    <n v="284900"/>
    <n v="17"/>
    <n v="4843300"/>
    <x v="1"/>
    <x v="12"/>
    <s v="Single cylinder"/>
    <s v="liquid-cooled"/>
    <x v="16"/>
    <s v="Mid-range"/>
    <n v="3587629.6296296292"/>
    <s v="6-speed"/>
  </r>
  <r>
    <d v="2025-08-21T00:00:00"/>
    <x v="2"/>
    <x v="4"/>
    <x v="0"/>
    <x v="0"/>
    <x v="42"/>
    <n v="198000"/>
    <n v="7"/>
    <n v="1386000"/>
    <x v="0"/>
    <x v="7"/>
    <s v="Single cylinder"/>
    <s v="liquid-cooled"/>
    <x v="27"/>
    <s v="Entry-level"/>
    <n v="1066153.8461538462"/>
    <s v="6-speed"/>
  </r>
  <r>
    <d v="2025-07-23T00:00:00"/>
    <x v="0"/>
    <x v="10"/>
    <x v="0"/>
    <x v="1"/>
    <x v="16"/>
    <n v="178000"/>
    <n v="6"/>
    <n v="1068000"/>
    <x v="0"/>
    <x v="5"/>
    <s v="Single cylinder"/>
    <s v="liquid-cooled"/>
    <x v="4"/>
    <s v="Entry-level"/>
    <n v="821538.4615384615"/>
    <s v="6-speed"/>
  </r>
  <r>
    <d v="2025-06-24T00:00:00"/>
    <x v="1"/>
    <x v="8"/>
    <x v="0"/>
    <x v="0"/>
    <x v="9"/>
    <n v="328000"/>
    <n v="4"/>
    <n v="1312000"/>
    <x v="1"/>
    <x v="0"/>
    <s v="Twin cylinder"/>
    <s v="air-cooled"/>
    <x v="9"/>
    <s v="Mid-range"/>
    <n v="971851.8518518518"/>
    <s v="6-speed"/>
  </r>
  <r>
    <d v="2025-06-26T00:00:00"/>
    <x v="1"/>
    <x v="5"/>
    <x v="0"/>
    <x v="0"/>
    <x v="41"/>
    <n v="299000"/>
    <n v="28"/>
    <n v="8372000"/>
    <x v="2"/>
    <x v="12"/>
    <s v="Single cylinder"/>
    <s v="air-cooled"/>
    <x v="26"/>
    <s v="Mid-range"/>
    <n v="6201481.4814814813"/>
    <s v="5-speed"/>
  </r>
  <r>
    <d v="2025-08-28T00:00:00"/>
    <x v="2"/>
    <x v="14"/>
    <x v="0"/>
    <x v="1"/>
    <x v="38"/>
    <n v="398000"/>
    <n v="2"/>
    <n v="796000"/>
    <x v="0"/>
    <x v="14"/>
    <s v="Parallel-twin"/>
    <s v="liquid-cooled"/>
    <x v="15"/>
    <s v="Premium"/>
    <n v="568571.42857142864"/>
    <s v="6-speed"/>
  </r>
  <r>
    <d v="2025-07-30T00:00:00"/>
    <x v="0"/>
    <x v="12"/>
    <x v="0"/>
    <x v="0"/>
    <x v="22"/>
    <n v="284900"/>
    <n v="7"/>
    <n v="1994300"/>
    <x v="0"/>
    <x v="12"/>
    <s v="Single cylinder"/>
    <s v="liquid-cooled"/>
    <x v="16"/>
    <s v="Mid-range"/>
    <n v="1477259.2592592591"/>
    <s v="6-speed"/>
  </r>
  <r>
    <d v="2025-07-11T00:00:00"/>
    <x v="0"/>
    <x v="2"/>
    <x v="0"/>
    <x v="0"/>
    <x v="35"/>
    <n v="199000"/>
    <n v="6"/>
    <n v="1194000"/>
    <x v="2"/>
    <x v="12"/>
    <s v="Single cylinder"/>
    <s v="air-cooled"/>
    <x v="24"/>
    <s v="Mid-range"/>
    <n v="884444.44444444426"/>
    <s v="6-speed"/>
  </r>
  <r>
    <d v="2025-06-29T00:00:00"/>
    <x v="1"/>
    <x v="16"/>
    <x v="0"/>
    <x v="1"/>
    <x v="43"/>
    <n v="534000"/>
    <n v="7"/>
    <n v="1246000"/>
    <x v="2"/>
    <x v="5"/>
    <s v="Single cylinder"/>
    <s v="liquid-cooled"/>
    <x v="27"/>
    <s v="Entry-level"/>
    <n v="2875384.615384615"/>
    <s v="6-speed"/>
  </r>
  <r>
    <d v="2025-06-15T00:00:00"/>
    <x v="1"/>
    <x v="1"/>
    <x v="0"/>
    <x v="0"/>
    <x v="31"/>
    <n v="499000"/>
    <n v="19"/>
    <n v="9481000"/>
    <x v="2"/>
    <x v="14"/>
    <s v="V-twin"/>
    <s v="liquid-cooled"/>
    <x v="21"/>
    <s v="Premium"/>
    <n v="6772142.8571428582"/>
    <s v="6-speed"/>
  </r>
  <r>
    <d v="2025-07-15T00:00:00"/>
    <x v="0"/>
    <x v="1"/>
    <x v="0"/>
    <x v="0"/>
    <x v="23"/>
    <n v="125000"/>
    <n v="19"/>
    <n v="2375000"/>
    <x v="2"/>
    <x v="5"/>
    <s v="Single cylinder"/>
    <s v="liquid-cooled"/>
    <x v="17"/>
    <s v="Entry-level"/>
    <n v="1826923.076923077"/>
    <s v="6-speed"/>
  </r>
  <r>
    <d v="2025-08-04T00:00:00"/>
    <x v="2"/>
    <x v="24"/>
    <x v="0"/>
    <x v="1"/>
    <x v="15"/>
    <n v="345000"/>
    <n v="4"/>
    <n v="1380000"/>
    <x v="2"/>
    <x v="8"/>
    <s v="Parallel-twin"/>
    <s v="liquid-cooled"/>
    <x v="15"/>
    <s v="Premium"/>
    <n v="985714.2857142858"/>
    <s v="6-speed"/>
  </r>
  <r>
    <d v="2025-08-28T00:00:00"/>
    <x v="2"/>
    <x v="14"/>
    <x v="0"/>
    <x v="1"/>
    <x v="2"/>
    <n v="289000"/>
    <n v="10"/>
    <n v="2890000"/>
    <x v="0"/>
    <x v="2"/>
    <s v="Single cylinder"/>
    <s v="liquid-cooled"/>
    <x v="2"/>
    <s v="Entry-level"/>
    <n v="2223076.923076923"/>
    <s v="CVT"/>
  </r>
  <r>
    <d v="2025-08-10T00:00:00"/>
    <x v="2"/>
    <x v="25"/>
    <x v="0"/>
    <x v="1"/>
    <x v="20"/>
    <n v="319000"/>
    <n v="31"/>
    <n v="9889000"/>
    <x v="2"/>
    <x v="2"/>
    <s v="Single cylinder"/>
    <s v="liquid-cooled"/>
    <x v="11"/>
    <s v="Mid-range"/>
    <n v="7325185.1851851847"/>
    <s v="CVT"/>
  </r>
  <r>
    <d v="2025-06-09T00:00:00"/>
    <x v="1"/>
    <x v="22"/>
    <x v="0"/>
    <x v="0"/>
    <x v="6"/>
    <n v="599000"/>
    <n v="14"/>
    <n v="8386000"/>
    <x v="2"/>
    <x v="5"/>
    <s v="Parallel-twin"/>
    <s v="liquid-cooled"/>
    <x v="6"/>
    <s v="Premium"/>
    <n v="5990000.0000000009"/>
    <s v="6-speed"/>
  </r>
  <r>
    <d v="2025-08-27T00:00:00"/>
    <x v="2"/>
    <x v="7"/>
    <x v="0"/>
    <x v="1"/>
    <x v="39"/>
    <n v="151900"/>
    <n v="19"/>
    <n v="2886100"/>
    <x v="1"/>
    <x v="2"/>
    <s v="Single cylinder"/>
    <s v="liquid-cooled"/>
    <x v="4"/>
    <s v="Entry-level"/>
    <n v="2220076.923076923"/>
    <s v="CVT"/>
  </r>
  <r>
    <d v="2025-06-01T00:00:00"/>
    <x v="1"/>
    <x v="18"/>
    <x v="0"/>
    <x v="1"/>
    <x v="6"/>
    <n v="599000"/>
    <n v="9"/>
    <n v="5391000"/>
    <x v="2"/>
    <x v="5"/>
    <s v="Parallel-twin"/>
    <s v="liquid-cooled"/>
    <x v="6"/>
    <s v="Premium"/>
    <n v="3850714.2857142859"/>
    <s v="6-speed"/>
  </r>
  <r>
    <d v="2025-06-08T00:00:00"/>
    <x v="1"/>
    <x v="13"/>
    <x v="0"/>
    <x v="1"/>
    <x v="38"/>
    <n v="398000"/>
    <n v="1"/>
    <n v="398000"/>
    <x v="2"/>
    <x v="14"/>
    <s v="Parallel-twin"/>
    <s v="liquid-cooled"/>
    <x v="15"/>
    <s v="Premium"/>
    <n v="284285.71428571432"/>
    <s v="6-speed"/>
  </r>
  <r>
    <d v="2025-08-27T00:00:00"/>
    <x v="2"/>
    <x v="7"/>
    <x v="0"/>
    <x v="1"/>
    <x v="23"/>
    <n v="125000"/>
    <n v="14"/>
    <n v="1750000"/>
    <x v="2"/>
    <x v="5"/>
    <s v="Single cylinder"/>
    <s v="liquid-cooled"/>
    <x v="17"/>
    <s v="Entry-level"/>
    <n v="1346153.8461538462"/>
    <s v="6-speed"/>
  </r>
  <r>
    <d v="2025-08-02T00:00:00"/>
    <x v="2"/>
    <x v="11"/>
    <x v="0"/>
    <x v="0"/>
    <x v="15"/>
    <n v="345000"/>
    <n v="6"/>
    <n v="2070000"/>
    <x v="0"/>
    <x v="8"/>
    <s v="Parallel-twin"/>
    <s v="liquid-cooled"/>
    <x v="15"/>
    <s v="Premium"/>
    <n v="1478571.4285714286"/>
    <s v="6-speed"/>
  </r>
  <r>
    <d v="2025-06-11T00:00:00"/>
    <x v="1"/>
    <x v="2"/>
    <x v="0"/>
    <x v="1"/>
    <x v="38"/>
    <n v="398000"/>
    <n v="22"/>
    <n v="8756000"/>
    <x v="1"/>
    <x v="14"/>
    <s v="Parallel-twin"/>
    <s v="liquid-cooled"/>
    <x v="15"/>
    <s v="Premium"/>
    <n v="6254285.7142857146"/>
    <s v="6-speed"/>
  </r>
  <r>
    <d v="2025-08-20T00:00:00"/>
    <x v="2"/>
    <x v="27"/>
    <x v="0"/>
    <x v="0"/>
    <x v="24"/>
    <n v="119900"/>
    <n v="13"/>
    <n v="1558700"/>
    <x v="0"/>
    <x v="9"/>
    <s v="Single cylinder"/>
    <s v="liquid-cooled"/>
    <x v="12"/>
    <s v="Entry-level"/>
    <n v="1199000"/>
    <s v="6-speed"/>
  </r>
  <r>
    <d v="2025-06-08T00:00:00"/>
    <x v="1"/>
    <x v="13"/>
    <x v="0"/>
    <x v="1"/>
    <x v="14"/>
    <n v="242700"/>
    <n v="5"/>
    <n v="404500"/>
    <x v="2"/>
    <x v="2"/>
    <s v="Single cylinder"/>
    <s v="air-cooled"/>
    <x v="14"/>
    <s v="Entry-level"/>
    <n v="933461.5384615385"/>
    <s v="CVT"/>
  </r>
  <r>
    <d v="2025-07-05T00:00:00"/>
    <x v="0"/>
    <x v="26"/>
    <x v="0"/>
    <x v="1"/>
    <x v="15"/>
    <n v="345000"/>
    <n v="9"/>
    <n v="3105000"/>
    <x v="0"/>
    <x v="8"/>
    <s v="Parallel-twin"/>
    <s v="liquid-cooled"/>
    <x v="15"/>
    <s v="Premium"/>
    <n v="2217857.1428571432"/>
    <s v="6-speed"/>
  </r>
  <r>
    <d v="2025-07-05T00:00:00"/>
    <x v="0"/>
    <x v="26"/>
    <x v="0"/>
    <x v="0"/>
    <x v="18"/>
    <n v="68900"/>
    <n v="21"/>
    <n v="1446900"/>
    <x v="0"/>
    <x v="10"/>
    <s v="Single cylinder"/>
    <s v="air-cooled"/>
    <x v="1"/>
    <s v="Entry-level"/>
    <n v="1113000"/>
    <s v="5-speed"/>
  </r>
  <r>
    <d v="2025-07-03T00:00:00"/>
    <x v="0"/>
    <x v="9"/>
    <x v="0"/>
    <x v="1"/>
    <x v="44"/>
    <n v="165000"/>
    <n v="20"/>
    <n v="3300000"/>
    <x v="1"/>
    <x v="5"/>
    <s v="Single cylinder"/>
    <s v="liquid-cooled"/>
    <x v="11"/>
    <s v="Mid-range"/>
    <n v="2444444.4444444445"/>
    <s v="6-speed"/>
  </r>
  <r>
    <d v="2025-06-05T00:00:00"/>
    <x v="1"/>
    <x v="26"/>
    <x v="0"/>
    <x v="1"/>
    <x v="1"/>
    <n v="99900"/>
    <n v="17"/>
    <n v="1698300"/>
    <x v="1"/>
    <x v="1"/>
    <s v="Single cylinder"/>
    <s v="air-cooled"/>
    <x v="1"/>
    <s v="Entry-level"/>
    <n v="1306384.6153846153"/>
    <s v="5-speed"/>
  </r>
  <r>
    <d v="2025-07-11T00:00:00"/>
    <x v="0"/>
    <x v="2"/>
    <x v="0"/>
    <x v="1"/>
    <x v="6"/>
    <n v="599000"/>
    <n v="26"/>
    <n v="15574000"/>
    <x v="2"/>
    <x v="5"/>
    <s v="Parallel-twin"/>
    <s v="liquid-cooled"/>
    <x v="6"/>
    <s v="Premium"/>
    <n v="11124285.714285715"/>
    <s v="6-speed"/>
  </r>
  <r>
    <d v="2025-06-28T00:00:00"/>
    <x v="1"/>
    <x v="14"/>
    <x v="0"/>
    <x v="1"/>
    <x v="40"/>
    <n v="340000"/>
    <n v="8"/>
    <n v="2720000"/>
    <x v="2"/>
    <x v="7"/>
    <s v="Parallel-twin"/>
    <s v="liquid-cooled"/>
    <x v="25"/>
    <s v="Mid-range"/>
    <n v="2014814.8148148146"/>
    <s v="6-speed"/>
  </r>
  <r>
    <d v="2025-06-07T00:00:00"/>
    <x v="1"/>
    <x v="21"/>
    <x v="0"/>
    <x v="0"/>
    <x v="22"/>
    <n v="284900"/>
    <n v="2"/>
    <n v="569800"/>
    <x v="2"/>
    <x v="12"/>
    <s v="Single cylinder"/>
    <s v="liquid-cooled"/>
    <x v="16"/>
    <s v="Mid-range"/>
    <n v="422074.07407407404"/>
    <s v="6-speed"/>
  </r>
  <r>
    <d v="2025-08-12T00:00:00"/>
    <x v="2"/>
    <x v="17"/>
    <x v="0"/>
    <x v="0"/>
    <x v="27"/>
    <n v="48000"/>
    <n v="33"/>
    <n v="1584000"/>
    <x v="0"/>
    <x v="13"/>
    <s v="Single cylinder"/>
    <s v="air-cooled"/>
    <x v="10"/>
    <s v="Entry-level"/>
    <n v="1218461.5384615385"/>
    <s v="4-speed"/>
  </r>
  <r>
    <d v="2025-08-11T00:00:00"/>
    <x v="2"/>
    <x v="2"/>
    <x v="0"/>
    <x v="0"/>
    <x v="9"/>
    <n v="984000"/>
    <n v="12"/>
    <n v="3936000"/>
    <x v="0"/>
    <x v="0"/>
    <s v="Twin cylinder"/>
    <s v="air-cooled"/>
    <x v="9"/>
    <s v="Mid-range"/>
    <n v="8746666.666666666"/>
    <s v="6-speed"/>
  </r>
  <r>
    <d v="2025-06-12T00:00:00"/>
    <x v="1"/>
    <x v="17"/>
    <x v="0"/>
    <x v="0"/>
    <x v="26"/>
    <n v="320000"/>
    <n v="49"/>
    <n v="15680000"/>
    <x v="1"/>
    <x v="3"/>
    <s v="Single cylinder"/>
    <s v="liquid-cooled"/>
    <x v="18"/>
    <s v="Mid-range"/>
    <n v="11614814.814814813"/>
    <s v="6-speed"/>
  </r>
  <r>
    <d v="2025-07-04T00:00:00"/>
    <x v="0"/>
    <x v="24"/>
    <x v="0"/>
    <x v="0"/>
    <x v="39"/>
    <n v="151900"/>
    <n v="32"/>
    <n v="4860800"/>
    <x v="1"/>
    <x v="2"/>
    <s v="Single cylinder"/>
    <s v="liquid-cooled"/>
    <x v="4"/>
    <s v="Entry-level"/>
    <n v="3739076.923076923"/>
    <s v="CVT"/>
  </r>
  <r>
    <d v="2025-07-03T00:00:00"/>
    <x v="0"/>
    <x v="9"/>
    <x v="0"/>
    <x v="0"/>
    <x v="35"/>
    <n v="199000"/>
    <n v="13"/>
    <n v="2587000"/>
    <x v="2"/>
    <x v="12"/>
    <s v="Single cylinder"/>
    <s v="air-cooled"/>
    <x v="24"/>
    <s v="Mid-range"/>
    <n v="1916296.2962962959"/>
    <s v="6-speed"/>
  </r>
  <r>
    <d v="2025-07-18T00:00:00"/>
    <x v="0"/>
    <x v="23"/>
    <x v="0"/>
    <x v="1"/>
    <x v="1"/>
    <n v="99900"/>
    <n v="5"/>
    <n v="499500"/>
    <x v="0"/>
    <x v="1"/>
    <s v="Single cylinder"/>
    <s v="air-cooled"/>
    <x v="1"/>
    <s v="Entry-level"/>
    <n v="384230.76923076925"/>
    <s v="5-speed"/>
  </r>
  <r>
    <d v="2025-06-23T00:00:00"/>
    <x v="1"/>
    <x v="10"/>
    <x v="0"/>
    <x v="1"/>
    <x v="10"/>
    <n v="80900"/>
    <n v="7"/>
    <n v="566300"/>
    <x v="1"/>
    <x v="2"/>
    <s v="Single cylinder"/>
    <s v="liquid-cooled"/>
    <x v="10"/>
    <s v="Entry-level"/>
    <n v="435615.38461538457"/>
    <s v="CVT"/>
  </r>
  <r>
    <d v="2025-08-01T00:00:00"/>
    <x v="2"/>
    <x v="18"/>
    <x v="0"/>
    <x v="1"/>
    <x v="12"/>
    <n v="210000"/>
    <n v="39"/>
    <n v="8190000"/>
    <x v="0"/>
    <x v="2"/>
    <s v="Single cylinder"/>
    <s v="air-cooled"/>
    <x v="12"/>
    <s v="Entry-level"/>
    <n v="6300000"/>
    <s v="CVT"/>
  </r>
  <r>
    <d v="2025-08-27T00:00:00"/>
    <x v="2"/>
    <x v="7"/>
    <x v="0"/>
    <x v="0"/>
    <x v="4"/>
    <n v="124000"/>
    <n v="10"/>
    <n v="1240000"/>
    <x v="2"/>
    <x v="2"/>
    <s v="Single cylinder"/>
    <s v="liquid-cooled"/>
    <x v="4"/>
    <s v="Entry-level"/>
    <n v="953846.15384615376"/>
    <s v="CVT"/>
  </r>
  <r>
    <d v="2025-07-07T00:00:00"/>
    <x v="0"/>
    <x v="21"/>
    <x v="0"/>
    <x v="1"/>
    <x v="37"/>
    <n v="331000"/>
    <n v="50"/>
    <n v="16550000"/>
    <x v="0"/>
    <x v="5"/>
    <s v="Parallel-twin"/>
    <s v="liquid-cooled"/>
    <x v="25"/>
    <s v="Mid-range"/>
    <n v="12259259.259259257"/>
    <s v="6-speed"/>
  </r>
  <r>
    <d v="2025-07-14T00:00:00"/>
    <x v="0"/>
    <x v="6"/>
    <x v="0"/>
    <x v="0"/>
    <x v="8"/>
    <n v="2067000"/>
    <n v="4"/>
    <n v="2756000"/>
    <x v="2"/>
    <x v="6"/>
    <s v="V-twin"/>
    <s v="air-cooled"/>
    <x v="8"/>
    <s v="Premium"/>
    <n v="5905714.2857142864"/>
    <s v="6-speed"/>
  </r>
  <r>
    <d v="2025-08-25T00:00:00"/>
    <x v="2"/>
    <x v="20"/>
    <x v="0"/>
    <x v="0"/>
    <x v="8"/>
    <n v="689000"/>
    <n v="28"/>
    <n v="19292000"/>
    <x v="1"/>
    <x v="6"/>
    <s v="V-twin"/>
    <s v="air-cooled"/>
    <x v="8"/>
    <s v="Premium"/>
    <n v="13780000"/>
    <s v="6-speed"/>
  </r>
  <r>
    <d v="2025-08-30T00:00:00"/>
    <x v="2"/>
    <x v="12"/>
    <x v="0"/>
    <x v="1"/>
    <x v="45"/>
    <n v="129000"/>
    <n v="38"/>
    <n v="4902000"/>
    <x v="0"/>
    <x v="5"/>
    <s v="Single cylinder"/>
    <s v="oil-cooled"/>
    <x v="28"/>
    <s v="Entry-level"/>
    <n v="3770769.230769231"/>
    <s v="5-speed"/>
  </r>
  <r>
    <d v="2025-07-05T00:00:00"/>
    <x v="0"/>
    <x v="26"/>
    <x v="0"/>
    <x v="1"/>
    <x v="28"/>
    <n v="128000"/>
    <n v="12"/>
    <n v="1536000"/>
    <x v="1"/>
    <x v="2"/>
    <s v="Single cylinder"/>
    <s v="liquid-cooled"/>
    <x v="1"/>
    <s v="Entry-level"/>
    <n v="1181538.4615384615"/>
    <s v="CVT"/>
  </r>
  <r>
    <d v="2025-08-04T00:00:00"/>
    <x v="2"/>
    <x v="24"/>
    <x v="0"/>
    <x v="1"/>
    <x v="20"/>
    <n v="319000"/>
    <n v="3"/>
    <n v="957000"/>
    <x v="0"/>
    <x v="2"/>
    <s v="Single cylinder"/>
    <s v="liquid-cooled"/>
    <x v="11"/>
    <s v="Mid-range"/>
    <n v="708888.88888888888"/>
    <s v="CVT"/>
  </r>
  <r>
    <d v="2025-07-17T00:00:00"/>
    <x v="0"/>
    <x v="19"/>
    <x v="0"/>
    <x v="0"/>
    <x v="0"/>
    <n v="269000"/>
    <n v="27"/>
    <n v="7263000"/>
    <x v="2"/>
    <x v="0"/>
    <s v="Single cylinder"/>
    <s v="liquid-cooled"/>
    <x v="0"/>
    <s v="Mid-range"/>
    <n v="5379999.9999999991"/>
    <s v="6-speed"/>
  </r>
  <r>
    <d v="2025-08-17T00:00:00"/>
    <x v="2"/>
    <x v="19"/>
    <x v="0"/>
    <x v="0"/>
    <x v="2"/>
    <n v="289000"/>
    <n v="37"/>
    <n v="10693000"/>
    <x v="0"/>
    <x v="2"/>
    <s v="Single cylinder"/>
    <s v="liquid-cooled"/>
    <x v="2"/>
    <s v="Entry-level"/>
    <n v="8225384.615384616"/>
    <s v="CVT"/>
  </r>
  <r>
    <d v="2025-06-03T00:00:00"/>
    <x v="1"/>
    <x v="9"/>
    <x v="0"/>
    <x v="1"/>
    <x v="29"/>
    <n v="349000"/>
    <n v="13"/>
    <n v="4537000"/>
    <x v="0"/>
    <x v="14"/>
    <s v="Parallel-twin"/>
    <s v="liquid-cooled"/>
    <x v="19"/>
    <s v="Mid-range"/>
    <n v="3360740.7407407407"/>
    <s v="6-speed"/>
  </r>
  <r>
    <d v="2025-06-01T00:00:00"/>
    <x v="1"/>
    <x v="18"/>
    <x v="0"/>
    <x v="0"/>
    <x v="17"/>
    <n v="377700"/>
    <n v="8"/>
    <n v="1007200"/>
    <x v="0"/>
    <x v="9"/>
    <s v="Single cylinder"/>
    <s v="liquid-cooled"/>
    <x v="4"/>
    <s v="Entry-level"/>
    <n v="2324307.692307692"/>
    <s v="6-speed"/>
  </r>
  <r>
    <d v="2025-06-05T00:00:00"/>
    <x v="1"/>
    <x v="26"/>
    <x v="0"/>
    <x v="1"/>
    <x v="38"/>
    <n v="398000"/>
    <n v="28"/>
    <n v="11144000"/>
    <x v="1"/>
    <x v="14"/>
    <s v="Parallel-twin"/>
    <s v="liquid-cooled"/>
    <x v="15"/>
    <s v="Premium"/>
    <n v="7960000.0000000009"/>
    <s v="6-speed"/>
  </r>
  <r>
    <d v="2025-08-29T00:00:00"/>
    <x v="2"/>
    <x v="16"/>
    <x v="0"/>
    <x v="1"/>
    <x v="35"/>
    <n v="199000"/>
    <n v="5"/>
    <n v="995000"/>
    <x v="2"/>
    <x v="12"/>
    <s v="Single cylinder"/>
    <s v="air-cooled"/>
    <x v="24"/>
    <s v="Mid-range"/>
    <n v="737037.03703703696"/>
    <s v="6-speed"/>
  </r>
  <r>
    <d v="2025-06-14T00:00:00"/>
    <x v="1"/>
    <x v="6"/>
    <x v="0"/>
    <x v="0"/>
    <x v="46"/>
    <n v="650000"/>
    <n v="1"/>
    <n v="650000"/>
    <x v="2"/>
    <x v="14"/>
    <s v="Parallel-twin"/>
    <s v="liquid-cooled"/>
    <x v="29"/>
    <s v="Premium"/>
    <n v="464285.71428571432"/>
    <s v="6-speed"/>
  </r>
  <r>
    <d v="2025-06-27T00:00:00"/>
    <x v="1"/>
    <x v="7"/>
    <x v="0"/>
    <x v="1"/>
    <x v="10"/>
    <n v="80900"/>
    <n v="21"/>
    <n v="1698900"/>
    <x v="0"/>
    <x v="2"/>
    <s v="Single cylinder"/>
    <s v="liquid-cooled"/>
    <x v="10"/>
    <s v="Entry-level"/>
    <n v="1306846.1538461538"/>
    <s v="CVT"/>
  </r>
  <r>
    <d v="2025-06-09T00:00:00"/>
    <x v="1"/>
    <x v="22"/>
    <x v="0"/>
    <x v="1"/>
    <x v="26"/>
    <n v="320000"/>
    <n v="20"/>
    <n v="6400000"/>
    <x v="1"/>
    <x v="3"/>
    <s v="Single cylinder"/>
    <s v="liquid-cooled"/>
    <x v="18"/>
    <s v="Mid-range"/>
    <n v="4740740.7407407407"/>
    <s v="6-speed"/>
  </r>
  <r>
    <d v="2025-08-18T00:00:00"/>
    <x v="2"/>
    <x v="23"/>
    <x v="0"/>
    <x v="0"/>
    <x v="42"/>
    <n v="198000"/>
    <n v="17"/>
    <n v="3366000"/>
    <x v="2"/>
    <x v="7"/>
    <s v="Single cylinder"/>
    <s v="liquid-cooled"/>
    <x v="27"/>
    <s v="Entry-level"/>
    <n v="2589230.7692307695"/>
    <s v="6-speed"/>
  </r>
  <r>
    <d v="2025-06-15T00:00:00"/>
    <x v="1"/>
    <x v="1"/>
    <x v="0"/>
    <x v="0"/>
    <x v="44"/>
    <n v="165000"/>
    <n v="35"/>
    <n v="5775000"/>
    <x v="0"/>
    <x v="5"/>
    <s v="Single cylinder"/>
    <s v="liquid-cooled"/>
    <x v="11"/>
    <s v="Mid-range"/>
    <n v="4277777.777777778"/>
    <s v="6-speed"/>
  </r>
  <r>
    <d v="2025-08-29T00:00:00"/>
    <x v="2"/>
    <x v="16"/>
    <x v="0"/>
    <x v="1"/>
    <x v="37"/>
    <n v="331000"/>
    <n v="1"/>
    <n v="331000"/>
    <x v="1"/>
    <x v="5"/>
    <s v="Parallel-twin"/>
    <s v="liquid-cooled"/>
    <x v="25"/>
    <s v="Mid-range"/>
    <n v="245185.18518518517"/>
    <s v="6-speed"/>
  </r>
  <r>
    <d v="2025-07-12T00:00:00"/>
    <x v="0"/>
    <x v="17"/>
    <x v="0"/>
    <x v="1"/>
    <x v="32"/>
    <n v="219000"/>
    <n v="10"/>
    <n v="2190000"/>
    <x v="0"/>
    <x v="2"/>
    <s v="Single cylinder"/>
    <s v="liquid-cooled"/>
    <x v="22"/>
    <s v="Entry-level"/>
    <n v="1684615.3846153847"/>
    <s v="CVT"/>
  </r>
  <r>
    <d v="2025-08-16T00:00:00"/>
    <x v="2"/>
    <x v="30"/>
    <x v="0"/>
    <x v="1"/>
    <x v="41"/>
    <n v="299000"/>
    <n v="14"/>
    <n v="4186000"/>
    <x v="2"/>
    <x v="12"/>
    <s v="Single cylinder"/>
    <s v="air-cooled"/>
    <x v="26"/>
    <s v="Mid-range"/>
    <n v="3100740.7407407407"/>
    <s v="5-speed"/>
  </r>
  <r>
    <d v="2025-07-21T00:00:00"/>
    <x v="0"/>
    <x v="4"/>
    <x v="0"/>
    <x v="1"/>
    <x v="35"/>
    <n v="199000"/>
    <n v="50"/>
    <n v="9950000"/>
    <x v="0"/>
    <x v="12"/>
    <s v="Single cylinder"/>
    <s v="air-cooled"/>
    <x v="24"/>
    <s v="Mid-range"/>
    <n v="7370370.3703703694"/>
    <s v="6-speed"/>
  </r>
  <r>
    <d v="2025-08-02T00:00:00"/>
    <x v="2"/>
    <x v="11"/>
    <x v="0"/>
    <x v="1"/>
    <x v="28"/>
    <n v="128000"/>
    <n v="20"/>
    <n v="2560000"/>
    <x v="1"/>
    <x v="2"/>
    <s v="Single cylinder"/>
    <s v="liquid-cooled"/>
    <x v="1"/>
    <s v="Entry-level"/>
    <n v="1969230.769230769"/>
    <s v="CVT"/>
  </r>
  <r>
    <d v="2025-07-22T00:00:00"/>
    <x v="0"/>
    <x v="0"/>
    <x v="0"/>
    <x v="1"/>
    <x v="8"/>
    <n v="689000"/>
    <n v="28"/>
    <n v="19292000"/>
    <x v="1"/>
    <x v="6"/>
    <s v="V-twin"/>
    <s v="air-cooled"/>
    <x v="8"/>
    <s v="Premium"/>
    <n v="13780000"/>
    <s v="6-speed"/>
  </r>
  <r>
    <d v="2025-06-04T00:00:00"/>
    <x v="1"/>
    <x v="24"/>
    <x v="0"/>
    <x v="0"/>
    <x v="42"/>
    <n v="198000"/>
    <n v="15"/>
    <n v="2970000"/>
    <x v="1"/>
    <x v="7"/>
    <s v="Single cylinder"/>
    <s v="liquid-cooled"/>
    <x v="27"/>
    <s v="Entry-level"/>
    <n v="2284615.3846153845"/>
    <s v="6-speed"/>
  </r>
  <r>
    <d v="2025-06-23T00:00:00"/>
    <x v="1"/>
    <x v="10"/>
    <x v="0"/>
    <x v="1"/>
    <x v="24"/>
    <n v="119900"/>
    <n v="2"/>
    <n v="239800"/>
    <x v="1"/>
    <x v="9"/>
    <s v="Single cylinder"/>
    <s v="liquid-cooled"/>
    <x v="12"/>
    <s v="Entry-level"/>
    <n v="184461.53846153847"/>
    <s v="6-speed"/>
  </r>
  <r>
    <d v="2025-06-15T00:00:00"/>
    <x v="1"/>
    <x v="1"/>
    <x v="0"/>
    <x v="0"/>
    <x v="14"/>
    <n v="80900"/>
    <n v="10"/>
    <n v="809000"/>
    <x v="1"/>
    <x v="2"/>
    <s v="Single cylinder"/>
    <s v="air-cooled"/>
    <x v="14"/>
    <s v="Entry-level"/>
    <n v="622307.69230769225"/>
    <s v="CVT"/>
  </r>
  <r>
    <d v="2025-07-13T00:00:00"/>
    <x v="0"/>
    <x v="29"/>
    <x v="0"/>
    <x v="0"/>
    <x v="47"/>
    <n v="182000"/>
    <n v="12"/>
    <n v="2184000"/>
    <x v="2"/>
    <x v="15"/>
    <s v="Single cylinder"/>
    <s v="liquid-cooled"/>
    <x v="4"/>
    <s v="Entry-level"/>
    <n v="1680000"/>
    <s v="6-speed"/>
  </r>
  <r>
    <d v="2025-06-29T00:00:00"/>
    <x v="1"/>
    <x v="16"/>
    <x v="0"/>
    <x v="0"/>
    <x v="26"/>
    <n v="320000"/>
    <n v="19"/>
    <n v="6080000"/>
    <x v="0"/>
    <x v="3"/>
    <s v="Single cylinder"/>
    <s v="liquid-cooled"/>
    <x v="18"/>
    <s v="Mid-range"/>
    <n v="4503703.7037037034"/>
    <s v="6-speed"/>
  </r>
  <r>
    <d v="2025-07-06T00:00:00"/>
    <x v="0"/>
    <x v="28"/>
    <x v="0"/>
    <x v="1"/>
    <x v="12"/>
    <n v="210000"/>
    <n v="7"/>
    <n v="1470000"/>
    <x v="2"/>
    <x v="2"/>
    <s v="Single cylinder"/>
    <s v="air-cooled"/>
    <x v="12"/>
    <s v="Entry-level"/>
    <n v="1130769.2307692308"/>
    <s v="CVT"/>
  </r>
  <r>
    <d v="2025-06-13T00:00:00"/>
    <x v="1"/>
    <x v="29"/>
    <x v="0"/>
    <x v="0"/>
    <x v="8"/>
    <n v="689000"/>
    <n v="13"/>
    <n v="8957000"/>
    <x v="0"/>
    <x v="6"/>
    <s v="V-twin"/>
    <s v="air-cooled"/>
    <x v="8"/>
    <s v="Premium"/>
    <n v="6397857.1428571427"/>
    <s v="6-speed"/>
  </r>
  <r>
    <d v="2025-07-02T00:00:00"/>
    <x v="0"/>
    <x v="11"/>
    <x v="0"/>
    <x v="0"/>
    <x v="40"/>
    <n v="340000"/>
    <n v="25"/>
    <n v="8500000"/>
    <x v="1"/>
    <x v="7"/>
    <s v="Parallel-twin"/>
    <s v="liquid-cooled"/>
    <x v="25"/>
    <s v="Mid-range"/>
    <n v="6296296.2962962957"/>
    <s v="6-speed"/>
  </r>
  <r>
    <d v="2025-08-10T00:00:00"/>
    <x v="2"/>
    <x v="25"/>
    <x v="0"/>
    <x v="0"/>
    <x v="4"/>
    <n v="124000"/>
    <n v="6"/>
    <n v="744000"/>
    <x v="1"/>
    <x v="2"/>
    <s v="Single cylinder"/>
    <s v="liquid-cooled"/>
    <x v="4"/>
    <s v="Entry-level"/>
    <n v="572307.69230769225"/>
    <s v="CVT"/>
  </r>
  <r>
    <d v="2025-07-29T00:00:00"/>
    <x v="0"/>
    <x v="16"/>
    <x v="0"/>
    <x v="0"/>
    <x v="39"/>
    <n v="151900"/>
    <n v="19"/>
    <n v="2886100"/>
    <x v="1"/>
    <x v="2"/>
    <s v="Single cylinder"/>
    <s v="liquid-cooled"/>
    <x v="4"/>
    <s v="Entry-level"/>
    <n v="2220076.923076923"/>
    <s v="CVT"/>
  </r>
  <r>
    <d v="2025-08-25T00:00:00"/>
    <x v="2"/>
    <x v="20"/>
    <x v="0"/>
    <x v="0"/>
    <x v="27"/>
    <n v="48000"/>
    <n v="23"/>
    <n v="1104000"/>
    <x v="1"/>
    <x v="13"/>
    <s v="Single cylinder"/>
    <s v="air-cooled"/>
    <x v="10"/>
    <s v="Entry-level"/>
    <n v="849230.76923076925"/>
    <s v="4-speed"/>
  </r>
  <r>
    <d v="2025-06-28T00:00:00"/>
    <x v="1"/>
    <x v="14"/>
    <x v="0"/>
    <x v="1"/>
    <x v="47"/>
    <n v="182000"/>
    <n v="2"/>
    <n v="364000"/>
    <x v="2"/>
    <x v="15"/>
    <s v="Single cylinder"/>
    <s v="liquid-cooled"/>
    <x v="4"/>
    <s v="Entry-level"/>
    <n v="280000"/>
    <s v="6-speed"/>
  </r>
  <r>
    <d v="2025-08-05T00:00:00"/>
    <x v="2"/>
    <x v="26"/>
    <x v="0"/>
    <x v="1"/>
    <x v="43"/>
    <n v="178000"/>
    <n v="9"/>
    <n v="1602000"/>
    <x v="2"/>
    <x v="5"/>
    <s v="Single cylinder"/>
    <s v="liquid-cooled"/>
    <x v="27"/>
    <s v="Entry-level"/>
    <n v="1232307.6923076923"/>
    <s v="6-speed"/>
  </r>
  <r>
    <d v="2025-07-12T00:00:00"/>
    <x v="0"/>
    <x v="17"/>
    <x v="0"/>
    <x v="1"/>
    <x v="46"/>
    <n v="650000"/>
    <n v="17"/>
    <n v="11050000"/>
    <x v="2"/>
    <x v="14"/>
    <s v="Parallel-twin"/>
    <s v="liquid-cooled"/>
    <x v="29"/>
    <s v="Premium"/>
    <n v="7892857.1428571437"/>
    <s v="6-speed"/>
  </r>
  <r>
    <d v="2025-07-15T00:00:00"/>
    <x v="0"/>
    <x v="1"/>
    <x v="0"/>
    <x v="1"/>
    <x v="24"/>
    <n v="119900"/>
    <n v="20"/>
    <n v="2398000"/>
    <x v="1"/>
    <x v="9"/>
    <s v="Single cylinder"/>
    <s v="liquid-cooled"/>
    <x v="12"/>
    <s v="Entry-level"/>
    <n v="1844615.3846153847"/>
    <s v="6-speed"/>
  </r>
  <r>
    <d v="2025-07-25T00:00:00"/>
    <x v="0"/>
    <x v="20"/>
    <x v="0"/>
    <x v="0"/>
    <x v="0"/>
    <n v="269000"/>
    <n v="1"/>
    <n v="269000"/>
    <x v="2"/>
    <x v="0"/>
    <s v="Single cylinder"/>
    <s v="liquid-cooled"/>
    <x v="0"/>
    <s v="Mid-range"/>
    <n v="199259.25925925924"/>
    <s v="6-speed"/>
  </r>
  <r>
    <d v="2025-07-27T00:00:00"/>
    <x v="0"/>
    <x v="7"/>
    <x v="0"/>
    <x v="1"/>
    <x v="11"/>
    <n v="165000"/>
    <n v="28"/>
    <n v="4620000"/>
    <x v="0"/>
    <x v="7"/>
    <s v="Single cylinder"/>
    <s v="liquid-cooled"/>
    <x v="11"/>
    <s v="Mid-range"/>
    <n v="3422222.222222222"/>
    <s v="6-speed"/>
  </r>
  <r>
    <d v="2025-06-06T00:00:00"/>
    <x v="1"/>
    <x v="28"/>
    <x v="0"/>
    <x v="0"/>
    <x v="47"/>
    <n v="182000"/>
    <n v="20"/>
    <n v="3640000"/>
    <x v="2"/>
    <x v="15"/>
    <s v="Single cylinder"/>
    <s v="liquid-cooled"/>
    <x v="4"/>
    <s v="Entry-level"/>
    <n v="2800000"/>
    <s v="6-speed"/>
  </r>
  <r>
    <d v="2025-06-28T00:00:00"/>
    <x v="1"/>
    <x v="14"/>
    <x v="0"/>
    <x v="0"/>
    <x v="45"/>
    <n v="387000"/>
    <n v="9"/>
    <n v="1161000"/>
    <x v="2"/>
    <x v="5"/>
    <s v="Single cylinder"/>
    <s v="oil-cooled"/>
    <x v="28"/>
    <s v="Entry-level"/>
    <n v="2679230.769230769"/>
    <s v="5-speed"/>
  </r>
  <r>
    <d v="2025-06-28T00:00:00"/>
    <x v="1"/>
    <x v="14"/>
    <x v="0"/>
    <x v="0"/>
    <x v="27"/>
    <n v="48000"/>
    <n v="48"/>
    <n v="2304000"/>
    <x v="0"/>
    <x v="13"/>
    <s v="Single cylinder"/>
    <s v="air-cooled"/>
    <x v="10"/>
    <s v="Entry-level"/>
    <n v="1772307.6923076923"/>
    <s v="4-speed"/>
  </r>
  <r>
    <d v="2025-07-14T00:00:00"/>
    <x v="0"/>
    <x v="6"/>
    <x v="0"/>
    <x v="0"/>
    <x v="11"/>
    <n v="165000"/>
    <n v="44"/>
    <n v="7260000"/>
    <x v="2"/>
    <x v="7"/>
    <s v="Single cylinder"/>
    <s v="liquid-cooled"/>
    <x v="11"/>
    <s v="Mid-range"/>
    <n v="5377777.777777778"/>
    <s v="6-speed"/>
  </r>
  <r>
    <d v="2025-08-23T00:00:00"/>
    <x v="2"/>
    <x v="10"/>
    <x v="0"/>
    <x v="1"/>
    <x v="29"/>
    <n v="349000"/>
    <n v="15"/>
    <n v="5235000"/>
    <x v="0"/>
    <x v="14"/>
    <s v="Parallel-twin"/>
    <s v="liquid-cooled"/>
    <x v="19"/>
    <s v="Mid-range"/>
    <n v="3877777.7777777775"/>
    <s v="6-speed"/>
  </r>
  <r>
    <d v="2025-06-30T00:00:00"/>
    <x v="1"/>
    <x v="12"/>
    <x v="0"/>
    <x v="0"/>
    <x v="1"/>
    <n v="99900"/>
    <n v="5"/>
    <n v="499500"/>
    <x v="0"/>
    <x v="1"/>
    <s v="Single cylinder"/>
    <s v="air-cooled"/>
    <x v="1"/>
    <s v="Entry-level"/>
    <n v="384230.76923076925"/>
    <s v="5-speed"/>
  </r>
  <r>
    <d v="2025-08-01T00:00:00"/>
    <x v="2"/>
    <x v="18"/>
    <x v="0"/>
    <x v="0"/>
    <x v="40"/>
    <n v="340000"/>
    <n v="10"/>
    <n v="3400000"/>
    <x v="2"/>
    <x v="7"/>
    <s v="Parallel-twin"/>
    <s v="liquid-cooled"/>
    <x v="25"/>
    <s v="Mid-range"/>
    <n v="2518518.5185185182"/>
    <s v="6-speed"/>
  </r>
  <r>
    <d v="2025-08-14T00:00:00"/>
    <x v="2"/>
    <x v="6"/>
    <x v="0"/>
    <x v="0"/>
    <x v="4"/>
    <n v="124000"/>
    <n v="19"/>
    <n v="2356000"/>
    <x v="1"/>
    <x v="2"/>
    <s v="Single cylinder"/>
    <s v="liquid-cooled"/>
    <x v="4"/>
    <s v="Entry-level"/>
    <n v="1812307.692307692"/>
    <s v="CVT"/>
  </r>
  <r>
    <d v="2025-08-31T00:00:00"/>
    <x v="2"/>
    <x v="3"/>
    <x v="0"/>
    <x v="0"/>
    <x v="3"/>
    <n v="248000"/>
    <n v="13"/>
    <n v="3224000"/>
    <x v="1"/>
    <x v="3"/>
    <s v="Single cylinder"/>
    <s v="liquid-cooled"/>
    <x v="3"/>
    <s v="Mid-range"/>
    <n v="2388148.1481481479"/>
    <s v="6-speed"/>
  </r>
  <r>
    <d v="2025-08-28T00:00:00"/>
    <x v="2"/>
    <x v="14"/>
    <x v="0"/>
    <x v="0"/>
    <x v="13"/>
    <n v="164900"/>
    <n v="4"/>
    <n v="659600"/>
    <x v="2"/>
    <x v="2"/>
    <s v="Single cylinder"/>
    <s v="liquid-cooled"/>
    <x v="13"/>
    <s v="Entry-level"/>
    <n v="507384.61538461538"/>
    <s v="CVT"/>
  </r>
  <r>
    <d v="2025-08-01T00:00:00"/>
    <x v="2"/>
    <x v="18"/>
    <x v="0"/>
    <x v="1"/>
    <x v="30"/>
    <n v="995000"/>
    <n v="7"/>
    <n v="6965000"/>
    <x v="1"/>
    <x v="6"/>
    <s v="Flat twin"/>
    <s v="air"/>
    <x v="20"/>
    <s v="Premium"/>
    <n v="4975000.0000000009"/>
    <n v="0"/>
  </r>
  <r>
    <d v="2025-06-01T00:00:00"/>
    <x v="1"/>
    <x v="18"/>
    <x v="0"/>
    <x v="0"/>
    <x v="22"/>
    <n v="284900"/>
    <n v="32"/>
    <n v="9116800"/>
    <x v="2"/>
    <x v="12"/>
    <s v="Single cylinder"/>
    <s v="liquid-cooled"/>
    <x v="16"/>
    <s v="Mid-range"/>
    <n v="6753185.1851851847"/>
    <s v="6-speed"/>
  </r>
  <r>
    <d v="2025-06-27T00:00:00"/>
    <x v="1"/>
    <x v="7"/>
    <x v="0"/>
    <x v="1"/>
    <x v="44"/>
    <n v="165000"/>
    <n v="19"/>
    <n v="3135000"/>
    <x v="2"/>
    <x v="5"/>
    <s v="Single cylinder"/>
    <s v="liquid-cooled"/>
    <x v="11"/>
    <s v="Mid-range"/>
    <n v="2322222.222222222"/>
    <s v="6-speed"/>
  </r>
  <r>
    <d v="2025-08-01T00:00:00"/>
    <x v="2"/>
    <x v="18"/>
    <x v="0"/>
    <x v="0"/>
    <x v="39"/>
    <n v="151900"/>
    <n v="20"/>
    <n v="3038000"/>
    <x v="0"/>
    <x v="2"/>
    <s v="Single cylinder"/>
    <s v="liquid-cooled"/>
    <x v="4"/>
    <s v="Entry-level"/>
    <n v="2336923.076923077"/>
    <s v="CVT"/>
  </r>
  <r>
    <d v="2025-08-16T00:00:00"/>
    <x v="2"/>
    <x v="30"/>
    <x v="0"/>
    <x v="1"/>
    <x v="44"/>
    <n v="165000"/>
    <n v="20"/>
    <n v="3300000"/>
    <x v="2"/>
    <x v="5"/>
    <s v="Single cylinder"/>
    <s v="liquid-cooled"/>
    <x v="11"/>
    <s v="Mid-range"/>
    <n v="2444444.4444444445"/>
    <s v="6-speed"/>
  </r>
  <r>
    <d v="2025-06-03T00:00:00"/>
    <x v="1"/>
    <x v="9"/>
    <x v="0"/>
    <x v="0"/>
    <x v="11"/>
    <n v="495000"/>
    <n v="7"/>
    <n v="1155000"/>
    <x v="2"/>
    <x v="7"/>
    <s v="Single cylinder"/>
    <s v="liquid-cooled"/>
    <x v="11"/>
    <s v="Mid-range"/>
    <n v="2566666.6666666665"/>
    <s v="6-speed"/>
  </r>
  <r>
    <d v="2025-08-11T00:00:00"/>
    <x v="2"/>
    <x v="2"/>
    <x v="0"/>
    <x v="1"/>
    <x v="37"/>
    <n v="331000"/>
    <n v="14"/>
    <n v="4634000"/>
    <x v="0"/>
    <x v="5"/>
    <s v="Parallel-twin"/>
    <s v="liquid-cooled"/>
    <x v="25"/>
    <s v="Mid-range"/>
    <n v="3432592.5925925924"/>
    <s v="6-speed"/>
  </r>
  <r>
    <d v="2025-06-27T00:00:00"/>
    <x v="1"/>
    <x v="7"/>
    <x v="0"/>
    <x v="0"/>
    <x v="10"/>
    <n v="80900"/>
    <n v="3"/>
    <n v="242700"/>
    <x v="0"/>
    <x v="2"/>
    <s v="Single cylinder"/>
    <s v="liquid-cooled"/>
    <x v="10"/>
    <s v="Entry-level"/>
    <n v="186692.30769230769"/>
    <s v="CVT"/>
  </r>
  <r>
    <d v="2025-06-09T00:00:00"/>
    <x v="1"/>
    <x v="22"/>
    <x v="0"/>
    <x v="1"/>
    <x v="48"/>
    <n v="72900"/>
    <n v="11"/>
    <n v="801900"/>
    <x v="1"/>
    <x v="9"/>
    <s v="Single cylinder"/>
    <s v="air-cooled"/>
    <x v="12"/>
    <s v="Entry-level"/>
    <n v="616846.15384615387"/>
    <s v="CVT"/>
  </r>
  <r>
    <d v="2025-08-01T00:00:00"/>
    <x v="2"/>
    <x v="18"/>
    <x v="0"/>
    <x v="1"/>
    <x v="42"/>
    <n v="198000"/>
    <n v="3"/>
    <n v="594000"/>
    <x v="0"/>
    <x v="7"/>
    <s v="Single cylinder"/>
    <s v="liquid-cooled"/>
    <x v="27"/>
    <s v="Entry-level"/>
    <n v="456923.07692307694"/>
    <s v="6-speed"/>
  </r>
  <r>
    <d v="2025-07-07T00:00:00"/>
    <x v="0"/>
    <x v="21"/>
    <x v="0"/>
    <x v="0"/>
    <x v="35"/>
    <n v="199000"/>
    <n v="9"/>
    <n v="1791000"/>
    <x v="0"/>
    <x v="12"/>
    <s v="Single cylinder"/>
    <s v="air-cooled"/>
    <x v="24"/>
    <s v="Mid-range"/>
    <n v="1326666.6666666665"/>
    <s v="6-speed"/>
  </r>
  <r>
    <d v="2025-07-21T00:00:00"/>
    <x v="0"/>
    <x v="4"/>
    <x v="0"/>
    <x v="0"/>
    <x v="2"/>
    <n v="289000"/>
    <n v="30"/>
    <n v="8670000"/>
    <x v="2"/>
    <x v="2"/>
    <s v="Single cylinder"/>
    <s v="liquid-cooled"/>
    <x v="2"/>
    <s v="Entry-level"/>
    <n v="6669230.769230769"/>
    <s v="CVT"/>
  </r>
  <r>
    <d v="2025-07-14T00:00:00"/>
    <x v="0"/>
    <x v="6"/>
    <x v="0"/>
    <x v="0"/>
    <x v="25"/>
    <n v="79900"/>
    <n v="4"/>
    <n v="319600"/>
    <x v="2"/>
    <x v="2"/>
    <s v="Single cylinder"/>
    <s v="air-cooled"/>
    <x v="14"/>
    <s v="Entry-level"/>
    <n v="245846.15384615384"/>
    <s v="CVT"/>
  </r>
  <r>
    <d v="2025-06-24T00:00:00"/>
    <x v="1"/>
    <x v="8"/>
    <x v="0"/>
    <x v="1"/>
    <x v="49"/>
    <n v="250000"/>
    <n v="8"/>
    <n v="2000000"/>
    <x v="1"/>
    <x v="16"/>
    <s v="Single cylinder"/>
    <s v="air-cooled"/>
    <x v="30"/>
    <s v="Mid-range"/>
    <n v="1481481.4814814813"/>
    <s v="5-speed"/>
  </r>
  <r>
    <d v="2025-08-18T00:00:00"/>
    <x v="2"/>
    <x v="23"/>
    <x v="0"/>
    <x v="0"/>
    <x v="1"/>
    <n v="299700"/>
    <n v="16"/>
    <n v="1598400"/>
    <x v="1"/>
    <x v="1"/>
    <s v="Single cylinder"/>
    <s v="air-cooled"/>
    <x v="1"/>
    <s v="Entry-level"/>
    <n v="3688615.3846153845"/>
    <s v="5-speed"/>
  </r>
  <r>
    <d v="2025-07-29T00:00:00"/>
    <x v="0"/>
    <x v="16"/>
    <x v="0"/>
    <x v="0"/>
    <x v="36"/>
    <n v="67900"/>
    <n v="13"/>
    <n v="882700"/>
    <x v="2"/>
    <x v="13"/>
    <s v="Single cylinder"/>
    <s v="air-cooled"/>
    <x v="10"/>
    <s v="Entry-level"/>
    <n v="679000"/>
    <s v="4-speed"/>
  </r>
  <r>
    <d v="2025-07-02T00:00:00"/>
    <x v="0"/>
    <x v="11"/>
    <x v="0"/>
    <x v="0"/>
    <x v="41"/>
    <n v="299000"/>
    <n v="13"/>
    <n v="3887000"/>
    <x v="2"/>
    <x v="12"/>
    <s v="Single cylinder"/>
    <s v="air-cooled"/>
    <x v="26"/>
    <s v="Mid-range"/>
    <n v="2879259.2592592589"/>
    <s v="5-speed"/>
  </r>
  <r>
    <d v="2025-08-27T00:00:00"/>
    <x v="2"/>
    <x v="7"/>
    <x v="0"/>
    <x v="0"/>
    <x v="43"/>
    <n v="178000"/>
    <n v="38"/>
    <n v="6764000"/>
    <x v="2"/>
    <x v="5"/>
    <s v="Single cylinder"/>
    <s v="liquid-cooled"/>
    <x v="27"/>
    <s v="Entry-level"/>
    <n v="5203076.9230769221"/>
    <s v="6-speed"/>
  </r>
  <r>
    <d v="2025-07-22T00:00:00"/>
    <x v="0"/>
    <x v="0"/>
    <x v="0"/>
    <x v="1"/>
    <x v="7"/>
    <n v="398000"/>
    <n v="44"/>
    <n v="17512000"/>
    <x v="2"/>
    <x v="2"/>
    <s v="Single cylinder"/>
    <s v="liquid-cooled"/>
    <x v="7"/>
    <s v="Mid-range"/>
    <n v="12971851.851851851"/>
    <s v="CVT"/>
  </r>
  <r>
    <d v="2025-08-01T00:00:00"/>
    <x v="2"/>
    <x v="18"/>
    <x v="0"/>
    <x v="0"/>
    <x v="20"/>
    <n v="319000"/>
    <n v="7"/>
    <n v="2233000"/>
    <x v="1"/>
    <x v="2"/>
    <s v="Single cylinder"/>
    <s v="liquid-cooled"/>
    <x v="11"/>
    <s v="Mid-range"/>
    <n v="1654074.0740740742"/>
    <s v="CVT"/>
  </r>
  <r>
    <d v="2025-07-28T00:00:00"/>
    <x v="0"/>
    <x v="14"/>
    <x v="0"/>
    <x v="1"/>
    <x v="36"/>
    <n v="67900"/>
    <n v="11"/>
    <n v="746900"/>
    <x v="0"/>
    <x v="13"/>
    <s v="Single cylinder"/>
    <s v="air-cooled"/>
    <x v="10"/>
    <s v="Entry-level"/>
    <n v="574538.4615384615"/>
    <s v="4-speed"/>
  </r>
  <r>
    <d v="2025-07-22T00:00:00"/>
    <x v="0"/>
    <x v="0"/>
    <x v="0"/>
    <x v="1"/>
    <x v="20"/>
    <n v="319000"/>
    <n v="40"/>
    <n v="12760000"/>
    <x v="0"/>
    <x v="2"/>
    <s v="Single cylinder"/>
    <s v="liquid-cooled"/>
    <x v="11"/>
    <s v="Mid-range"/>
    <n v="9451851.8518518507"/>
    <s v="CVT"/>
  </r>
  <r>
    <d v="2025-06-12T00:00:00"/>
    <x v="1"/>
    <x v="17"/>
    <x v="0"/>
    <x v="0"/>
    <x v="29"/>
    <n v="349000"/>
    <n v="12"/>
    <n v="4188000"/>
    <x v="2"/>
    <x v="14"/>
    <s v="Parallel-twin"/>
    <s v="liquid-cooled"/>
    <x v="19"/>
    <s v="Mid-range"/>
    <n v="3102222.222222222"/>
    <s v="6-speed"/>
  </r>
  <r>
    <d v="2025-07-09T00:00:00"/>
    <x v="0"/>
    <x v="22"/>
    <x v="0"/>
    <x v="1"/>
    <x v="36"/>
    <n v="67900"/>
    <n v="17"/>
    <n v="1154300"/>
    <x v="2"/>
    <x v="13"/>
    <s v="Single cylinder"/>
    <s v="air-cooled"/>
    <x v="10"/>
    <s v="Entry-level"/>
    <n v="887923.07692307688"/>
    <s v="4-speed"/>
  </r>
  <r>
    <d v="2025-06-02T00:00:00"/>
    <x v="1"/>
    <x v="11"/>
    <x v="0"/>
    <x v="1"/>
    <x v="38"/>
    <n v="398000"/>
    <n v="32"/>
    <n v="12736000"/>
    <x v="1"/>
    <x v="14"/>
    <s v="Parallel-twin"/>
    <s v="liquid-cooled"/>
    <x v="15"/>
    <s v="Premium"/>
    <n v="9097142.8571428582"/>
    <s v="6-speed"/>
  </r>
  <r>
    <d v="2025-06-03T00:00:00"/>
    <x v="1"/>
    <x v="9"/>
    <x v="0"/>
    <x v="0"/>
    <x v="2"/>
    <n v="289000"/>
    <n v="11"/>
    <n v="3179000"/>
    <x v="0"/>
    <x v="2"/>
    <s v="Single cylinder"/>
    <s v="liquid-cooled"/>
    <x v="2"/>
    <s v="Entry-level"/>
    <n v="2445384.6153846155"/>
    <s v="CVT"/>
  </r>
  <r>
    <d v="2025-07-26T00:00:00"/>
    <x v="0"/>
    <x v="5"/>
    <x v="0"/>
    <x v="0"/>
    <x v="42"/>
    <n v="198000"/>
    <n v="37"/>
    <n v="7326000"/>
    <x v="1"/>
    <x v="7"/>
    <s v="Single cylinder"/>
    <s v="liquid-cooled"/>
    <x v="27"/>
    <s v="Entry-level"/>
    <n v="5635384.615384616"/>
    <s v="6-speed"/>
  </r>
  <r>
    <d v="2025-08-20T00:00:00"/>
    <x v="2"/>
    <x v="27"/>
    <x v="0"/>
    <x v="0"/>
    <x v="35"/>
    <n v="199000"/>
    <n v="17"/>
    <n v="3383000"/>
    <x v="2"/>
    <x v="12"/>
    <s v="Single cylinder"/>
    <s v="air-cooled"/>
    <x v="24"/>
    <s v="Mid-range"/>
    <n v="2505925.9259259254"/>
    <s v="6-speed"/>
  </r>
  <r>
    <d v="2025-07-29T00:00:00"/>
    <x v="0"/>
    <x v="16"/>
    <x v="0"/>
    <x v="0"/>
    <x v="48"/>
    <n v="72900"/>
    <n v="29"/>
    <n v="2114100"/>
    <x v="1"/>
    <x v="9"/>
    <s v="Single cylinder"/>
    <s v="air-cooled"/>
    <x v="12"/>
    <s v="Entry-level"/>
    <n v="1626230.7692307692"/>
    <s v="CVT"/>
  </r>
  <r>
    <d v="2025-06-02T00:00:00"/>
    <x v="1"/>
    <x v="11"/>
    <x v="0"/>
    <x v="1"/>
    <x v="15"/>
    <n v="345000"/>
    <n v="4"/>
    <n v="1380000"/>
    <x v="0"/>
    <x v="8"/>
    <s v="Parallel-twin"/>
    <s v="liquid-cooled"/>
    <x v="15"/>
    <s v="Premium"/>
    <n v="985714.2857142858"/>
    <s v="6-speed"/>
  </r>
  <r>
    <d v="2025-06-02T00:00:00"/>
    <x v="1"/>
    <x v="11"/>
    <x v="0"/>
    <x v="0"/>
    <x v="15"/>
    <n v="345000"/>
    <n v="10"/>
    <n v="3450000"/>
    <x v="0"/>
    <x v="8"/>
    <s v="Parallel-twin"/>
    <s v="liquid-cooled"/>
    <x v="15"/>
    <s v="Premium"/>
    <n v="2464285.7142857146"/>
    <s v="6-speed"/>
  </r>
  <r>
    <d v="2025-08-31T00:00:00"/>
    <x v="2"/>
    <x v="3"/>
    <x v="0"/>
    <x v="0"/>
    <x v="2"/>
    <n v="289000"/>
    <n v="10"/>
    <n v="2890000"/>
    <x v="0"/>
    <x v="2"/>
    <s v="Single cylinder"/>
    <s v="liquid-cooled"/>
    <x v="2"/>
    <s v="Entry-level"/>
    <n v="2223076.923076923"/>
    <s v="CVT"/>
  </r>
  <r>
    <d v="2025-07-24T00:00:00"/>
    <x v="0"/>
    <x v="8"/>
    <x v="0"/>
    <x v="0"/>
    <x v="47"/>
    <n v="182000"/>
    <n v="10"/>
    <n v="1820000"/>
    <x v="1"/>
    <x v="15"/>
    <s v="Single cylinder"/>
    <s v="liquid-cooled"/>
    <x v="4"/>
    <s v="Entry-level"/>
    <n v="1400000"/>
    <s v="6-speed"/>
  </r>
  <r>
    <d v="2025-08-26T00:00:00"/>
    <x v="2"/>
    <x v="5"/>
    <x v="0"/>
    <x v="1"/>
    <x v="9"/>
    <n v="328000"/>
    <n v="4"/>
    <n v="1312000"/>
    <x v="1"/>
    <x v="0"/>
    <s v="Twin cylinder"/>
    <s v="air-cooled"/>
    <x v="9"/>
    <s v="Mid-range"/>
    <n v="971851.8518518518"/>
    <s v="6-speed"/>
  </r>
  <r>
    <d v="2025-01-13T00:00:00"/>
    <x v="3"/>
    <x v="29"/>
    <x v="0"/>
    <x v="0"/>
    <x v="36"/>
    <n v="67900"/>
    <n v="21"/>
    <n v="1425900"/>
    <x v="0"/>
    <x v="13"/>
    <s v="Single cylinder"/>
    <s v="air-cooled"/>
    <x v="10"/>
    <s v="Entry-level"/>
    <n v="1096846.1538461538"/>
    <s v="4-speed"/>
  </r>
  <r>
    <d v="2025-06-02T00:00:00"/>
    <x v="1"/>
    <x v="11"/>
    <x v="0"/>
    <x v="0"/>
    <x v="33"/>
    <n v="369000"/>
    <n v="19"/>
    <n v="7011000"/>
    <x v="0"/>
    <x v="3"/>
    <s v="Parallel-twin"/>
    <s v="liquid-cooled"/>
    <x v="15"/>
    <s v="Premium"/>
    <n v="5007857.1428571427"/>
    <s v="6-speed"/>
  </r>
  <r>
    <d v="2025-07-23T00:00:00"/>
    <x v="0"/>
    <x v="10"/>
    <x v="0"/>
    <x v="0"/>
    <x v="11"/>
    <n v="165000"/>
    <n v="20"/>
    <n v="3300000"/>
    <x v="1"/>
    <x v="7"/>
    <s v="Single cylinder"/>
    <s v="liquid-cooled"/>
    <x v="11"/>
    <s v="Mid-range"/>
    <n v="2444444.4444444445"/>
    <s v="6-speed"/>
  </r>
  <r>
    <d v="2025-07-14T00:00:00"/>
    <x v="0"/>
    <x v="6"/>
    <x v="0"/>
    <x v="1"/>
    <x v="42"/>
    <n v="198000"/>
    <n v="5"/>
    <n v="990000"/>
    <x v="1"/>
    <x v="7"/>
    <s v="Single cylinder"/>
    <s v="liquid-cooled"/>
    <x v="27"/>
    <s v="Entry-level"/>
    <n v="761538.4615384615"/>
    <s v="6-speed"/>
  </r>
  <r>
    <d v="2025-08-29T00:00:00"/>
    <x v="2"/>
    <x v="16"/>
    <x v="0"/>
    <x v="1"/>
    <x v="13"/>
    <n v="164900"/>
    <n v="17"/>
    <n v="2803300"/>
    <x v="0"/>
    <x v="2"/>
    <s v="Single cylinder"/>
    <s v="liquid-cooled"/>
    <x v="13"/>
    <s v="Entry-level"/>
    <n v="2156384.6153846155"/>
    <s v="CVT"/>
  </r>
  <r>
    <d v="2025-07-02T00:00:00"/>
    <x v="0"/>
    <x v="11"/>
    <x v="0"/>
    <x v="1"/>
    <x v="5"/>
    <n v="199900"/>
    <n v="1"/>
    <n v="199900"/>
    <x v="2"/>
    <x v="4"/>
    <s v="Single cylinder"/>
    <s v="liquid-cooled"/>
    <x v="5"/>
    <s v="Mid-range"/>
    <n v="148074.07407407407"/>
    <s v="6-speed"/>
  </r>
  <r>
    <d v="2025-08-09T00:00:00"/>
    <x v="2"/>
    <x v="22"/>
    <x v="0"/>
    <x v="1"/>
    <x v="17"/>
    <n v="125900"/>
    <n v="9"/>
    <n v="1133100"/>
    <x v="1"/>
    <x v="9"/>
    <s v="Single cylinder"/>
    <s v="liquid-cooled"/>
    <x v="4"/>
    <s v="Entry-level"/>
    <n v="871615.38461538462"/>
    <s v="6-speed"/>
  </r>
  <r>
    <d v="2025-07-02T00:00:00"/>
    <x v="0"/>
    <x v="11"/>
    <x v="0"/>
    <x v="0"/>
    <x v="41"/>
    <n v="299000"/>
    <n v="32"/>
    <n v="9568000"/>
    <x v="1"/>
    <x v="12"/>
    <s v="Single cylinder"/>
    <s v="air-cooled"/>
    <x v="26"/>
    <s v="Mid-range"/>
    <n v="7087407.4074074067"/>
    <s v="5-speed"/>
  </r>
  <r>
    <d v="2025-08-07T00:00:00"/>
    <x v="2"/>
    <x v="21"/>
    <x v="0"/>
    <x v="1"/>
    <x v="40"/>
    <n v="340000"/>
    <n v="47"/>
    <n v="15980000"/>
    <x v="1"/>
    <x v="7"/>
    <s v="Parallel-twin"/>
    <s v="liquid-cooled"/>
    <x v="25"/>
    <s v="Mid-range"/>
    <n v="11837037.037037035"/>
    <s v="6-speed"/>
  </r>
  <r>
    <d v="2025-07-25T00:00:00"/>
    <x v="0"/>
    <x v="20"/>
    <x v="0"/>
    <x v="1"/>
    <x v="36"/>
    <n v="67900"/>
    <n v="3"/>
    <n v="203700"/>
    <x v="0"/>
    <x v="13"/>
    <s v="Single cylinder"/>
    <s v="air-cooled"/>
    <x v="10"/>
    <s v="Entry-level"/>
    <n v="156692.30769230769"/>
    <s v="4-speed"/>
  </r>
  <r>
    <d v="2025-08-14T00:00:00"/>
    <x v="2"/>
    <x v="6"/>
    <x v="0"/>
    <x v="0"/>
    <x v="13"/>
    <n v="164900"/>
    <n v="17"/>
    <n v="2803300"/>
    <x v="1"/>
    <x v="2"/>
    <s v="Single cylinder"/>
    <s v="liquid-cooled"/>
    <x v="13"/>
    <s v="Entry-level"/>
    <n v="2156384.6153846155"/>
    <s v="CVT"/>
  </r>
  <r>
    <d v="2025-07-26T00:00:00"/>
    <x v="0"/>
    <x v="5"/>
    <x v="0"/>
    <x v="0"/>
    <x v="25"/>
    <n v="79900"/>
    <n v="6"/>
    <n v="479400"/>
    <x v="2"/>
    <x v="2"/>
    <s v="Single cylinder"/>
    <s v="air-cooled"/>
    <x v="14"/>
    <s v="Entry-level"/>
    <n v="368769.23076923075"/>
    <s v="CVT"/>
  </r>
  <r>
    <d v="2025-06-17T00:00:00"/>
    <x v="1"/>
    <x v="19"/>
    <x v="0"/>
    <x v="1"/>
    <x v="34"/>
    <n v="78900"/>
    <n v="43"/>
    <n v="3392700"/>
    <x v="2"/>
    <x v="3"/>
    <s v="Single cylinder"/>
    <s v="oil-cooled"/>
    <x v="23"/>
    <s v="Mid-range"/>
    <n v="2513111.111111111"/>
    <s v="6-speed"/>
  </r>
  <r>
    <d v="2025-07-08T00:00:00"/>
    <x v="0"/>
    <x v="13"/>
    <x v="0"/>
    <x v="0"/>
    <x v="41"/>
    <n v="299000"/>
    <n v="6"/>
    <n v="1794000"/>
    <x v="1"/>
    <x v="12"/>
    <s v="Single cylinder"/>
    <s v="air-cooled"/>
    <x v="26"/>
    <s v="Mid-range"/>
    <n v="1328888.8888888888"/>
    <s v="5-speed"/>
  </r>
  <r>
    <d v="2025-06-24T00:00:00"/>
    <x v="1"/>
    <x v="8"/>
    <x v="0"/>
    <x v="0"/>
    <x v="47"/>
    <n v="182000"/>
    <n v="20"/>
    <n v="3640000"/>
    <x v="2"/>
    <x v="15"/>
    <s v="Single cylinder"/>
    <s v="liquid-cooled"/>
    <x v="4"/>
    <s v="Entry-level"/>
    <n v="2800000"/>
    <s v="6-speed"/>
  </r>
  <r>
    <d v="2025-08-08T00:00:00"/>
    <x v="2"/>
    <x v="13"/>
    <x v="0"/>
    <x v="1"/>
    <x v="46"/>
    <n v="650000"/>
    <n v="3"/>
    <n v="1950000"/>
    <x v="2"/>
    <x v="14"/>
    <s v="Parallel-twin"/>
    <s v="liquid-cooled"/>
    <x v="29"/>
    <s v="Premium"/>
    <n v="1392857.142857143"/>
    <s v="6-speed"/>
  </r>
  <r>
    <d v="2025-08-09T00:00:00"/>
    <x v="2"/>
    <x v="22"/>
    <x v="0"/>
    <x v="0"/>
    <x v="12"/>
    <n v="210000"/>
    <n v="36"/>
    <n v="7560000"/>
    <x v="0"/>
    <x v="2"/>
    <s v="Single cylinder"/>
    <s v="air-cooled"/>
    <x v="12"/>
    <s v="Entry-level"/>
    <n v="5815384.615384615"/>
    <s v="CVT"/>
  </r>
  <r>
    <d v="2025-08-25T00:00:00"/>
    <x v="2"/>
    <x v="20"/>
    <x v="0"/>
    <x v="1"/>
    <x v="4"/>
    <n v="124000"/>
    <n v="15"/>
    <n v="1860000"/>
    <x v="0"/>
    <x v="2"/>
    <s v="Single cylinder"/>
    <s v="liquid-cooled"/>
    <x v="4"/>
    <s v="Entry-level"/>
    <n v="1430769.2307692305"/>
    <s v="CVT"/>
  </r>
  <r>
    <d v="2025-06-11T00:00:00"/>
    <x v="1"/>
    <x v="2"/>
    <x v="0"/>
    <x v="0"/>
    <x v="10"/>
    <n v="80900"/>
    <n v="38"/>
    <n v="3074200"/>
    <x v="2"/>
    <x v="2"/>
    <s v="Single cylinder"/>
    <s v="liquid-cooled"/>
    <x v="10"/>
    <s v="Entry-level"/>
    <n v="2364769.2307692305"/>
    <s v="CVT"/>
  </r>
  <r>
    <d v="2025-06-16T00:00:00"/>
    <x v="1"/>
    <x v="30"/>
    <x v="0"/>
    <x v="1"/>
    <x v="10"/>
    <n v="80900"/>
    <n v="16"/>
    <n v="1294400"/>
    <x v="0"/>
    <x v="2"/>
    <s v="Single cylinder"/>
    <s v="liquid-cooled"/>
    <x v="10"/>
    <s v="Entry-level"/>
    <n v="995692.30769230763"/>
    <s v="CVT"/>
  </r>
  <r>
    <d v="2025-08-12T00:00:00"/>
    <x v="2"/>
    <x v="17"/>
    <x v="0"/>
    <x v="1"/>
    <x v="39"/>
    <n v="151900"/>
    <n v="3"/>
    <n v="455700"/>
    <x v="0"/>
    <x v="2"/>
    <s v="Single cylinder"/>
    <s v="liquid-cooled"/>
    <x v="4"/>
    <s v="Entry-level"/>
    <n v="350538.4615384615"/>
    <s v="CVT"/>
  </r>
  <r>
    <d v="2025-07-29T00:00:00"/>
    <x v="0"/>
    <x v="16"/>
    <x v="0"/>
    <x v="0"/>
    <x v="21"/>
    <n v="389000"/>
    <n v="3"/>
    <n v="1167000"/>
    <x v="2"/>
    <x v="7"/>
    <s v="Parallel-twin"/>
    <s v="liquid-cooled"/>
    <x v="9"/>
    <s v="Mid-range"/>
    <n v="864444.4444444445"/>
    <s v="6-speed"/>
  </r>
  <r>
    <d v="2025-08-09T00:00:00"/>
    <x v="2"/>
    <x v="22"/>
    <x v="0"/>
    <x v="1"/>
    <x v="5"/>
    <n v="199900"/>
    <n v="8"/>
    <n v="1599200"/>
    <x v="2"/>
    <x v="4"/>
    <s v="Single cylinder"/>
    <s v="liquid-cooled"/>
    <x v="5"/>
    <s v="Mid-range"/>
    <n v="1184592.5925925926"/>
    <s v="6-speed"/>
  </r>
  <r>
    <d v="2025-08-19T00:00:00"/>
    <x v="2"/>
    <x v="15"/>
    <x v="0"/>
    <x v="0"/>
    <x v="31"/>
    <n v="499000"/>
    <n v="4"/>
    <n v="1996000"/>
    <x v="1"/>
    <x v="14"/>
    <s v="V-twin"/>
    <s v="liquid-cooled"/>
    <x v="21"/>
    <s v="Premium"/>
    <n v="1425714.2857142859"/>
    <s v="6-speed"/>
  </r>
  <r>
    <d v="2025-06-03T00:00:00"/>
    <x v="1"/>
    <x v="9"/>
    <x v="0"/>
    <x v="0"/>
    <x v="22"/>
    <n v="284900"/>
    <n v="21"/>
    <n v="5982900"/>
    <x v="0"/>
    <x v="12"/>
    <s v="Single cylinder"/>
    <s v="liquid-cooled"/>
    <x v="16"/>
    <s v="Mid-range"/>
    <n v="4431777.7777777771"/>
    <s v="6-speed"/>
  </r>
  <r>
    <d v="2025-06-20T00:00:00"/>
    <x v="1"/>
    <x v="27"/>
    <x v="0"/>
    <x v="1"/>
    <x v="31"/>
    <n v="499000"/>
    <n v="6"/>
    <n v="2994000"/>
    <x v="1"/>
    <x v="14"/>
    <s v="V-twin"/>
    <s v="liquid-cooled"/>
    <x v="21"/>
    <s v="Premium"/>
    <n v="2138571.4285714291"/>
    <s v="6-speed"/>
  </r>
  <r>
    <d v="2025-07-29T00:00:00"/>
    <x v="0"/>
    <x v="16"/>
    <x v="0"/>
    <x v="0"/>
    <x v="18"/>
    <n v="68900"/>
    <n v="42"/>
    <n v="2893800"/>
    <x v="1"/>
    <x v="10"/>
    <s v="Single cylinder"/>
    <s v="air-cooled"/>
    <x v="1"/>
    <s v="Entry-level"/>
    <n v="2226000"/>
    <s v="5-speed"/>
  </r>
  <r>
    <d v="2025-07-06T00:00:00"/>
    <x v="0"/>
    <x v="28"/>
    <x v="0"/>
    <x v="0"/>
    <x v="3"/>
    <n v="248000"/>
    <n v="12"/>
    <n v="2976000"/>
    <x v="0"/>
    <x v="3"/>
    <s v="Single cylinder"/>
    <s v="liquid-cooled"/>
    <x v="3"/>
    <s v="Mid-range"/>
    <n v="2204444.444444444"/>
    <s v="6-speed"/>
  </r>
  <r>
    <d v="2025-06-19T00:00:00"/>
    <x v="1"/>
    <x v="15"/>
    <x v="0"/>
    <x v="1"/>
    <x v="42"/>
    <n v="198000"/>
    <n v="14"/>
    <n v="2772000"/>
    <x v="2"/>
    <x v="7"/>
    <s v="Single cylinder"/>
    <s v="liquid-cooled"/>
    <x v="27"/>
    <s v="Entry-level"/>
    <n v="2132307.6923076925"/>
    <s v="6-speed"/>
  </r>
  <r>
    <d v="2025-08-29T00:00:00"/>
    <x v="2"/>
    <x v="16"/>
    <x v="0"/>
    <x v="0"/>
    <x v="8"/>
    <n v="689000"/>
    <n v="20"/>
    <n v="13780000"/>
    <x v="0"/>
    <x v="6"/>
    <s v="V-twin"/>
    <s v="air-cooled"/>
    <x v="8"/>
    <s v="Premium"/>
    <n v="9842857.1428571437"/>
    <s v="6-speed"/>
  </r>
  <r>
    <d v="2025-06-19T00:00:00"/>
    <x v="1"/>
    <x v="15"/>
    <x v="0"/>
    <x v="1"/>
    <x v="43"/>
    <n v="178000"/>
    <n v="9"/>
    <n v="1602000"/>
    <x v="0"/>
    <x v="5"/>
    <s v="Single cylinder"/>
    <s v="liquid-cooled"/>
    <x v="27"/>
    <s v="Entry-level"/>
    <n v="1232307.6923076923"/>
    <s v="6-speed"/>
  </r>
  <r>
    <d v="2025-06-20T00:00:00"/>
    <x v="1"/>
    <x v="27"/>
    <x v="0"/>
    <x v="0"/>
    <x v="46"/>
    <n v="650000"/>
    <n v="1"/>
    <n v="650000"/>
    <x v="1"/>
    <x v="14"/>
    <s v="Parallel-twin"/>
    <s v="liquid-cooled"/>
    <x v="29"/>
    <s v="Premium"/>
    <n v="464285.71428571432"/>
    <s v="6-speed"/>
  </r>
  <r>
    <d v="2025-08-10T00:00:00"/>
    <x v="2"/>
    <x v="25"/>
    <x v="0"/>
    <x v="0"/>
    <x v="13"/>
    <n v="164900"/>
    <n v="14"/>
    <n v="2308600"/>
    <x v="0"/>
    <x v="2"/>
    <s v="Single cylinder"/>
    <s v="liquid-cooled"/>
    <x v="13"/>
    <s v="Entry-level"/>
    <n v="1775846.1538461538"/>
    <s v="CVT"/>
  </r>
  <r>
    <d v="2025-07-22T00:00:00"/>
    <x v="0"/>
    <x v="0"/>
    <x v="0"/>
    <x v="0"/>
    <x v="41"/>
    <n v="299000"/>
    <n v="2"/>
    <n v="598000"/>
    <x v="2"/>
    <x v="12"/>
    <s v="Single cylinder"/>
    <s v="air-cooled"/>
    <x v="26"/>
    <s v="Mid-range"/>
    <n v="442962.96296296292"/>
    <s v="5-speed"/>
  </r>
  <r>
    <d v="2025-07-03T00:00:00"/>
    <x v="0"/>
    <x v="9"/>
    <x v="0"/>
    <x v="0"/>
    <x v="29"/>
    <n v="349000"/>
    <n v="15"/>
    <n v="5235000"/>
    <x v="0"/>
    <x v="14"/>
    <s v="Parallel-twin"/>
    <s v="liquid-cooled"/>
    <x v="19"/>
    <s v="Mid-range"/>
    <n v="3877777.7777777775"/>
    <s v="6-speed"/>
  </r>
  <r>
    <d v="2025-07-10T00:00:00"/>
    <x v="0"/>
    <x v="25"/>
    <x v="0"/>
    <x v="1"/>
    <x v="38"/>
    <n v="398000"/>
    <n v="15"/>
    <n v="5970000"/>
    <x v="0"/>
    <x v="14"/>
    <s v="Parallel-twin"/>
    <s v="liquid-cooled"/>
    <x v="15"/>
    <s v="Premium"/>
    <n v="4264285.7142857146"/>
    <s v="6-speed"/>
  </r>
  <r>
    <d v="2025-07-09T00:00:00"/>
    <x v="0"/>
    <x v="22"/>
    <x v="0"/>
    <x v="1"/>
    <x v="41"/>
    <n v="299000"/>
    <n v="6"/>
    <n v="1794000"/>
    <x v="1"/>
    <x v="12"/>
    <s v="Single cylinder"/>
    <s v="air-cooled"/>
    <x v="26"/>
    <s v="Mid-range"/>
    <n v="1328888.8888888888"/>
    <s v="5-speed"/>
  </r>
  <r>
    <d v="2025-08-21T00:00:00"/>
    <x v="2"/>
    <x v="4"/>
    <x v="0"/>
    <x v="0"/>
    <x v="6"/>
    <n v="599000"/>
    <n v="42"/>
    <n v="25158000"/>
    <x v="1"/>
    <x v="5"/>
    <s v="Parallel-twin"/>
    <s v="liquid-cooled"/>
    <x v="6"/>
    <s v="Premium"/>
    <n v="17970000"/>
    <s v="6-speed"/>
  </r>
  <r>
    <d v="2025-06-01T00:00:00"/>
    <x v="1"/>
    <x v="18"/>
    <x v="0"/>
    <x v="0"/>
    <x v="6"/>
    <n v="599000"/>
    <n v="1"/>
    <n v="599000"/>
    <x v="1"/>
    <x v="5"/>
    <s v="Parallel-twin"/>
    <s v="liquid-cooled"/>
    <x v="6"/>
    <s v="Premium"/>
    <n v="427857.1428571429"/>
    <s v="6-speed"/>
  </r>
  <r>
    <d v="2025-06-11T00:00:00"/>
    <x v="1"/>
    <x v="2"/>
    <x v="0"/>
    <x v="1"/>
    <x v="34"/>
    <n v="78900"/>
    <n v="23"/>
    <n v="1814700"/>
    <x v="2"/>
    <x v="3"/>
    <s v="Single cylinder"/>
    <s v="oil-cooled"/>
    <x v="23"/>
    <s v="Mid-range"/>
    <n v="1344222.222222222"/>
    <s v="6-speed"/>
  </r>
  <r>
    <d v="2025-08-31T00:00:00"/>
    <x v="2"/>
    <x v="3"/>
    <x v="0"/>
    <x v="0"/>
    <x v="41"/>
    <n v="299000"/>
    <n v="35"/>
    <n v="10465000"/>
    <x v="0"/>
    <x v="12"/>
    <s v="Single cylinder"/>
    <s v="air-cooled"/>
    <x v="26"/>
    <s v="Mid-range"/>
    <n v="7751851.8518518507"/>
    <s v="5-speed"/>
  </r>
  <r>
    <d v="2025-07-27T00:00:00"/>
    <x v="0"/>
    <x v="7"/>
    <x v="0"/>
    <x v="1"/>
    <x v="5"/>
    <n v="199900"/>
    <n v="31"/>
    <n v="6196900"/>
    <x v="2"/>
    <x v="4"/>
    <s v="Single cylinder"/>
    <s v="liquid-cooled"/>
    <x v="5"/>
    <s v="Mid-range"/>
    <n v="4590296.2962962966"/>
    <s v="6-speed"/>
  </r>
  <r>
    <d v="2025-08-28T00:00:00"/>
    <x v="2"/>
    <x v="14"/>
    <x v="0"/>
    <x v="1"/>
    <x v="17"/>
    <n v="125900"/>
    <n v="28"/>
    <n v="3525200"/>
    <x v="0"/>
    <x v="9"/>
    <s v="Single cylinder"/>
    <s v="liquid-cooled"/>
    <x v="4"/>
    <s v="Entry-level"/>
    <n v="2711692.3076923075"/>
    <s v="6-speed"/>
  </r>
  <r>
    <d v="2025-07-20T00:00:00"/>
    <x v="0"/>
    <x v="27"/>
    <x v="0"/>
    <x v="1"/>
    <x v="39"/>
    <n v="151900"/>
    <n v="17"/>
    <n v="2582300"/>
    <x v="2"/>
    <x v="2"/>
    <s v="Single cylinder"/>
    <s v="liquid-cooled"/>
    <x v="4"/>
    <s v="Entry-level"/>
    <n v="1986384.6153846153"/>
    <s v="CVT"/>
  </r>
  <r>
    <d v="2025-06-23T00:00:00"/>
    <x v="1"/>
    <x v="10"/>
    <x v="0"/>
    <x v="0"/>
    <x v="25"/>
    <n v="79900"/>
    <n v="19"/>
    <n v="1518100"/>
    <x v="0"/>
    <x v="2"/>
    <s v="Single cylinder"/>
    <s v="air-cooled"/>
    <x v="14"/>
    <s v="Entry-level"/>
    <n v="1167769.2307692308"/>
    <s v="CVT"/>
  </r>
  <r>
    <d v="2025-07-01T00:00:00"/>
    <x v="0"/>
    <x v="18"/>
    <x v="0"/>
    <x v="0"/>
    <x v="34"/>
    <n v="78900"/>
    <n v="19"/>
    <n v="1499100"/>
    <x v="2"/>
    <x v="3"/>
    <s v="Single cylinder"/>
    <s v="oil-cooled"/>
    <x v="23"/>
    <s v="Mid-range"/>
    <n v="1110444.4444444443"/>
    <s v="6-speed"/>
  </r>
  <r>
    <d v="2025-07-12T00:00:00"/>
    <x v="0"/>
    <x v="17"/>
    <x v="0"/>
    <x v="1"/>
    <x v="15"/>
    <n v="345000"/>
    <n v="33"/>
    <n v="11385000"/>
    <x v="1"/>
    <x v="8"/>
    <s v="Parallel-twin"/>
    <s v="liquid-cooled"/>
    <x v="15"/>
    <s v="Premium"/>
    <n v="8132142.8571428582"/>
    <s v="6-speed"/>
  </r>
  <r>
    <d v="2025-06-07T00:00:00"/>
    <x v="1"/>
    <x v="21"/>
    <x v="0"/>
    <x v="0"/>
    <x v="40"/>
    <n v="340000"/>
    <n v="5"/>
    <n v="1700000"/>
    <x v="1"/>
    <x v="7"/>
    <s v="Parallel-twin"/>
    <s v="liquid-cooled"/>
    <x v="25"/>
    <s v="Mid-range"/>
    <n v="1259259.2592592591"/>
    <s v="6-speed"/>
  </r>
  <r>
    <d v="2025-06-16T00:00:00"/>
    <x v="1"/>
    <x v="30"/>
    <x v="0"/>
    <x v="0"/>
    <x v="34"/>
    <n v="78900"/>
    <n v="5"/>
    <n v="394500"/>
    <x v="2"/>
    <x v="3"/>
    <s v="Single cylinder"/>
    <s v="oil-cooled"/>
    <x v="23"/>
    <s v="Mid-range"/>
    <n v="292222.22222222219"/>
    <s v="6-speed"/>
  </r>
  <r>
    <d v="2025-08-29T00:00:00"/>
    <x v="2"/>
    <x v="16"/>
    <x v="0"/>
    <x v="1"/>
    <x v="32"/>
    <n v="219000"/>
    <n v="46"/>
    <n v="10074000"/>
    <x v="1"/>
    <x v="2"/>
    <s v="Single cylinder"/>
    <s v="liquid-cooled"/>
    <x v="22"/>
    <s v="Entry-level"/>
    <n v="7749230.7692307699"/>
    <s v="CVT"/>
  </r>
  <r>
    <d v="2025-07-30T00:00:00"/>
    <x v="0"/>
    <x v="12"/>
    <x v="0"/>
    <x v="1"/>
    <x v="20"/>
    <n v="319000"/>
    <n v="18"/>
    <n v="5742000"/>
    <x v="0"/>
    <x v="2"/>
    <s v="Single cylinder"/>
    <s v="liquid-cooled"/>
    <x v="11"/>
    <s v="Mid-range"/>
    <n v="4253333.333333333"/>
    <s v="CVT"/>
  </r>
  <r>
    <d v="2025-06-02T00:00:00"/>
    <x v="1"/>
    <x v="11"/>
    <x v="0"/>
    <x v="1"/>
    <x v="0"/>
    <n v="269000"/>
    <n v="11"/>
    <n v="2959000"/>
    <x v="0"/>
    <x v="0"/>
    <s v="Single cylinder"/>
    <s v="liquid-cooled"/>
    <x v="0"/>
    <s v="Mid-range"/>
    <n v="2191851.8518518517"/>
    <s v="6-speed"/>
  </r>
  <r>
    <d v="2025-06-01T00:00:00"/>
    <x v="1"/>
    <x v="18"/>
    <x v="0"/>
    <x v="1"/>
    <x v="18"/>
    <n v="68900"/>
    <n v="12"/>
    <n v="826800"/>
    <x v="2"/>
    <x v="10"/>
    <s v="Single cylinder"/>
    <s v="air-cooled"/>
    <x v="1"/>
    <s v="Entry-level"/>
    <n v="636000"/>
    <s v="5-speed"/>
  </r>
  <r>
    <d v="2025-07-18T00:00:00"/>
    <x v="0"/>
    <x v="23"/>
    <x v="0"/>
    <x v="0"/>
    <x v="44"/>
    <n v="165000"/>
    <n v="12"/>
    <n v="1980000"/>
    <x v="1"/>
    <x v="5"/>
    <s v="Single cylinder"/>
    <s v="liquid-cooled"/>
    <x v="11"/>
    <s v="Mid-range"/>
    <n v="1466666.6666666665"/>
    <s v="6-speed"/>
  </r>
  <r>
    <d v="2025-06-12T00:00:00"/>
    <x v="1"/>
    <x v="17"/>
    <x v="0"/>
    <x v="0"/>
    <x v="44"/>
    <n v="165000"/>
    <n v="43"/>
    <n v="7095000"/>
    <x v="0"/>
    <x v="5"/>
    <s v="Single cylinder"/>
    <s v="liquid-cooled"/>
    <x v="11"/>
    <s v="Mid-range"/>
    <n v="5255555.555555555"/>
    <s v="6-speed"/>
  </r>
  <r>
    <d v="2025-08-08T00:00:00"/>
    <x v="2"/>
    <x v="13"/>
    <x v="0"/>
    <x v="0"/>
    <x v="11"/>
    <n v="165000"/>
    <n v="8"/>
    <n v="1320000"/>
    <x v="2"/>
    <x v="7"/>
    <s v="Single cylinder"/>
    <s v="liquid-cooled"/>
    <x v="11"/>
    <s v="Mid-range"/>
    <n v="977777.77777777775"/>
    <s v="6-speed"/>
  </r>
  <r>
    <d v="2025-07-07T00:00:00"/>
    <x v="0"/>
    <x v="21"/>
    <x v="0"/>
    <x v="0"/>
    <x v="36"/>
    <n v="67900"/>
    <n v="1"/>
    <n v="67900"/>
    <x v="1"/>
    <x v="13"/>
    <s v="Single cylinder"/>
    <s v="air-cooled"/>
    <x v="10"/>
    <s v="Entry-level"/>
    <n v="52230.769230769227"/>
    <s v="4-speed"/>
  </r>
  <r>
    <d v="2025-07-02T00:00:00"/>
    <x v="0"/>
    <x v="11"/>
    <x v="0"/>
    <x v="0"/>
    <x v="32"/>
    <n v="219000"/>
    <n v="3"/>
    <n v="657000"/>
    <x v="2"/>
    <x v="2"/>
    <s v="Single cylinder"/>
    <s v="liquid-cooled"/>
    <x v="22"/>
    <s v="Entry-level"/>
    <n v="505384.61538461538"/>
    <s v="CVT"/>
  </r>
  <r>
    <d v="2025-06-09T00:00:00"/>
    <x v="1"/>
    <x v="22"/>
    <x v="0"/>
    <x v="0"/>
    <x v="21"/>
    <n v="389000"/>
    <n v="21"/>
    <n v="8169000"/>
    <x v="0"/>
    <x v="7"/>
    <s v="Parallel-twin"/>
    <s v="liquid-cooled"/>
    <x v="9"/>
    <s v="Mid-range"/>
    <n v="6051111.111111111"/>
    <s v="6-speed"/>
  </r>
  <r>
    <d v="2025-06-19T00:00:00"/>
    <x v="1"/>
    <x v="15"/>
    <x v="0"/>
    <x v="1"/>
    <x v="4"/>
    <n v="124000"/>
    <n v="11"/>
    <n v="1364000"/>
    <x v="1"/>
    <x v="2"/>
    <s v="Single cylinder"/>
    <s v="liquid-cooled"/>
    <x v="4"/>
    <s v="Entry-level"/>
    <n v="1049230.769230769"/>
    <s v="CVT"/>
  </r>
  <r>
    <d v="2025-07-18T00:00:00"/>
    <x v="0"/>
    <x v="23"/>
    <x v="0"/>
    <x v="1"/>
    <x v="16"/>
    <n v="178000"/>
    <n v="14"/>
    <n v="2492000"/>
    <x v="0"/>
    <x v="5"/>
    <s v="Single cylinder"/>
    <s v="liquid-cooled"/>
    <x v="4"/>
    <s v="Entry-level"/>
    <n v="1916923.0769230768"/>
    <s v="6-speed"/>
  </r>
  <r>
    <d v="2025-08-19T00:00:00"/>
    <x v="2"/>
    <x v="15"/>
    <x v="0"/>
    <x v="1"/>
    <x v="49"/>
    <n v="250000"/>
    <n v="2"/>
    <n v="500000"/>
    <x v="2"/>
    <x v="16"/>
    <s v="Single cylinder"/>
    <s v="air-cooled"/>
    <x v="30"/>
    <s v="Mid-range"/>
    <n v="370370.37037037034"/>
    <s v="5-speed"/>
  </r>
  <r>
    <d v="2025-06-03T00:00:00"/>
    <x v="1"/>
    <x v="9"/>
    <x v="0"/>
    <x v="0"/>
    <x v="17"/>
    <n v="125900"/>
    <n v="17"/>
    <n v="2140300"/>
    <x v="0"/>
    <x v="9"/>
    <s v="Single cylinder"/>
    <s v="liquid-cooled"/>
    <x v="4"/>
    <s v="Entry-level"/>
    <n v="1646384.6153846153"/>
    <s v="6-speed"/>
  </r>
  <r>
    <d v="2025-06-20T00:00:00"/>
    <x v="1"/>
    <x v="27"/>
    <x v="0"/>
    <x v="0"/>
    <x v="1"/>
    <n v="99900"/>
    <n v="35"/>
    <n v="3496500"/>
    <x v="0"/>
    <x v="1"/>
    <s v="Single cylinder"/>
    <s v="air-cooled"/>
    <x v="1"/>
    <s v="Entry-level"/>
    <n v="2689615.3846153845"/>
    <s v="5-speed"/>
  </r>
  <r>
    <d v="2025-06-24T00:00:00"/>
    <x v="1"/>
    <x v="8"/>
    <x v="0"/>
    <x v="0"/>
    <x v="34"/>
    <n v="78900"/>
    <n v="17"/>
    <n v="1341300"/>
    <x v="1"/>
    <x v="3"/>
    <s v="Single cylinder"/>
    <s v="oil-cooled"/>
    <x v="23"/>
    <s v="Mid-range"/>
    <n v="993555.5555555555"/>
    <s v="6-speed"/>
  </r>
  <r>
    <d v="2025-07-24T00:00:00"/>
    <x v="0"/>
    <x v="8"/>
    <x v="0"/>
    <x v="1"/>
    <x v="16"/>
    <n v="178000"/>
    <n v="24"/>
    <n v="4272000"/>
    <x v="2"/>
    <x v="5"/>
    <s v="Single cylinder"/>
    <s v="liquid-cooled"/>
    <x v="4"/>
    <s v="Entry-level"/>
    <n v="3286153.846153846"/>
    <s v="6-speed"/>
  </r>
  <r>
    <d v="2025-07-03T00:00:00"/>
    <x v="0"/>
    <x v="9"/>
    <x v="0"/>
    <x v="0"/>
    <x v="3"/>
    <n v="248000"/>
    <n v="6"/>
    <n v="1488000"/>
    <x v="2"/>
    <x v="3"/>
    <s v="Single cylinder"/>
    <s v="liquid-cooled"/>
    <x v="3"/>
    <s v="Mid-range"/>
    <n v="1102222.222222222"/>
    <s v="6-speed"/>
  </r>
  <r>
    <d v="2025-06-24T00:00:00"/>
    <x v="1"/>
    <x v="8"/>
    <x v="0"/>
    <x v="0"/>
    <x v="43"/>
    <n v="178000"/>
    <n v="12"/>
    <n v="2136000"/>
    <x v="2"/>
    <x v="5"/>
    <s v="Single cylinder"/>
    <s v="liquid-cooled"/>
    <x v="27"/>
    <s v="Entry-level"/>
    <n v="1643076.923076923"/>
    <s v="6-speed"/>
  </r>
  <r>
    <d v="2025-08-14T00:00:00"/>
    <x v="2"/>
    <x v="6"/>
    <x v="0"/>
    <x v="0"/>
    <x v="49"/>
    <n v="250000"/>
    <n v="34"/>
    <n v="8500000"/>
    <x v="2"/>
    <x v="16"/>
    <s v="Single cylinder"/>
    <s v="air-cooled"/>
    <x v="30"/>
    <s v="Mid-range"/>
    <n v="6296296.2962962957"/>
    <s v="5-speed"/>
  </r>
  <r>
    <d v="2025-08-11T00:00:00"/>
    <x v="2"/>
    <x v="2"/>
    <x v="0"/>
    <x v="1"/>
    <x v="46"/>
    <n v="650000"/>
    <n v="10"/>
    <n v="6500000"/>
    <x v="0"/>
    <x v="14"/>
    <s v="Parallel-twin"/>
    <s v="liquid-cooled"/>
    <x v="29"/>
    <s v="Premium"/>
    <n v="4642857.1428571437"/>
    <s v="6-speed"/>
  </r>
  <r>
    <d v="2025-07-06T00:00:00"/>
    <x v="0"/>
    <x v="28"/>
    <x v="0"/>
    <x v="1"/>
    <x v="4"/>
    <n v="124000"/>
    <n v="9"/>
    <n v="1116000"/>
    <x v="0"/>
    <x v="2"/>
    <s v="Single cylinder"/>
    <s v="liquid-cooled"/>
    <x v="4"/>
    <s v="Entry-level"/>
    <n v="858461.53846153838"/>
    <s v="CVT"/>
  </r>
  <r>
    <d v="2025-07-08T00:00:00"/>
    <x v="0"/>
    <x v="13"/>
    <x v="0"/>
    <x v="1"/>
    <x v="13"/>
    <n v="164900"/>
    <n v="43"/>
    <n v="7090700"/>
    <x v="0"/>
    <x v="2"/>
    <s v="Single cylinder"/>
    <s v="liquid-cooled"/>
    <x v="13"/>
    <s v="Entry-level"/>
    <n v="5454384.615384615"/>
    <s v="CVT"/>
  </r>
  <r>
    <d v="2025-08-23T00:00:00"/>
    <x v="2"/>
    <x v="10"/>
    <x v="0"/>
    <x v="0"/>
    <x v="8"/>
    <n v="689000"/>
    <n v="10"/>
    <n v="6890000"/>
    <x v="0"/>
    <x v="6"/>
    <s v="V-twin"/>
    <s v="air-cooled"/>
    <x v="8"/>
    <s v="Premium"/>
    <n v="4921428.5714285718"/>
    <s v="6-speed"/>
  </r>
  <r>
    <d v="2025-08-28T00:00:00"/>
    <x v="2"/>
    <x v="14"/>
    <x v="0"/>
    <x v="0"/>
    <x v="30"/>
    <n v="995000"/>
    <n v="8"/>
    <n v="7960000"/>
    <x v="1"/>
    <x v="6"/>
    <s v="Flat twin"/>
    <s v="air"/>
    <x v="20"/>
    <s v="Premium"/>
    <n v="5685714.2857142864"/>
    <n v="0"/>
  </r>
  <r>
    <d v="2025-06-25T00:00:00"/>
    <x v="1"/>
    <x v="20"/>
    <x v="0"/>
    <x v="0"/>
    <x v="6"/>
    <n v="599000"/>
    <n v="33"/>
    <n v="19767000"/>
    <x v="0"/>
    <x v="5"/>
    <s v="Parallel-twin"/>
    <s v="liquid-cooled"/>
    <x v="6"/>
    <s v="Premium"/>
    <n v="14119285.714285716"/>
    <s v="6-speed"/>
  </r>
  <r>
    <d v="2025-06-18T00:00:00"/>
    <x v="1"/>
    <x v="23"/>
    <x v="0"/>
    <x v="0"/>
    <x v="49"/>
    <n v="250000"/>
    <n v="11"/>
    <n v="2750000"/>
    <x v="1"/>
    <x v="16"/>
    <s v="Single cylinder"/>
    <s v="air-cooled"/>
    <x v="30"/>
    <s v="Mid-range"/>
    <n v="2037037.0370370368"/>
    <s v="5-speed"/>
  </r>
  <r>
    <d v="2025-08-21T00:00:00"/>
    <x v="2"/>
    <x v="4"/>
    <x v="0"/>
    <x v="1"/>
    <x v="5"/>
    <n v="199900"/>
    <n v="5"/>
    <n v="999500"/>
    <x v="2"/>
    <x v="4"/>
    <s v="Single cylinder"/>
    <s v="liquid-cooled"/>
    <x v="5"/>
    <s v="Mid-range"/>
    <n v="740370.37037037034"/>
    <s v="6-speed"/>
  </r>
  <r>
    <d v="2025-08-05T00:00:00"/>
    <x v="2"/>
    <x v="26"/>
    <x v="0"/>
    <x v="1"/>
    <x v="46"/>
    <n v="650000"/>
    <n v="3"/>
    <n v="1950000"/>
    <x v="1"/>
    <x v="14"/>
    <s v="Parallel-twin"/>
    <s v="liquid-cooled"/>
    <x v="29"/>
    <s v="Premium"/>
    <n v="1392857.142857143"/>
    <s v="6-speed"/>
  </r>
  <r>
    <d v="2025-07-24T00:00:00"/>
    <x v="0"/>
    <x v="8"/>
    <x v="0"/>
    <x v="0"/>
    <x v="34"/>
    <n v="78900"/>
    <n v="12"/>
    <n v="946800"/>
    <x v="1"/>
    <x v="3"/>
    <s v="Single cylinder"/>
    <s v="oil-cooled"/>
    <x v="23"/>
    <s v="Mid-range"/>
    <n v="701333.33333333326"/>
    <s v="6-speed"/>
  </r>
  <r>
    <d v="2025-07-05T00:00:00"/>
    <x v="0"/>
    <x v="26"/>
    <x v="0"/>
    <x v="1"/>
    <x v="23"/>
    <n v="125000"/>
    <n v="42"/>
    <n v="5250000"/>
    <x v="1"/>
    <x v="5"/>
    <s v="Single cylinder"/>
    <s v="liquid-cooled"/>
    <x v="17"/>
    <s v="Entry-level"/>
    <n v="4038461.5384615385"/>
    <s v="6-speed"/>
  </r>
  <r>
    <d v="2025-08-19T00:00:00"/>
    <x v="2"/>
    <x v="15"/>
    <x v="0"/>
    <x v="0"/>
    <x v="14"/>
    <n v="80900"/>
    <n v="37"/>
    <n v="2993300"/>
    <x v="1"/>
    <x v="2"/>
    <s v="Single cylinder"/>
    <s v="air-cooled"/>
    <x v="14"/>
    <s v="Entry-level"/>
    <n v="2302538.4615384615"/>
    <s v="CVT"/>
  </r>
  <r>
    <d v="2025-07-31T00:00:00"/>
    <x v="0"/>
    <x v="3"/>
    <x v="0"/>
    <x v="0"/>
    <x v="5"/>
    <n v="199900"/>
    <n v="17"/>
    <n v="3398300"/>
    <x v="0"/>
    <x v="4"/>
    <s v="Single cylinder"/>
    <s v="liquid-cooled"/>
    <x v="5"/>
    <s v="Mid-range"/>
    <n v="2517259.2592592593"/>
    <s v="6-speed"/>
  </r>
  <r>
    <d v="2025-07-11T00:00:00"/>
    <x v="0"/>
    <x v="2"/>
    <x v="0"/>
    <x v="1"/>
    <x v="41"/>
    <n v="299000"/>
    <n v="27"/>
    <n v="8073000"/>
    <x v="0"/>
    <x v="12"/>
    <s v="Single cylinder"/>
    <s v="air-cooled"/>
    <x v="26"/>
    <s v="Mid-range"/>
    <n v="5979999.9999999991"/>
    <s v="5-speed"/>
  </r>
  <r>
    <d v="2025-07-03T00:00:00"/>
    <x v="0"/>
    <x v="9"/>
    <x v="0"/>
    <x v="1"/>
    <x v="33"/>
    <n v="369000"/>
    <n v="19"/>
    <n v="7011000"/>
    <x v="2"/>
    <x v="3"/>
    <s v="Parallel-twin"/>
    <s v="liquid-cooled"/>
    <x v="15"/>
    <s v="Premium"/>
    <n v="5007857.1428571427"/>
    <s v="6-speed"/>
  </r>
  <r>
    <d v="2025-08-07T00:00:00"/>
    <x v="2"/>
    <x v="21"/>
    <x v="0"/>
    <x v="0"/>
    <x v="8"/>
    <n v="689000"/>
    <n v="3"/>
    <n v="2067000"/>
    <x v="1"/>
    <x v="6"/>
    <s v="V-twin"/>
    <s v="air-cooled"/>
    <x v="8"/>
    <s v="Premium"/>
    <n v="1476428.5714285714"/>
    <s v="6-speed"/>
  </r>
  <r>
    <d v="2025-07-03T00:00:00"/>
    <x v="0"/>
    <x v="9"/>
    <x v="0"/>
    <x v="1"/>
    <x v="41"/>
    <n v="299000"/>
    <n v="17"/>
    <n v="5083000"/>
    <x v="1"/>
    <x v="12"/>
    <s v="Single cylinder"/>
    <s v="air-cooled"/>
    <x v="26"/>
    <s v="Mid-range"/>
    <n v="3765185.1851851847"/>
    <s v="5-speed"/>
  </r>
  <r>
    <d v="2025-06-14T00:00:00"/>
    <x v="1"/>
    <x v="6"/>
    <x v="0"/>
    <x v="0"/>
    <x v="26"/>
    <n v="320000"/>
    <n v="16"/>
    <n v="5120000"/>
    <x v="1"/>
    <x v="3"/>
    <s v="Single cylinder"/>
    <s v="liquid-cooled"/>
    <x v="18"/>
    <s v="Mid-range"/>
    <n v="3792592.5925925924"/>
    <s v="6-speed"/>
  </r>
  <r>
    <d v="2025-06-21T00:00:00"/>
    <x v="1"/>
    <x v="4"/>
    <x v="0"/>
    <x v="0"/>
    <x v="41"/>
    <n v="299000"/>
    <n v="19"/>
    <n v="5681000"/>
    <x v="0"/>
    <x v="12"/>
    <s v="Single cylinder"/>
    <s v="air-cooled"/>
    <x v="26"/>
    <s v="Mid-range"/>
    <n v="4208148.1481481474"/>
    <s v="5-speed"/>
  </r>
  <r>
    <d v="2025-07-18T00:00:00"/>
    <x v="0"/>
    <x v="23"/>
    <x v="0"/>
    <x v="1"/>
    <x v="30"/>
    <n v="995000"/>
    <n v="24"/>
    <n v="23880000"/>
    <x v="1"/>
    <x v="6"/>
    <s v="Flat twin"/>
    <s v="air"/>
    <x v="20"/>
    <s v="Premium"/>
    <n v="17057142.857142858"/>
    <n v="0"/>
  </r>
  <r>
    <d v="2025-06-20T00:00:00"/>
    <x v="1"/>
    <x v="27"/>
    <x v="0"/>
    <x v="0"/>
    <x v="42"/>
    <n v="198000"/>
    <n v="11"/>
    <n v="2178000"/>
    <x v="0"/>
    <x v="7"/>
    <s v="Single cylinder"/>
    <s v="liquid-cooled"/>
    <x v="27"/>
    <s v="Entry-level"/>
    <n v="1675384.6153846155"/>
    <s v="6-speed"/>
  </r>
  <r>
    <d v="2025-06-08T00:00:00"/>
    <x v="1"/>
    <x v="13"/>
    <x v="0"/>
    <x v="0"/>
    <x v="44"/>
    <n v="165000"/>
    <n v="4"/>
    <n v="660000"/>
    <x v="1"/>
    <x v="5"/>
    <s v="Single cylinder"/>
    <s v="liquid-cooled"/>
    <x v="11"/>
    <s v="Mid-range"/>
    <n v="488888.88888888888"/>
    <s v="6-speed"/>
  </r>
  <r>
    <d v="2025-06-07T00:00:00"/>
    <x v="1"/>
    <x v="21"/>
    <x v="0"/>
    <x v="1"/>
    <x v="27"/>
    <n v="48000"/>
    <n v="5"/>
    <n v="240000"/>
    <x v="0"/>
    <x v="13"/>
    <s v="Single cylinder"/>
    <s v="air-cooled"/>
    <x v="10"/>
    <s v="Entry-level"/>
    <n v="184615.38461538462"/>
    <s v="4-speed"/>
  </r>
  <r>
    <d v="2025-08-06T00:00:00"/>
    <x v="2"/>
    <x v="28"/>
    <x v="0"/>
    <x v="1"/>
    <x v="45"/>
    <n v="129000"/>
    <n v="3"/>
    <n v="387000"/>
    <x v="1"/>
    <x v="5"/>
    <s v="Single cylinder"/>
    <s v="oil-cooled"/>
    <x v="28"/>
    <s v="Entry-level"/>
    <n v="297692.30769230769"/>
    <s v="5-speed"/>
  </r>
  <r>
    <d v="2025-06-17T00:00:00"/>
    <x v="1"/>
    <x v="19"/>
    <x v="0"/>
    <x v="0"/>
    <x v="0"/>
    <n v="269000"/>
    <n v="1"/>
    <n v="269000"/>
    <x v="2"/>
    <x v="0"/>
    <s v="Single cylinder"/>
    <s v="liquid-cooled"/>
    <x v="0"/>
    <s v="Mid-range"/>
    <n v="199259.25925925924"/>
    <s v="6-speed"/>
  </r>
  <r>
    <d v="2025-07-03T00:00:00"/>
    <x v="0"/>
    <x v="9"/>
    <x v="0"/>
    <x v="1"/>
    <x v="15"/>
    <n v="345000"/>
    <n v="3"/>
    <n v="1035000"/>
    <x v="2"/>
    <x v="8"/>
    <s v="Parallel-twin"/>
    <s v="liquid-cooled"/>
    <x v="15"/>
    <s v="Premium"/>
    <n v="739285.71428571432"/>
    <s v="6-speed"/>
  </r>
  <r>
    <d v="2025-07-18T00:00:00"/>
    <x v="0"/>
    <x v="23"/>
    <x v="0"/>
    <x v="0"/>
    <x v="35"/>
    <n v="199000"/>
    <n v="20"/>
    <n v="3980000"/>
    <x v="1"/>
    <x v="12"/>
    <s v="Single cylinder"/>
    <s v="air-cooled"/>
    <x v="24"/>
    <s v="Mid-range"/>
    <n v="2948148.1481481479"/>
    <s v="6-speed"/>
  </r>
  <r>
    <d v="2025-08-15T00:00:00"/>
    <x v="2"/>
    <x v="1"/>
    <x v="0"/>
    <x v="1"/>
    <x v="26"/>
    <n v="320000"/>
    <n v="27"/>
    <n v="8640000"/>
    <x v="0"/>
    <x v="3"/>
    <s v="Single cylinder"/>
    <s v="liquid-cooled"/>
    <x v="18"/>
    <s v="Mid-range"/>
    <n v="6400000"/>
    <s v="6-speed"/>
  </r>
  <r>
    <d v="2025-07-29T00:00:00"/>
    <x v="0"/>
    <x v="16"/>
    <x v="0"/>
    <x v="0"/>
    <x v="22"/>
    <n v="284900"/>
    <n v="2"/>
    <n v="569800"/>
    <x v="1"/>
    <x v="12"/>
    <s v="Single cylinder"/>
    <s v="liquid-cooled"/>
    <x v="16"/>
    <s v="Mid-range"/>
    <n v="422074.07407407404"/>
    <s v="6-speed"/>
  </r>
  <r>
    <d v="2025-08-25T00:00:00"/>
    <x v="2"/>
    <x v="20"/>
    <x v="0"/>
    <x v="0"/>
    <x v="4"/>
    <n v="124000"/>
    <n v="9"/>
    <n v="1116000"/>
    <x v="0"/>
    <x v="2"/>
    <s v="Single cylinder"/>
    <s v="liquid-cooled"/>
    <x v="4"/>
    <s v="Entry-level"/>
    <n v="858461.53846153838"/>
    <s v="CVT"/>
  </r>
  <r>
    <d v="2025-06-22T00:00:00"/>
    <x v="1"/>
    <x v="0"/>
    <x v="0"/>
    <x v="0"/>
    <x v="15"/>
    <n v="345000"/>
    <n v="49"/>
    <n v="16905000"/>
    <x v="0"/>
    <x v="8"/>
    <s v="Parallel-twin"/>
    <s v="liquid-cooled"/>
    <x v="15"/>
    <s v="Premium"/>
    <n v="12075000.000000002"/>
    <s v="6-speed"/>
  </r>
  <r>
    <d v="2025-06-30T00:00:00"/>
    <x v="1"/>
    <x v="12"/>
    <x v="0"/>
    <x v="1"/>
    <x v="27"/>
    <n v="48000"/>
    <n v="45"/>
    <n v="2160000"/>
    <x v="1"/>
    <x v="13"/>
    <s v="Single cylinder"/>
    <s v="air-cooled"/>
    <x v="10"/>
    <s v="Entry-level"/>
    <n v="1661538.4615384615"/>
    <s v="4-speed"/>
  </r>
  <r>
    <d v="2025-07-08T00:00:00"/>
    <x v="0"/>
    <x v="13"/>
    <x v="0"/>
    <x v="1"/>
    <x v="18"/>
    <n v="68900"/>
    <n v="15"/>
    <n v="1033500"/>
    <x v="2"/>
    <x v="10"/>
    <s v="Single cylinder"/>
    <s v="air-cooled"/>
    <x v="1"/>
    <s v="Entry-level"/>
    <n v="795000"/>
    <s v="5-speed"/>
  </r>
  <r>
    <d v="2025-07-21T00:00:00"/>
    <x v="0"/>
    <x v="4"/>
    <x v="0"/>
    <x v="1"/>
    <x v="2"/>
    <n v="289000"/>
    <n v="2"/>
    <n v="578000"/>
    <x v="2"/>
    <x v="2"/>
    <s v="Single cylinder"/>
    <s v="liquid-cooled"/>
    <x v="2"/>
    <s v="Entry-level"/>
    <n v="444615.38461538462"/>
    <s v="CVT"/>
  </r>
  <r>
    <d v="2025-07-24T00:00:00"/>
    <x v="0"/>
    <x v="8"/>
    <x v="0"/>
    <x v="0"/>
    <x v="24"/>
    <n v="119900"/>
    <n v="9"/>
    <n v="1079100"/>
    <x v="2"/>
    <x v="9"/>
    <s v="Single cylinder"/>
    <s v="liquid-cooled"/>
    <x v="12"/>
    <s v="Entry-level"/>
    <n v="830076.92307692312"/>
    <s v="6-speed"/>
  </r>
  <r>
    <d v="2025-06-08T00:00:00"/>
    <x v="1"/>
    <x v="13"/>
    <x v="0"/>
    <x v="1"/>
    <x v="49"/>
    <n v="250000"/>
    <n v="1"/>
    <n v="250000"/>
    <x v="2"/>
    <x v="16"/>
    <s v="Single cylinder"/>
    <s v="air-cooled"/>
    <x v="30"/>
    <s v="Mid-range"/>
    <n v="185185.18518518517"/>
    <s v="5-speed"/>
  </r>
  <r>
    <d v="2025-06-27T00:00:00"/>
    <x v="1"/>
    <x v="7"/>
    <x v="0"/>
    <x v="0"/>
    <x v="40"/>
    <n v="340000"/>
    <n v="2"/>
    <n v="680000"/>
    <x v="1"/>
    <x v="7"/>
    <s v="Parallel-twin"/>
    <s v="liquid-cooled"/>
    <x v="25"/>
    <s v="Mid-range"/>
    <n v="503703.70370370365"/>
    <s v="6-speed"/>
  </r>
  <r>
    <d v="2025-06-27T00:00:00"/>
    <x v="1"/>
    <x v="7"/>
    <x v="0"/>
    <x v="0"/>
    <x v="43"/>
    <n v="178000"/>
    <n v="14"/>
    <n v="2492000"/>
    <x v="0"/>
    <x v="5"/>
    <s v="Single cylinder"/>
    <s v="liquid-cooled"/>
    <x v="27"/>
    <s v="Entry-level"/>
    <n v="1916923.0769230768"/>
    <s v="6-speed"/>
  </r>
  <r>
    <d v="2025-06-21T00:00:00"/>
    <x v="1"/>
    <x v="4"/>
    <x v="0"/>
    <x v="0"/>
    <x v="36"/>
    <n v="67900"/>
    <n v="20"/>
    <n v="1358000"/>
    <x v="1"/>
    <x v="13"/>
    <s v="Single cylinder"/>
    <s v="air-cooled"/>
    <x v="10"/>
    <s v="Entry-level"/>
    <n v="1044615.3846153845"/>
    <s v="4-speed"/>
  </r>
  <r>
    <d v="2025-06-30T00:00:00"/>
    <x v="1"/>
    <x v="12"/>
    <x v="0"/>
    <x v="0"/>
    <x v="46"/>
    <n v="650000"/>
    <n v="38"/>
    <n v="24700000"/>
    <x v="2"/>
    <x v="14"/>
    <s v="Parallel-twin"/>
    <s v="liquid-cooled"/>
    <x v="29"/>
    <s v="Premium"/>
    <n v="17642857.142857146"/>
    <s v="6-speed"/>
  </r>
  <r>
    <d v="2025-06-28T00:00:00"/>
    <x v="1"/>
    <x v="14"/>
    <x v="0"/>
    <x v="0"/>
    <x v="12"/>
    <n v="210000"/>
    <n v="46"/>
    <n v="9660000"/>
    <x v="1"/>
    <x v="2"/>
    <s v="Single cylinder"/>
    <s v="air-cooled"/>
    <x v="12"/>
    <s v="Entry-level"/>
    <n v="7430769.2307692301"/>
    <s v="CVT"/>
  </r>
  <r>
    <d v="2025-08-03T00:00:00"/>
    <x v="2"/>
    <x v="9"/>
    <x v="0"/>
    <x v="0"/>
    <x v="18"/>
    <n v="68900"/>
    <n v="16"/>
    <n v="1102400"/>
    <x v="1"/>
    <x v="10"/>
    <s v="Single cylinder"/>
    <s v="air-cooled"/>
    <x v="1"/>
    <s v="Entry-level"/>
    <n v="848000"/>
    <s v="5-speed"/>
  </r>
  <r>
    <d v="2025-07-30T00:00:00"/>
    <x v="0"/>
    <x v="12"/>
    <x v="0"/>
    <x v="0"/>
    <x v="0"/>
    <n v="269000"/>
    <n v="9"/>
    <n v="2421000"/>
    <x v="1"/>
    <x v="0"/>
    <s v="Single cylinder"/>
    <s v="liquid-cooled"/>
    <x v="0"/>
    <s v="Mid-range"/>
    <n v="1793333.3333333333"/>
    <s v="6-speed"/>
  </r>
  <r>
    <d v="2025-07-31T00:00:00"/>
    <x v="0"/>
    <x v="3"/>
    <x v="0"/>
    <x v="1"/>
    <x v="5"/>
    <n v="199900"/>
    <n v="10"/>
    <n v="1999000"/>
    <x v="0"/>
    <x v="4"/>
    <s v="Single cylinder"/>
    <s v="liquid-cooled"/>
    <x v="5"/>
    <s v="Mid-range"/>
    <n v="1480740.7407407407"/>
    <s v="6-speed"/>
  </r>
  <r>
    <d v="2025-07-18T00:00:00"/>
    <x v="0"/>
    <x v="23"/>
    <x v="0"/>
    <x v="1"/>
    <x v="35"/>
    <n v="199000"/>
    <n v="1"/>
    <n v="199000"/>
    <x v="1"/>
    <x v="12"/>
    <s v="Single cylinder"/>
    <s v="air-cooled"/>
    <x v="24"/>
    <s v="Mid-range"/>
    <n v="147407.40740740739"/>
    <s v="6-speed"/>
  </r>
  <r>
    <d v="2025-06-19T00:00:00"/>
    <x v="1"/>
    <x v="15"/>
    <x v="0"/>
    <x v="1"/>
    <x v="20"/>
    <n v="319000"/>
    <n v="10"/>
    <n v="3190000"/>
    <x v="0"/>
    <x v="2"/>
    <s v="Single cylinder"/>
    <s v="liquid-cooled"/>
    <x v="11"/>
    <s v="Mid-range"/>
    <n v="2362962.9629629627"/>
    <s v="CVT"/>
  </r>
  <r>
    <d v="2025-06-04T00:00:00"/>
    <x v="1"/>
    <x v="24"/>
    <x v="0"/>
    <x v="0"/>
    <x v="15"/>
    <n v="345000"/>
    <n v="9"/>
    <n v="3105000"/>
    <x v="2"/>
    <x v="8"/>
    <s v="Parallel-twin"/>
    <s v="liquid-cooled"/>
    <x v="15"/>
    <s v="Premium"/>
    <n v="2217857.1428571432"/>
    <s v="6-speed"/>
  </r>
  <r>
    <d v="2025-07-05T00:00:00"/>
    <x v="0"/>
    <x v="26"/>
    <x v="0"/>
    <x v="1"/>
    <x v="17"/>
    <n v="125900"/>
    <n v="18"/>
    <n v="2266200"/>
    <x v="1"/>
    <x v="9"/>
    <s v="Single cylinder"/>
    <s v="liquid-cooled"/>
    <x v="4"/>
    <s v="Entry-level"/>
    <n v="1743230.7692307692"/>
    <s v="6-speed"/>
  </r>
  <r>
    <d v="2025-08-03T00:00:00"/>
    <x v="2"/>
    <x v="9"/>
    <x v="0"/>
    <x v="1"/>
    <x v="25"/>
    <n v="79900"/>
    <n v="20"/>
    <n v="1598000"/>
    <x v="1"/>
    <x v="2"/>
    <s v="Single cylinder"/>
    <s v="air-cooled"/>
    <x v="14"/>
    <s v="Entry-level"/>
    <n v="1229230.7692307692"/>
    <s v="CVT"/>
  </r>
  <r>
    <d v="2025-07-19T00:00:00"/>
    <x v="0"/>
    <x v="15"/>
    <x v="0"/>
    <x v="1"/>
    <x v="34"/>
    <n v="78900"/>
    <n v="32"/>
    <n v="2524800"/>
    <x v="1"/>
    <x v="3"/>
    <s v="Single cylinder"/>
    <s v="oil-cooled"/>
    <x v="23"/>
    <s v="Mid-range"/>
    <n v="1870222.222222222"/>
    <s v="6-speed"/>
  </r>
  <r>
    <d v="2025-06-17T00:00:00"/>
    <x v="1"/>
    <x v="19"/>
    <x v="0"/>
    <x v="0"/>
    <x v="3"/>
    <n v="248000"/>
    <n v="15"/>
    <n v="3720000"/>
    <x v="1"/>
    <x v="3"/>
    <s v="Single cylinder"/>
    <s v="liquid-cooled"/>
    <x v="3"/>
    <s v="Mid-range"/>
    <n v="2755555.555555555"/>
    <s v="6-speed"/>
  </r>
  <r>
    <d v="2025-07-14T00:00:00"/>
    <x v="0"/>
    <x v="6"/>
    <x v="0"/>
    <x v="1"/>
    <x v="46"/>
    <n v="650000"/>
    <n v="8"/>
    <n v="5200000"/>
    <x v="0"/>
    <x v="14"/>
    <s v="Parallel-twin"/>
    <s v="liquid-cooled"/>
    <x v="29"/>
    <s v="Premium"/>
    <n v="3714285.7142857146"/>
    <s v="6-speed"/>
  </r>
  <r>
    <d v="2025-08-31T00:00:00"/>
    <x v="2"/>
    <x v="3"/>
    <x v="0"/>
    <x v="0"/>
    <x v="38"/>
    <n v="398000"/>
    <n v="43"/>
    <n v="17114000"/>
    <x v="0"/>
    <x v="14"/>
    <s v="Parallel-twin"/>
    <s v="liquid-cooled"/>
    <x v="15"/>
    <s v="Premium"/>
    <n v="12224285.714285716"/>
    <s v="6-speed"/>
  </r>
  <r>
    <d v="2025-06-30T00:00:00"/>
    <x v="1"/>
    <x v="12"/>
    <x v="0"/>
    <x v="1"/>
    <x v="18"/>
    <n v="68900"/>
    <n v="26"/>
    <n v="1791400"/>
    <x v="2"/>
    <x v="10"/>
    <s v="Single cylinder"/>
    <s v="air-cooled"/>
    <x v="1"/>
    <s v="Entry-level"/>
    <n v="1378000"/>
    <s v="5-speed"/>
  </r>
  <r>
    <d v="2025-07-16T00:00:00"/>
    <x v="0"/>
    <x v="30"/>
    <x v="0"/>
    <x v="1"/>
    <x v="24"/>
    <n v="119900"/>
    <n v="16"/>
    <n v="1918400"/>
    <x v="2"/>
    <x v="9"/>
    <s v="Single cylinder"/>
    <s v="liquid-cooled"/>
    <x v="12"/>
    <s v="Entry-level"/>
    <n v="1475692.3076923077"/>
    <s v="6-speed"/>
  </r>
  <r>
    <d v="2025-06-06T00:00:00"/>
    <x v="1"/>
    <x v="28"/>
    <x v="0"/>
    <x v="0"/>
    <x v="3"/>
    <n v="248000"/>
    <n v="10"/>
    <n v="2480000"/>
    <x v="0"/>
    <x v="3"/>
    <s v="Single cylinder"/>
    <s v="liquid-cooled"/>
    <x v="3"/>
    <s v="Mid-range"/>
    <n v="1837037.0370370368"/>
    <s v="6-speed"/>
  </r>
  <r>
    <d v="2025-07-07T00:00:00"/>
    <x v="0"/>
    <x v="21"/>
    <x v="0"/>
    <x v="1"/>
    <x v="25"/>
    <n v="79900"/>
    <n v="42"/>
    <n v="3355800"/>
    <x v="2"/>
    <x v="2"/>
    <s v="Single cylinder"/>
    <s v="air-cooled"/>
    <x v="14"/>
    <s v="Entry-level"/>
    <n v="2581384.6153846155"/>
    <s v="CVT"/>
  </r>
  <r>
    <d v="2025-06-24T00:00:00"/>
    <x v="1"/>
    <x v="8"/>
    <x v="0"/>
    <x v="0"/>
    <x v="21"/>
    <n v="389000"/>
    <n v="4"/>
    <n v="1556000"/>
    <x v="1"/>
    <x v="7"/>
    <s v="Parallel-twin"/>
    <s v="liquid-cooled"/>
    <x v="9"/>
    <s v="Mid-range"/>
    <n v="1152592.5925925926"/>
    <s v="6-speed"/>
  </r>
  <r>
    <d v="2025-07-16T00:00:00"/>
    <x v="0"/>
    <x v="30"/>
    <x v="0"/>
    <x v="1"/>
    <x v="0"/>
    <n v="269000"/>
    <n v="5"/>
    <n v="1345000"/>
    <x v="1"/>
    <x v="0"/>
    <s v="Single cylinder"/>
    <s v="liquid-cooled"/>
    <x v="0"/>
    <s v="Mid-range"/>
    <n v="996296.29629629618"/>
    <s v="6-speed"/>
  </r>
  <r>
    <d v="2025-07-23T00:00:00"/>
    <x v="0"/>
    <x v="10"/>
    <x v="0"/>
    <x v="0"/>
    <x v="38"/>
    <n v="398000"/>
    <n v="9"/>
    <n v="3582000"/>
    <x v="1"/>
    <x v="14"/>
    <s v="Parallel-twin"/>
    <s v="liquid-cooled"/>
    <x v="15"/>
    <s v="Premium"/>
    <n v="2558571.4285714291"/>
    <s v="6-speed"/>
  </r>
  <r>
    <d v="2025-07-30T00:00:00"/>
    <x v="0"/>
    <x v="12"/>
    <x v="0"/>
    <x v="1"/>
    <x v="23"/>
    <n v="125000"/>
    <n v="4"/>
    <n v="500000"/>
    <x v="0"/>
    <x v="5"/>
    <s v="Single cylinder"/>
    <s v="liquid-cooled"/>
    <x v="17"/>
    <s v="Entry-level"/>
    <n v="384615.38461538462"/>
    <s v="6-speed"/>
  </r>
  <r>
    <d v="2025-08-02T00:00:00"/>
    <x v="2"/>
    <x v="11"/>
    <x v="0"/>
    <x v="1"/>
    <x v="40"/>
    <n v="340000"/>
    <n v="4"/>
    <n v="1360000"/>
    <x v="0"/>
    <x v="7"/>
    <s v="Parallel-twin"/>
    <s v="liquid-cooled"/>
    <x v="25"/>
    <s v="Mid-range"/>
    <n v="1007407.4074074073"/>
    <s v="6-speed"/>
  </r>
  <r>
    <d v="2025-08-24T00:00:00"/>
    <x v="2"/>
    <x v="8"/>
    <x v="0"/>
    <x v="1"/>
    <x v="32"/>
    <n v="219000"/>
    <n v="1"/>
    <n v="219000"/>
    <x v="0"/>
    <x v="2"/>
    <s v="Single cylinder"/>
    <s v="liquid-cooled"/>
    <x v="22"/>
    <s v="Entry-level"/>
    <n v="168461.53846153847"/>
    <s v="CVT"/>
  </r>
  <r>
    <d v="2025-07-02T00:00:00"/>
    <x v="0"/>
    <x v="11"/>
    <x v="0"/>
    <x v="0"/>
    <x v="7"/>
    <n v="398000"/>
    <n v="13"/>
    <n v="5174000"/>
    <x v="0"/>
    <x v="2"/>
    <s v="Single cylinder"/>
    <s v="liquid-cooled"/>
    <x v="7"/>
    <s v="Mid-range"/>
    <n v="3832592.5925925919"/>
    <s v="CVT"/>
  </r>
  <r>
    <d v="2025-08-26T00:00:00"/>
    <x v="2"/>
    <x v="5"/>
    <x v="0"/>
    <x v="1"/>
    <x v="35"/>
    <n v="199000"/>
    <n v="50"/>
    <n v="9950000"/>
    <x v="1"/>
    <x v="12"/>
    <s v="Single cylinder"/>
    <s v="air-cooled"/>
    <x v="24"/>
    <s v="Mid-range"/>
    <n v="7370370.3703703694"/>
    <s v="6-speed"/>
  </r>
  <r>
    <d v="2025-07-03T00:00:00"/>
    <x v="0"/>
    <x v="9"/>
    <x v="0"/>
    <x v="1"/>
    <x v="16"/>
    <n v="178000"/>
    <n v="1"/>
    <n v="178000"/>
    <x v="1"/>
    <x v="5"/>
    <s v="Single cylinder"/>
    <s v="liquid-cooled"/>
    <x v="4"/>
    <s v="Entry-level"/>
    <n v="136923.07692307691"/>
    <s v="6-speed"/>
  </r>
  <r>
    <d v="2025-08-06T00:00:00"/>
    <x v="2"/>
    <x v="28"/>
    <x v="0"/>
    <x v="1"/>
    <x v="20"/>
    <n v="319000"/>
    <n v="7"/>
    <n v="2233000"/>
    <x v="1"/>
    <x v="2"/>
    <s v="Single cylinder"/>
    <s v="liquid-cooled"/>
    <x v="11"/>
    <s v="Mid-range"/>
    <n v="1654074.0740740742"/>
    <s v="CVT"/>
  </r>
  <r>
    <d v="2025-06-18T00:00:00"/>
    <x v="1"/>
    <x v="23"/>
    <x v="0"/>
    <x v="0"/>
    <x v="40"/>
    <n v="340000"/>
    <n v="16"/>
    <n v="5440000"/>
    <x v="2"/>
    <x v="7"/>
    <s v="Parallel-twin"/>
    <s v="liquid-cooled"/>
    <x v="25"/>
    <s v="Mid-range"/>
    <n v="4029629.6296296292"/>
    <s v="6-speed"/>
  </r>
  <r>
    <d v="2025-06-25T00:00:00"/>
    <x v="1"/>
    <x v="20"/>
    <x v="0"/>
    <x v="1"/>
    <x v="19"/>
    <n v="295000"/>
    <n v="50"/>
    <n v="14750000"/>
    <x v="1"/>
    <x v="11"/>
    <s v="Single cylinder"/>
    <s v="liquid-cooled"/>
    <x v="5"/>
    <s v="Mid-range"/>
    <n v="10925925.925925925"/>
    <s v="6-speed"/>
  </r>
  <r>
    <d v="2025-07-24T00:00:00"/>
    <x v="0"/>
    <x v="8"/>
    <x v="0"/>
    <x v="1"/>
    <x v="10"/>
    <n v="80900"/>
    <n v="19"/>
    <n v="1537100"/>
    <x v="0"/>
    <x v="2"/>
    <s v="Single cylinder"/>
    <s v="liquid-cooled"/>
    <x v="10"/>
    <s v="Entry-level"/>
    <n v="1182384.6153846153"/>
    <s v="CVT"/>
  </r>
  <r>
    <d v="2025-07-28T00:00:00"/>
    <x v="0"/>
    <x v="14"/>
    <x v="0"/>
    <x v="1"/>
    <x v="5"/>
    <n v="199900"/>
    <n v="46"/>
    <n v="9195400"/>
    <x v="0"/>
    <x v="4"/>
    <s v="Single cylinder"/>
    <s v="liquid-cooled"/>
    <x v="5"/>
    <s v="Mid-range"/>
    <n v="6811407.4074074076"/>
    <s v="6-speed"/>
  </r>
  <r>
    <d v="2025-08-06T00:00:00"/>
    <x v="2"/>
    <x v="28"/>
    <x v="0"/>
    <x v="1"/>
    <x v="25"/>
    <n v="79900"/>
    <n v="13"/>
    <n v="1038700"/>
    <x v="1"/>
    <x v="2"/>
    <s v="Single cylinder"/>
    <s v="air-cooled"/>
    <x v="14"/>
    <s v="Entry-level"/>
    <n v="799000"/>
    <s v="CVT"/>
  </r>
  <r>
    <d v="2025-07-16T00:00:00"/>
    <x v="0"/>
    <x v="30"/>
    <x v="0"/>
    <x v="1"/>
    <x v="41"/>
    <n v="299000"/>
    <n v="8"/>
    <n v="2392000"/>
    <x v="1"/>
    <x v="12"/>
    <s v="Single cylinder"/>
    <s v="air-cooled"/>
    <x v="26"/>
    <s v="Mid-range"/>
    <n v="1771851.8518518517"/>
    <s v="5-speed"/>
  </r>
  <r>
    <d v="2025-06-24T00:00:00"/>
    <x v="1"/>
    <x v="8"/>
    <x v="0"/>
    <x v="1"/>
    <x v="41"/>
    <n v="299000"/>
    <n v="29"/>
    <n v="8671000"/>
    <x v="2"/>
    <x v="12"/>
    <s v="Single cylinder"/>
    <s v="air-cooled"/>
    <x v="26"/>
    <s v="Mid-range"/>
    <n v="6422962.9629629627"/>
    <s v="5-speed"/>
  </r>
  <r>
    <d v="2025-07-02T00:00:00"/>
    <x v="0"/>
    <x v="11"/>
    <x v="0"/>
    <x v="0"/>
    <x v="5"/>
    <n v="199900"/>
    <n v="6"/>
    <n v="1199400"/>
    <x v="1"/>
    <x v="4"/>
    <s v="Single cylinder"/>
    <s v="liquid-cooled"/>
    <x v="5"/>
    <s v="Mid-range"/>
    <n v="888444.4444444445"/>
    <s v="6-speed"/>
  </r>
  <r>
    <d v="2025-07-17T00:00:00"/>
    <x v="0"/>
    <x v="19"/>
    <x v="0"/>
    <x v="1"/>
    <x v="30"/>
    <n v="995000"/>
    <n v="26"/>
    <n v="25870000"/>
    <x v="1"/>
    <x v="6"/>
    <s v="Flat twin"/>
    <s v="air"/>
    <x v="20"/>
    <s v="Premium"/>
    <n v="18478571.428571429"/>
    <n v="0"/>
  </r>
  <r>
    <d v="2025-08-25T00:00:00"/>
    <x v="2"/>
    <x v="20"/>
    <x v="0"/>
    <x v="0"/>
    <x v="46"/>
    <n v="650000"/>
    <n v="50"/>
    <n v="32500000"/>
    <x v="0"/>
    <x v="14"/>
    <s v="Parallel-twin"/>
    <s v="liquid-cooled"/>
    <x v="29"/>
    <s v="Premium"/>
    <n v="23214285.714285716"/>
    <s v="6-speed"/>
  </r>
  <r>
    <d v="2025-06-23T00:00:00"/>
    <x v="1"/>
    <x v="10"/>
    <x v="0"/>
    <x v="1"/>
    <x v="35"/>
    <n v="199000"/>
    <n v="8"/>
    <n v="1592000"/>
    <x v="2"/>
    <x v="12"/>
    <s v="Single cylinder"/>
    <s v="air-cooled"/>
    <x v="24"/>
    <s v="Mid-range"/>
    <n v="1179259.2592592591"/>
    <s v="6-speed"/>
  </r>
  <r>
    <d v="2025-08-05T00:00:00"/>
    <x v="2"/>
    <x v="26"/>
    <x v="0"/>
    <x v="0"/>
    <x v="3"/>
    <n v="248000"/>
    <n v="18"/>
    <n v="4464000"/>
    <x v="2"/>
    <x v="3"/>
    <s v="Single cylinder"/>
    <s v="liquid-cooled"/>
    <x v="3"/>
    <s v="Mid-range"/>
    <n v="3306666.666666666"/>
    <s v="6-speed"/>
  </r>
  <r>
    <d v="2025-06-27T00:00:00"/>
    <x v="1"/>
    <x v="7"/>
    <x v="0"/>
    <x v="0"/>
    <x v="47"/>
    <n v="182000"/>
    <n v="21"/>
    <n v="3822000"/>
    <x v="0"/>
    <x v="15"/>
    <s v="Single cylinder"/>
    <s v="liquid-cooled"/>
    <x v="4"/>
    <s v="Entry-level"/>
    <n v="2940000"/>
    <s v="6-speed"/>
  </r>
  <r>
    <d v="2025-06-02T00:00:00"/>
    <x v="1"/>
    <x v="11"/>
    <x v="0"/>
    <x v="1"/>
    <x v="16"/>
    <n v="178000"/>
    <n v="1"/>
    <n v="178000"/>
    <x v="2"/>
    <x v="5"/>
    <s v="Single cylinder"/>
    <s v="liquid-cooled"/>
    <x v="4"/>
    <s v="Entry-level"/>
    <n v="136923.07692307691"/>
    <s v="6-speed"/>
  </r>
  <r>
    <d v="2025-08-29T00:00:00"/>
    <x v="2"/>
    <x v="16"/>
    <x v="0"/>
    <x v="0"/>
    <x v="44"/>
    <n v="165000"/>
    <n v="15"/>
    <n v="2475000"/>
    <x v="0"/>
    <x v="5"/>
    <s v="Single cylinder"/>
    <s v="liquid-cooled"/>
    <x v="11"/>
    <s v="Mid-range"/>
    <n v="1833333.3333333333"/>
    <s v="6-speed"/>
  </r>
  <r>
    <d v="2025-06-17T00:00:00"/>
    <x v="1"/>
    <x v="19"/>
    <x v="0"/>
    <x v="1"/>
    <x v="28"/>
    <n v="128000"/>
    <n v="15"/>
    <n v="1920000"/>
    <x v="0"/>
    <x v="2"/>
    <s v="Single cylinder"/>
    <s v="liquid-cooled"/>
    <x v="1"/>
    <s v="Entry-level"/>
    <n v="1476923.0769230768"/>
    <s v="CVT"/>
  </r>
  <r>
    <d v="2025-07-03T00:00:00"/>
    <x v="0"/>
    <x v="9"/>
    <x v="0"/>
    <x v="0"/>
    <x v="22"/>
    <n v="284900"/>
    <n v="12"/>
    <n v="3418800"/>
    <x v="1"/>
    <x v="12"/>
    <s v="Single cylinder"/>
    <s v="liquid-cooled"/>
    <x v="16"/>
    <s v="Mid-range"/>
    <n v="2532444.444444444"/>
    <s v="6-speed"/>
  </r>
  <r>
    <d v="2025-01-01T00:00:00"/>
    <x v="3"/>
    <x v="18"/>
    <x v="0"/>
    <x v="1"/>
    <x v="14"/>
    <n v="80900"/>
    <n v="47"/>
    <n v="3802300"/>
    <x v="1"/>
    <x v="2"/>
    <s v="Single cylinder"/>
    <s v="air-cooled"/>
    <x v="14"/>
    <s v="Entry-level"/>
    <n v="2924846.1538461535"/>
    <s v="CVT"/>
  </r>
  <r>
    <d v="2025-07-13T00:00:00"/>
    <x v="0"/>
    <x v="29"/>
    <x v="0"/>
    <x v="1"/>
    <x v="19"/>
    <n v="295000"/>
    <n v="4"/>
    <n v="1180000"/>
    <x v="2"/>
    <x v="11"/>
    <s v="Single cylinder"/>
    <s v="liquid-cooled"/>
    <x v="5"/>
    <s v="Mid-range"/>
    <n v="874074.07407407404"/>
    <s v="6-speed"/>
  </r>
  <r>
    <d v="2025-07-18T00:00:00"/>
    <x v="0"/>
    <x v="23"/>
    <x v="0"/>
    <x v="0"/>
    <x v="1"/>
    <n v="99900"/>
    <n v="29"/>
    <n v="2897100"/>
    <x v="0"/>
    <x v="1"/>
    <s v="Single cylinder"/>
    <s v="air-cooled"/>
    <x v="1"/>
    <s v="Entry-level"/>
    <n v="2228538.4615384615"/>
    <s v="5-speed"/>
  </r>
  <r>
    <d v="2025-07-09T00:00:00"/>
    <x v="0"/>
    <x v="22"/>
    <x v="0"/>
    <x v="1"/>
    <x v="45"/>
    <n v="129000"/>
    <n v="37"/>
    <n v="4773000"/>
    <x v="1"/>
    <x v="5"/>
    <s v="Single cylinder"/>
    <s v="oil-cooled"/>
    <x v="28"/>
    <s v="Entry-level"/>
    <n v="3671538.4615384615"/>
    <s v="5-speed"/>
  </r>
  <r>
    <d v="2025-07-12T00:00:00"/>
    <x v="0"/>
    <x v="17"/>
    <x v="0"/>
    <x v="1"/>
    <x v="13"/>
    <n v="164900"/>
    <n v="48"/>
    <n v="7915200"/>
    <x v="1"/>
    <x v="2"/>
    <s v="Single cylinder"/>
    <s v="liquid-cooled"/>
    <x v="13"/>
    <s v="Entry-level"/>
    <n v="6088615.384615384"/>
    <s v="CVT"/>
  </r>
  <r>
    <d v="2025-06-26T00:00:00"/>
    <x v="1"/>
    <x v="5"/>
    <x v="0"/>
    <x v="0"/>
    <x v="7"/>
    <n v="398000"/>
    <n v="18"/>
    <n v="7164000"/>
    <x v="1"/>
    <x v="2"/>
    <s v="Single cylinder"/>
    <s v="liquid-cooled"/>
    <x v="7"/>
    <s v="Mid-range"/>
    <n v="5306666.666666666"/>
    <s v="CVT"/>
  </r>
  <r>
    <d v="2025-07-20T00:00:00"/>
    <x v="0"/>
    <x v="27"/>
    <x v="0"/>
    <x v="0"/>
    <x v="32"/>
    <n v="219000"/>
    <n v="7"/>
    <n v="1533000"/>
    <x v="1"/>
    <x v="2"/>
    <s v="Single cylinder"/>
    <s v="liquid-cooled"/>
    <x v="22"/>
    <s v="Entry-level"/>
    <n v="1179230.7692307692"/>
    <s v="CVT"/>
  </r>
  <r>
    <d v="2025-06-25T00:00:00"/>
    <x v="1"/>
    <x v="20"/>
    <x v="0"/>
    <x v="1"/>
    <x v="19"/>
    <n v="295000"/>
    <n v="12"/>
    <n v="3540000"/>
    <x v="1"/>
    <x v="11"/>
    <s v="Single cylinder"/>
    <s v="liquid-cooled"/>
    <x v="5"/>
    <s v="Mid-range"/>
    <n v="2622222.222222222"/>
    <s v="6-speed"/>
  </r>
  <r>
    <d v="2025-06-24T00:00:00"/>
    <x v="1"/>
    <x v="8"/>
    <x v="0"/>
    <x v="0"/>
    <x v="8"/>
    <n v="689000"/>
    <n v="16"/>
    <n v="11024000"/>
    <x v="2"/>
    <x v="6"/>
    <s v="V-twin"/>
    <s v="air-cooled"/>
    <x v="8"/>
    <s v="Premium"/>
    <n v="7874285.7142857146"/>
    <s v="6-speed"/>
  </r>
  <r>
    <d v="2025-06-13T00:00:00"/>
    <x v="1"/>
    <x v="29"/>
    <x v="0"/>
    <x v="0"/>
    <x v="0"/>
    <n v="269000"/>
    <n v="45"/>
    <n v="12105000"/>
    <x v="1"/>
    <x v="0"/>
    <s v="Single cylinder"/>
    <s v="liquid-cooled"/>
    <x v="0"/>
    <s v="Mid-range"/>
    <n v="8966666.666666666"/>
    <s v="6-speed"/>
  </r>
  <r>
    <d v="2025-07-30T00:00:00"/>
    <x v="0"/>
    <x v="12"/>
    <x v="0"/>
    <x v="1"/>
    <x v="16"/>
    <n v="534000"/>
    <n v="5"/>
    <n v="890000"/>
    <x v="1"/>
    <x v="5"/>
    <s v="Single cylinder"/>
    <s v="liquid-cooled"/>
    <x v="4"/>
    <s v="Entry-level"/>
    <n v="2053846.1538461538"/>
    <s v="6-speed"/>
  </r>
  <r>
    <d v="2025-06-07T00:00:00"/>
    <x v="1"/>
    <x v="21"/>
    <x v="0"/>
    <x v="0"/>
    <x v="21"/>
    <n v="389000"/>
    <n v="11"/>
    <n v="4279000"/>
    <x v="2"/>
    <x v="7"/>
    <s v="Parallel-twin"/>
    <s v="liquid-cooled"/>
    <x v="9"/>
    <s v="Mid-range"/>
    <n v="3169629.6296296297"/>
    <s v="6-speed"/>
  </r>
  <r>
    <d v="2025-07-27T00:00:00"/>
    <x v="0"/>
    <x v="7"/>
    <x v="0"/>
    <x v="0"/>
    <x v="42"/>
    <n v="198000"/>
    <n v="7"/>
    <n v="1386000"/>
    <x v="1"/>
    <x v="7"/>
    <s v="Single cylinder"/>
    <s v="liquid-cooled"/>
    <x v="27"/>
    <s v="Entry-level"/>
    <n v="1066153.8461538462"/>
    <s v="6-speed"/>
  </r>
  <r>
    <d v="2025-07-06T00:00:00"/>
    <x v="0"/>
    <x v="28"/>
    <x v="0"/>
    <x v="1"/>
    <x v="38"/>
    <n v="398000"/>
    <n v="13"/>
    <n v="5174000"/>
    <x v="1"/>
    <x v="14"/>
    <s v="Parallel-twin"/>
    <s v="liquid-cooled"/>
    <x v="15"/>
    <s v="Premium"/>
    <n v="3695714.2857142864"/>
    <s v="6-speed"/>
  </r>
  <r>
    <d v="2025-07-15T00:00:00"/>
    <x v="0"/>
    <x v="1"/>
    <x v="0"/>
    <x v="0"/>
    <x v="23"/>
    <n v="375000"/>
    <n v="24"/>
    <n v="3000000"/>
    <x v="0"/>
    <x v="5"/>
    <s v="Single cylinder"/>
    <s v="liquid-cooled"/>
    <x v="17"/>
    <s v="Entry-level"/>
    <n v="6923076.9230769221"/>
    <s v="6-speed"/>
  </r>
  <r>
    <d v="2025-06-20T00:00:00"/>
    <x v="1"/>
    <x v="27"/>
    <x v="0"/>
    <x v="1"/>
    <x v="49"/>
    <n v="250000"/>
    <n v="7"/>
    <n v="1750000"/>
    <x v="2"/>
    <x v="16"/>
    <s v="Single cylinder"/>
    <s v="air-cooled"/>
    <x v="30"/>
    <s v="Mid-range"/>
    <n v="1296296.2962962962"/>
    <s v="5-speed"/>
  </r>
  <r>
    <d v="2025-08-04T00:00:00"/>
    <x v="2"/>
    <x v="24"/>
    <x v="0"/>
    <x v="0"/>
    <x v="26"/>
    <n v="320000"/>
    <n v="42"/>
    <n v="13440000"/>
    <x v="1"/>
    <x v="3"/>
    <s v="Single cylinder"/>
    <s v="liquid-cooled"/>
    <x v="18"/>
    <s v="Mid-range"/>
    <n v="9955555.5555555541"/>
    <s v="6-speed"/>
  </r>
  <r>
    <d v="2025-06-08T00:00:00"/>
    <x v="1"/>
    <x v="13"/>
    <x v="0"/>
    <x v="0"/>
    <x v="11"/>
    <n v="165000"/>
    <n v="15"/>
    <n v="2475000"/>
    <x v="0"/>
    <x v="7"/>
    <s v="Single cylinder"/>
    <s v="liquid-cooled"/>
    <x v="11"/>
    <s v="Mid-range"/>
    <n v="1833333.3333333333"/>
    <s v="6-speed"/>
  </r>
  <r>
    <d v="2025-06-16T00:00:00"/>
    <x v="1"/>
    <x v="30"/>
    <x v="0"/>
    <x v="1"/>
    <x v="36"/>
    <n v="67900"/>
    <n v="10"/>
    <n v="679000"/>
    <x v="0"/>
    <x v="13"/>
    <s v="Single cylinder"/>
    <s v="air-cooled"/>
    <x v="10"/>
    <s v="Entry-level"/>
    <n v="522307.69230769225"/>
    <s v="4-speed"/>
  </r>
  <r>
    <d v="2025-06-14T00:00:00"/>
    <x v="1"/>
    <x v="6"/>
    <x v="0"/>
    <x v="0"/>
    <x v="38"/>
    <n v="398000"/>
    <n v="12"/>
    <n v="4776000"/>
    <x v="1"/>
    <x v="14"/>
    <s v="Parallel-twin"/>
    <s v="liquid-cooled"/>
    <x v="15"/>
    <s v="Premium"/>
    <n v="3411428.5714285718"/>
    <s v="6-speed"/>
  </r>
  <r>
    <d v="2025-08-15T00:00:00"/>
    <x v="2"/>
    <x v="1"/>
    <x v="0"/>
    <x v="0"/>
    <x v="28"/>
    <n v="128000"/>
    <n v="23"/>
    <n v="2944000"/>
    <x v="2"/>
    <x v="2"/>
    <s v="Single cylinder"/>
    <s v="liquid-cooled"/>
    <x v="1"/>
    <s v="Entry-level"/>
    <n v="2264615.3846153845"/>
    <s v="CVT"/>
  </r>
  <r>
    <d v="2025-08-26T00:00:00"/>
    <x v="2"/>
    <x v="5"/>
    <x v="0"/>
    <x v="1"/>
    <x v="47"/>
    <n v="182000"/>
    <n v="2"/>
    <n v="364000"/>
    <x v="2"/>
    <x v="15"/>
    <s v="Single cylinder"/>
    <s v="liquid-cooled"/>
    <x v="4"/>
    <s v="Entry-level"/>
    <n v="280000"/>
    <s v="6-speed"/>
  </r>
  <r>
    <d v="2025-06-15T00:00:00"/>
    <x v="1"/>
    <x v="1"/>
    <x v="0"/>
    <x v="0"/>
    <x v="1"/>
    <n v="99900"/>
    <n v="16"/>
    <n v="1598400"/>
    <x v="2"/>
    <x v="1"/>
    <s v="Single cylinder"/>
    <s v="air-cooled"/>
    <x v="1"/>
    <s v="Entry-level"/>
    <n v="1229538.4615384615"/>
    <s v="5-speed"/>
  </r>
  <r>
    <d v="2025-08-31T00:00:00"/>
    <x v="2"/>
    <x v="3"/>
    <x v="0"/>
    <x v="0"/>
    <x v="44"/>
    <n v="165000"/>
    <n v="38"/>
    <n v="6270000"/>
    <x v="1"/>
    <x v="5"/>
    <s v="Single cylinder"/>
    <s v="liquid-cooled"/>
    <x v="11"/>
    <s v="Mid-range"/>
    <n v="4644444.444444444"/>
    <s v="6-speed"/>
  </r>
  <r>
    <d v="2025-08-05T00:00:00"/>
    <x v="2"/>
    <x v="26"/>
    <x v="0"/>
    <x v="1"/>
    <x v="5"/>
    <n v="199900"/>
    <n v="7"/>
    <n v="1399300"/>
    <x v="1"/>
    <x v="4"/>
    <s v="Single cylinder"/>
    <s v="liquid-cooled"/>
    <x v="5"/>
    <s v="Mid-range"/>
    <n v="1036518.5185185185"/>
    <s v="6-speed"/>
  </r>
  <r>
    <d v="2025-07-02T00:00:00"/>
    <x v="0"/>
    <x v="11"/>
    <x v="0"/>
    <x v="0"/>
    <x v="4"/>
    <n v="124000"/>
    <n v="31"/>
    <n v="3844000"/>
    <x v="2"/>
    <x v="2"/>
    <s v="Single cylinder"/>
    <s v="liquid-cooled"/>
    <x v="4"/>
    <s v="Entry-level"/>
    <n v="2956923.0769230765"/>
    <s v="CVT"/>
  </r>
  <r>
    <d v="2025-08-26T00:00:00"/>
    <x v="2"/>
    <x v="5"/>
    <x v="0"/>
    <x v="0"/>
    <x v="8"/>
    <n v="689000"/>
    <n v="15"/>
    <n v="10335000"/>
    <x v="2"/>
    <x v="6"/>
    <s v="V-twin"/>
    <s v="air-cooled"/>
    <x v="8"/>
    <s v="Premium"/>
    <n v="7382142.8571428573"/>
    <s v="6-speed"/>
  </r>
  <r>
    <d v="2025-08-02T00:00:00"/>
    <x v="2"/>
    <x v="11"/>
    <x v="0"/>
    <x v="0"/>
    <x v="19"/>
    <n v="295000"/>
    <n v="4"/>
    <n v="1180000"/>
    <x v="2"/>
    <x v="11"/>
    <s v="Single cylinder"/>
    <s v="liquid-cooled"/>
    <x v="5"/>
    <s v="Mid-range"/>
    <n v="874074.07407407404"/>
    <s v="6-speed"/>
  </r>
  <r>
    <d v="2025-08-25T00:00:00"/>
    <x v="2"/>
    <x v="20"/>
    <x v="0"/>
    <x v="1"/>
    <x v="47"/>
    <n v="182000"/>
    <n v="19"/>
    <n v="3458000"/>
    <x v="2"/>
    <x v="15"/>
    <s v="Single cylinder"/>
    <s v="liquid-cooled"/>
    <x v="4"/>
    <s v="Entry-level"/>
    <n v="2660000"/>
    <s v="6-speed"/>
  </r>
  <r>
    <d v="2025-07-21T00:00:00"/>
    <x v="0"/>
    <x v="4"/>
    <x v="0"/>
    <x v="1"/>
    <x v="45"/>
    <n v="129000"/>
    <n v="47"/>
    <n v="6063000"/>
    <x v="1"/>
    <x v="5"/>
    <s v="Single cylinder"/>
    <s v="oil-cooled"/>
    <x v="28"/>
    <s v="Entry-level"/>
    <n v="4663846.153846154"/>
    <s v="5-speed"/>
  </r>
  <r>
    <d v="2025-06-25T00:00:00"/>
    <x v="1"/>
    <x v="20"/>
    <x v="0"/>
    <x v="0"/>
    <x v="12"/>
    <n v="210000"/>
    <n v="1"/>
    <n v="210000"/>
    <x v="0"/>
    <x v="2"/>
    <s v="Single cylinder"/>
    <s v="air-cooled"/>
    <x v="12"/>
    <s v="Entry-level"/>
    <n v="161538.46153846153"/>
    <s v="CVT"/>
  </r>
  <r>
    <d v="2025-07-28T00:00:00"/>
    <x v="0"/>
    <x v="14"/>
    <x v="0"/>
    <x v="0"/>
    <x v="3"/>
    <n v="248000"/>
    <n v="3"/>
    <n v="744000"/>
    <x v="0"/>
    <x v="3"/>
    <s v="Single cylinder"/>
    <s v="liquid-cooled"/>
    <x v="3"/>
    <s v="Mid-range"/>
    <n v="551111.11111111101"/>
    <s v="6-speed"/>
  </r>
  <r>
    <d v="2025-08-02T00:00:00"/>
    <x v="2"/>
    <x v="11"/>
    <x v="0"/>
    <x v="0"/>
    <x v="17"/>
    <n v="125900"/>
    <n v="16"/>
    <n v="2014400"/>
    <x v="1"/>
    <x v="9"/>
    <s v="Single cylinder"/>
    <s v="liquid-cooled"/>
    <x v="4"/>
    <s v="Entry-level"/>
    <n v="1549538.4615384615"/>
    <s v="6-speed"/>
  </r>
  <r>
    <d v="2025-08-01T00:00:00"/>
    <x v="2"/>
    <x v="18"/>
    <x v="0"/>
    <x v="1"/>
    <x v="0"/>
    <n v="269000"/>
    <n v="9"/>
    <n v="2421000"/>
    <x v="0"/>
    <x v="0"/>
    <s v="Single cylinder"/>
    <s v="liquid-cooled"/>
    <x v="0"/>
    <s v="Mid-range"/>
    <n v="1793333.3333333333"/>
    <s v="6-speed"/>
  </r>
  <r>
    <d v="2025-06-22T00:00:00"/>
    <x v="1"/>
    <x v="0"/>
    <x v="0"/>
    <x v="0"/>
    <x v="16"/>
    <n v="178000"/>
    <n v="41"/>
    <n v="7298000"/>
    <x v="0"/>
    <x v="5"/>
    <s v="Single cylinder"/>
    <s v="liquid-cooled"/>
    <x v="4"/>
    <s v="Entry-level"/>
    <n v="5613846.1538461531"/>
    <s v="6-speed"/>
  </r>
  <r>
    <d v="2025-07-28T00:00:00"/>
    <x v="0"/>
    <x v="14"/>
    <x v="0"/>
    <x v="1"/>
    <x v="19"/>
    <n v="295000"/>
    <n v="17"/>
    <n v="5015000"/>
    <x v="1"/>
    <x v="11"/>
    <s v="Single cylinder"/>
    <s v="liquid-cooled"/>
    <x v="5"/>
    <s v="Mid-range"/>
    <n v="3714814.8148148148"/>
    <s v="6-speed"/>
  </r>
  <r>
    <d v="2025-07-28T00:00:00"/>
    <x v="0"/>
    <x v="14"/>
    <x v="0"/>
    <x v="1"/>
    <x v="9"/>
    <n v="328000"/>
    <n v="43"/>
    <n v="14104000"/>
    <x v="2"/>
    <x v="0"/>
    <s v="Twin cylinder"/>
    <s v="air-cooled"/>
    <x v="9"/>
    <s v="Mid-range"/>
    <n v="10447407.407407407"/>
    <s v="6-speed"/>
  </r>
  <r>
    <d v="2025-08-25T00:00:00"/>
    <x v="2"/>
    <x v="20"/>
    <x v="0"/>
    <x v="0"/>
    <x v="3"/>
    <n v="248000"/>
    <n v="44"/>
    <n v="10912000"/>
    <x v="0"/>
    <x v="3"/>
    <s v="Single cylinder"/>
    <s v="liquid-cooled"/>
    <x v="3"/>
    <s v="Mid-range"/>
    <n v="8082962.9629629618"/>
    <s v="6-speed"/>
  </r>
  <r>
    <d v="2025-07-19T00:00:00"/>
    <x v="0"/>
    <x v="15"/>
    <x v="0"/>
    <x v="1"/>
    <x v="18"/>
    <n v="68900"/>
    <n v="1"/>
    <n v="68900"/>
    <x v="1"/>
    <x v="10"/>
    <s v="Single cylinder"/>
    <s v="air-cooled"/>
    <x v="1"/>
    <s v="Entry-level"/>
    <n v="53000"/>
    <s v="5-speed"/>
  </r>
  <r>
    <d v="2025-07-22T00:00:00"/>
    <x v="0"/>
    <x v="0"/>
    <x v="0"/>
    <x v="1"/>
    <x v="46"/>
    <n v="650000"/>
    <n v="3"/>
    <n v="1950000"/>
    <x v="1"/>
    <x v="14"/>
    <s v="Parallel-twin"/>
    <s v="liquid-cooled"/>
    <x v="29"/>
    <s v="Premium"/>
    <n v="1392857.142857143"/>
    <s v="6-speed"/>
  </r>
  <r>
    <d v="2025-07-12T00:00:00"/>
    <x v="0"/>
    <x v="17"/>
    <x v="0"/>
    <x v="0"/>
    <x v="11"/>
    <n v="165000"/>
    <n v="20"/>
    <n v="3300000"/>
    <x v="2"/>
    <x v="7"/>
    <s v="Single cylinder"/>
    <s v="liquid-cooled"/>
    <x v="11"/>
    <s v="Mid-range"/>
    <n v="2444444.4444444445"/>
    <s v="6-speed"/>
  </r>
  <r>
    <d v="2025-08-09T00:00:00"/>
    <x v="2"/>
    <x v="22"/>
    <x v="0"/>
    <x v="0"/>
    <x v="36"/>
    <n v="67900"/>
    <n v="33"/>
    <n v="2240700"/>
    <x v="1"/>
    <x v="13"/>
    <s v="Single cylinder"/>
    <s v="air-cooled"/>
    <x v="10"/>
    <s v="Entry-level"/>
    <n v="1723615.3846153845"/>
    <s v="4-speed"/>
  </r>
  <r>
    <d v="2025-06-15T00:00:00"/>
    <x v="1"/>
    <x v="1"/>
    <x v="0"/>
    <x v="1"/>
    <x v="5"/>
    <n v="199900"/>
    <n v="41"/>
    <n v="8195900"/>
    <x v="2"/>
    <x v="4"/>
    <s v="Single cylinder"/>
    <s v="liquid-cooled"/>
    <x v="5"/>
    <s v="Mid-range"/>
    <n v="6071037.0370370373"/>
    <s v="6-speed"/>
  </r>
  <r>
    <d v="2025-07-24T00:00:00"/>
    <x v="0"/>
    <x v="8"/>
    <x v="0"/>
    <x v="1"/>
    <x v="14"/>
    <n v="80900"/>
    <n v="11"/>
    <n v="889900"/>
    <x v="2"/>
    <x v="2"/>
    <s v="Single cylinder"/>
    <s v="air-cooled"/>
    <x v="14"/>
    <s v="Entry-level"/>
    <n v="684538.4615384615"/>
    <s v="CVT"/>
  </r>
  <r>
    <d v="2025-07-30T00:00:00"/>
    <x v="0"/>
    <x v="12"/>
    <x v="0"/>
    <x v="0"/>
    <x v="6"/>
    <n v="599000"/>
    <n v="20"/>
    <n v="11980000"/>
    <x v="2"/>
    <x v="5"/>
    <s v="Parallel-twin"/>
    <s v="liquid-cooled"/>
    <x v="6"/>
    <s v="Premium"/>
    <n v="8557142.8571428582"/>
    <s v="6-speed"/>
  </r>
  <r>
    <d v="2025-06-08T00:00:00"/>
    <x v="1"/>
    <x v="13"/>
    <x v="0"/>
    <x v="1"/>
    <x v="37"/>
    <n v="331000"/>
    <n v="11"/>
    <n v="3641000"/>
    <x v="1"/>
    <x v="5"/>
    <s v="Parallel-twin"/>
    <s v="liquid-cooled"/>
    <x v="25"/>
    <s v="Mid-range"/>
    <n v="2697037.0370370368"/>
    <s v="6-speed"/>
  </r>
  <r>
    <d v="2025-07-23T00:00:00"/>
    <x v="0"/>
    <x v="10"/>
    <x v="0"/>
    <x v="1"/>
    <x v="9"/>
    <n v="328000"/>
    <n v="11"/>
    <n v="3608000"/>
    <x v="0"/>
    <x v="0"/>
    <s v="Twin cylinder"/>
    <s v="air-cooled"/>
    <x v="9"/>
    <s v="Mid-range"/>
    <n v="2672592.5925925924"/>
    <s v="6-speed"/>
  </r>
  <r>
    <d v="2025-07-30T00:00:00"/>
    <x v="0"/>
    <x v="12"/>
    <x v="0"/>
    <x v="0"/>
    <x v="1"/>
    <n v="99900"/>
    <n v="32"/>
    <n v="3196800"/>
    <x v="0"/>
    <x v="1"/>
    <s v="Single cylinder"/>
    <s v="air-cooled"/>
    <x v="1"/>
    <s v="Entry-level"/>
    <n v="2459076.923076923"/>
    <s v="5-speed"/>
  </r>
  <r>
    <d v="2025-06-05T00:00:00"/>
    <x v="1"/>
    <x v="26"/>
    <x v="0"/>
    <x v="0"/>
    <x v="46"/>
    <n v="650000"/>
    <n v="20"/>
    <n v="13000000"/>
    <x v="0"/>
    <x v="14"/>
    <s v="Parallel-twin"/>
    <s v="liquid-cooled"/>
    <x v="29"/>
    <s v="Premium"/>
    <n v="9285714.2857142873"/>
    <s v="6-speed"/>
  </r>
  <r>
    <d v="2025-08-07T00:00:00"/>
    <x v="2"/>
    <x v="21"/>
    <x v="0"/>
    <x v="0"/>
    <x v="6"/>
    <n v="599000"/>
    <n v="1"/>
    <n v="599000"/>
    <x v="2"/>
    <x v="5"/>
    <s v="Parallel-twin"/>
    <s v="liquid-cooled"/>
    <x v="6"/>
    <s v="Premium"/>
    <n v="427857.1428571429"/>
    <s v="6-speed"/>
  </r>
  <r>
    <d v="2025-06-06T00:00:00"/>
    <x v="1"/>
    <x v="28"/>
    <x v="0"/>
    <x v="1"/>
    <x v="49"/>
    <n v="250000"/>
    <n v="33"/>
    <n v="8250000"/>
    <x v="2"/>
    <x v="16"/>
    <s v="Single cylinder"/>
    <s v="air-cooled"/>
    <x v="30"/>
    <s v="Mid-range"/>
    <n v="6111111.1111111101"/>
    <s v="5-speed"/>
  </r>
  <r>
    <d v="2025-07-17T00:00:00"/>
    <x v="0"/>
    <x v="19"/>
    <x v="0"/>
    <x v="0"/>
    <x v="31"/>
    <n v="499000"/>
    <n v="12"/>
    <n v="5988000"/>
    <x v="1"/>
    <x v="14"/>
    <s v="V-twin"/>
    <s v="liquid-cooled"/>
    <x v="21"/>
    <s v="Premium"/>
    <n v="4277142.8571428582"/>
    <s v="6-speed"/>
  </r>
  <r>
    <d v="2025-08-01T00:00:00"/>
    <x v="2"/>
    <x v="18"/>
    <x v="0"/>
    <x v="1"/>
    <x v="46"/>
    <n v="650000"/>
    <n v="6"/>
    <n v="3900000"/>
    <x v="2"/>
    <x v="14"/>
    <s v="Parallel-twin"/>
    <s v="liquid-cooled"/>
    <x v="29"/>
    <s v="Premium"/>
    <n v="2785714.2857142859"/>
    <s v="6-speed"/>
  </r>
  <r>
    <d v="2025-07-10T00:00:00"/>
    <x v="0"/>
    <x v="25"/>
    <x v="0"/>
    <x v="0"/>
    <x v="47"/>
    <n v="182000"/>
    <n v="12"/>
    <n v="2184000"/>
    <x v="1"/>
    <x v="15"/>
    <s v="Single cylinder"/>
    <s v="liquid-cooled"/>
    <x v="4"/>
    <s v="Entry-level"/>
    <n v="1680000"/>
    <s v="6-speed"/>
  </r>
  <r>
    <d v="2025-07-22T00:00:00"/>
    <x v="0"/>
    <x v="0"/>
    <x v="0"/>
    <x v="0"/>
    <x v="15"/>
    <n v="345000"/>
    <n v="41"/>
    <n v="14145000"/>
    <x v="2"/>
    <x v="8"/>
    <s v="Parallel-twin"/>
    <s v="liquid-cooled"/>
    <x v="15"/>
    <s v="Premium"/>
    <n v="10103571.428571429"/>
    <s v="6-speed"/>
  </r>
  <r>
    <d v="2025-06-16T00:00:00"/>
    <x v="1"/>
    <x v="30"/>
    <x v="0"/>
    <x v="0"/>
    <x v="36"/>
    <n v="67900"/>
    <n v="13"/>
    <n v="882700"/>
    <x v="1"/>
    <x v="13"/>
    <s v="Single cylinder"/>
    <s v="air-cooled"/>
    <x v="10"/>
    <s v="Entry-level"/>
    <n v="679000"/>
    <s v="4-speed"/>
  </r>
  <r>
    <d v="2025-06-13T00:00:00"/>
    <x v="1"/>
    <x v="29"/>
    <x v="0"/>
    <x v="1"/>
    <x v="36"/>
    <n v="67900"/>
    <n v="30"/>
    <n v="2037000"/>
    <x v="1"/>
    <x v="13"/>
    <s v="Single cylinder"/>
    <s v="air-cooled"/>
    <x v="10"/>
    <s v="Entry-level"/>
    <n v="1566923.0769230768"/>
    <s v="4-speed"/>
  </r>
  <r>
    <d v="2025-06-30T00:00:00"/>
    <x v="1"/>
    <x v="12"/>
    <x v="0"/>
    <x v="0"/>
    <x v="48"/>
    <n v="72900"/>
    <n v="9"/>
    <n v="656100"/>
    <x v="1"/>
    <x v="9"/>
    <s v="Single cylinder"/>
    <s v="air-cooled"/>
    <x v="12"/>
    <s v="Entry-level"/>
    <n v="504692.30769230769"/>
    <s v="CVT"/>
  </r>
  <r>
    <d v="2025-06-19T00:00:00"/>
    <x v="1"/>
    <x v="15"/>
    <x v="0"/>
    <x v="0"/>
    <x v="10"/>
    <n v="80900"/>
    <n v="1"/>
    <n v="80900"/>
    <x v="0"/>
    <x v="2"/>
    <s v="Single cylinder"/>
    <s v="liquid-cooled"/>
    <x v="10"/>
    <s v="Entry-level"/>
    <n v="62230.769230769227"/>
    <s v="CVT"/>
  </r>
  <r>
    <d v="2025-06-17T00:00:00"/>
    <x v="1"/>
    <x v="19"/>
    <x v="0"/>
    <x v="0"/>
    <x v="19"/>
    <n v="295000"/>
    <n v="20"/>
    <n v="5900000"/>
    <x v="1"/>
    <x v="11"/>
    <s v="Single cylinder"/>
    <s v="liquid-cooled"/>
    <x v="5"/>
    <s v="Mid-range"/>
    <n v="4370370.3703703703"/>
    <s v="6-speed"/>
  </r>
  <r>
    <d v="2025-08-02T00:00:00"/>
    <x v="2"/>
    <x v="11"/>
    <x v="0"/>
    <x v="0"/>
    <x v="24"/>
    <n v="119900"/>
    <n v="16"/>
    <n v="1918400"/>
    <x v="1"/>
    <x v="9"/>
    <s v="Single cylinder"/>
    <s v="liquid-cooled"/>
    <x v="12"/>
    <s v="Entry-level"/>
    <n v="1475692.3076923077"/>
    <s v="6-speed"/>
  </r>
  <r>
    <d v="2025-06-19T00:00:00"/>
    <x v="1"/>
    <x v="15"/>
    <x v="0"/>
    <x v="1"/>
    <x v="3"/>
    <n v="248000"/>
    <n v="48"/>
    <n v="11904000"/>
    <x v="1"/>
    <x v="3"/>
    <s v="Single cylinder"/>
    <s v="liquid-cooled"/>
    <x v="3"/>
    <s v="Mid-range"/>
    <n v="8817777.7777777761"/>
    <s v="6-speed"/>
  </r>
  <r>
    <d v="2025-08-31T00:00:00"/>
    <x v="2"/>
    <x v="3"/>
    <x v="0"/>
    <x v="0"/>
    <x v="19"/>
    <n v="295000"/>
    <n v="4"/>
    <n v="1180000"/>
    <x v="1"/>
    <x v="11"/>
    <s v="Single cylinder"/>
    <s v="liquid-cooled"/>
    <x v="5"/>
    <s v="Mid-range"/>
    <n v="874074.07407407404"/>
    <s v="6-speed"/>
  </r>
  <r>
    <d v="2025-07-28T00:00:00"/>
    <x v="0"/>
    <x v="14"/>
    <x v="0"/>
    <x v="1"/>
    <x v="21"/>
    <n v="389000"/>
    <n v="9"/>
    <n v="3501000"/>
    <x v="1"/>
    <x v="7"/>
    <s v="Parallel-twin"/>
    <s v="liquid-cooled"/>
    <x v="9"/>
    <s v="Mid-range"/>
    <n v="2593333.3333333335"/>
    <s v="6-speed"/>
  </r>
  <r>
    <d v="2025-07-25T00:00:00"/>
    <x v="0"/>
    <x v="20"/>
    <x v="0"/>
    <x v="1"/>
    <x v="3"/>
    <n v="248000"/>
    <n v="25"/>
    <n v="6200000"/>
    <x v="2"/>
    <x v="3"/>
    <s v="Single cylinder"/>
    <s v="liquid-cooled"/>
    <x v="3"/>
    <s v="Mid-range"/>
    <n v="4592592.5925925924"/>
    <s v="6-speed"/>
  </r>
  <r>
    <d v="2025-08-29T00:00:00"/>
    <x v="2"/>
    <x v="16"/>
    <x v="0"/>
    <x v="1"/>
    <x v="7"/>
    <n v="398000"/>
    <n v="12"/>
    <n v="4776000"/>
    <x v="1"/>
    <x v="2"/>
    <s v="Single cylinder"/>
    <s v="liquid-cooled"/>
    <x v="7"/>
    <s v="Mid-range"/>
    <n v="3537777.7777777771"/>
    <s v="CVT"/>
  </r>
  <r>
    <d v="2025-08-29T00:00:00"/>
    <x v="2"/>
    <x v="16"/>
    <x v="0"/>
    <x v="0"/>
    <x v="46"/>
    <n v="650000"/>
    <n v="4"/>
    <n v="2600000"/>
    <x v="2"/>
    <x v="14"/>
    <s v="Parallel-twin"/>
    <s v="liquid-cooled"/>
    <x v="29"/>
    <s v="Premium"/>
    <n v="1857142.8571428573"/>
    <s v="6-speed"/>
  </r>
  <r>
    <d v="2025-08-01T00:00:00"/>
    <x v="2"/>
    <x v="18"/>
    <x v="0"/>
    <x v="0"/>
    <x v="42"/>
    <n v="198000"/>
    <n v="2"/>
    <n v="396000"/>
    <x v="2"/>
    <x v="7"/>
    <s v="Single cylinder"/>
    <s v="liquid-cooled"/>
    <x v="27"/>
    <s v="Entry-level"/>
    <n v="304615.38461538462"/>
    <s v="6-speed"/>
  </r>
  <r>
    <d v="2025-06-23T00:00:00"/>
    <x v="1"/>
    <x v="10"/>
    <x v="0"/>
    <x v="0"/>
    <x v="6"/>
    <n v="599000"/>
    <n v="3"/>
    <n v="1797000"/>
    <x v="0"/>
    <x v="5"/>
    <s v="Parallel-twin"/>
    <s v="liquid-cooled"/>
    <x v="6"/>
    <s v="Premium"/>
    <n v="1283571.4285714286"/>
    <s v="6-speed"/>
  </r>
  <r>
    <d v="2025-06-09T00:00:00"/>
    <x v="1"/>
    <x v="22"/>
    <x v="0"/>
    <x v="0"/>
    <x v="28"/>
    <n v="128000"/>
    <n v="3"/>
    <n v="384000"/>
    <x v="1"/>
    <x v="2"/>
    <s v="Single cylinder"/>
    <s v="liquid-cooled"/>
    <x v="1"/>
    <s v="Entry-level"/>
    <n v="295384.61538461538"/>
    <s v="CVT"/>
  </r>
  <r>
    <d v="2025-06-12T00:00:00"/>
    <x v="1"/>
    <x v="17"/>
    <x v="0"/>
    <x v="0"/>
    <x v="26"/>
    <n v="320000"/>
    <n v="35"/>
    <n v="11200000"/>
    <x v="0"/>
    <x v="3"/>
    <s v="Single cylinder"/>
    <s v="liquid-cooled"/>
    <x v="18"/>
    <s v="Mid-range"/>
    <n v="8296296.2962962957"/>
    <s v="6-speed"/>
  </r>
  <r>
    <d v="2025-06-01T00:00:00"/>
    <x v="1"/>
    <x v="18"/>
    <x v="0"/>
    <x v="0"/>
    <x v="20"/>
    <n v="319000"/>
    <n v="26"/>
    <n v="8294000"/>
    <x v="2"/>
    <x v="2"/>
    <s v="Single cylinder"/>
    <s v="liquid-cooled"/>
    <x v="11"/>
    <s v="Mid-range"/>
    <n v="6143703.7037037034"/>
    <s v="CVT"/>
  </r>
  <r>
    <d v="2025-07-28T00:00:00"/>
    <x v="0"/>
    <x v="14"/>
    <x v="0"/>
    <x v="0"/>
    <x v="7"/>
    <n v="398000"/>
    <n v="24"/>
    <n v="9552000"/>
    <x v="1"/>
    <x v="2"/>
    <s v="Single cylinder"/>
    <s v="liquid-cooled"/>
    <x v="7"/>
    <s v="Mid-range"/>
    <n v="7075555.5555555541"/>
    <s v="CVT"/>
  </r>
  <r>
    <d v="2025-06-01T00:00:00"/>
    <x v="1"/>
    <x v="18"/>
    <x v="0"/>
    <x v="0"/>
    <x v="23"/>
    <n v="125000"/>
    <n v="13"/>
    <n v="1625000"/>
    <x v="0"/>
    <x v="5"/>
    <s v="Single cylinder"/>
    <s v="liquid-cooled"/>
    <x v="17"/>
    <s v="Entry-level"/>
    <n v="1250000"/>
    <s v="6-speed"/>
  </r>
  <r>
    <d v="2025-07-04T00:00:00"/>
    <x v="0"/>
    <x v="24"/>
    <x v="0"/>
    <x v="0"/>
    <x v="24"/>
    <n v="119900"/>
    <n v="11"/>
    <n v="1318900"/>
    <x v="0"/>
    <x v="9"/>
    <s v="Single cylinder"/>
    <s v="liquid-cooled"/>
    <x v="12"/>
    <s v="Entry-level"/>
    <n v="1014538.4615384616"/>
    <s v="6-speed"/>
  </r>
  <r>
    <d v="2025-07-18T00:00:00"/>
    <x v="0"/>
    <x v="23"/>
    <x v="0"/>
    <x v="0"/>
    <x v="7"/>
    <n v="398000"/>
    <n v="19"/>
    <n v="7562000"/>
    <x v="1"/>
    <x v="2"/>
    <s v="Single cylinder"/>
    <s v="liquid-cooled"/>
    <x v="7"/>
    <s v="Mid-range"/>
    <n v="5601481.4814814804"/>
    <s v="CVT"/>
  </r>
  <r>
    <d v="2025-08-28T00:00:00"/>
    <x v="2"/>
    <x v="14"/>
    <x v="0"/>
    <x v="0"/>
    <x v="27"/>
    <n v="48000"/>
    <n v="32"/>
    <n v="1536000"/>
    <x v="1"/>
    <x v="13"/>
    <s v="Single cylinder"/>
    <s v="air-cooled"/>
    <x v="10"/>
    <s v="Entry-level"/>
    <n v="1181538.4615384615"/>
    <s v="4-speed"/>
  </r>
  <r>
    <d v="2025-06-01T00:00:00"/>
    <x v="1"/>
    <x v="18"/>
    <x v="0"/>
    <x v="0"/>
    <x v="4"/>
    <n v="124000"/>
    <n v="38"/>
    <n v="4712000"/>
    <x v="0"/>
    <x v="2"/>
    <s v="Single cylinder"/>
    <s v="liquid-cooled"/>
    <x v="4"/>
    <s v="Entry-level"/>
    <n v="3624615.384615384"/>
    <s v="CVT"/>
  </r>
  <r>
    <d v="2025-06-16T00:00:00"/>
    <x v="1"/>
    <x v="30"/>
    <x v="0"/>
    <x v="0"/>
    <x v="27"/>
    <n v="48000"/>
    <n v="14"/>
    <n v="672000"/>
    <x v="0"/>
    <x v="13"/>
    <s v="Single cylinder"/>
    <s v="air-cooled"/>
    <x v="10"/>
    <s v="Entry-level"/>
    <n v="516923.07692307688"/>
    <s v="4-speed"/>
  </r>
  <r>
    <d v="2025-07-31T00:00:00"/>
    <x v="0"/>
    <x v="3"/>
    <x v="0"/>
    <x v="1"/>
    <x v="13"/>
    <n v="164900"/>
    <n v="2"/>
    <n v="329800"/>
    <x v="1"/>
    <x v="2"/>
    <s v="Single cylinder"/>
    <s v="liquid-cooled"/>
    <x v="13"/>
    <s v="Entry-level"/>
    <n v="253692.30769230769"/>
    <s v="CVT"/>
  </r>
  <r>
    <d v="2025-08-03T00:00:00"/>
    <x v="2"/>
    <x v="9"/>
    <x v="0"/>
    <x v="1"/>
    <x v="40"/>
    <n v="340000"/>
    <n v="28"/>
    <n v="9520000"/>
    <x v="0"/>
    <x v="7"/>
    <s v="Parallel-twin"/>
    <s v="liquid-cooled"/>
    <x v="25"/>
    <s v="Mid-range"/>
    <n v="7051851.8518518507"/>
    <s v="6-speed"/>
  </r>
  <r>
    <d v="2025-08-02T00:00:00"/>
    <x v="2"/>
    <x v="11"/>
    <x v="0"/>
    <x v="0"/>
    <x v="17"/>
    <n v="125900"/>
    <n v="20"/>
    <n v="2518000"/>
    <x v="1"/>
    <x v="9"/>
    <s v="Single cylinder"/>
    <s v="liquid-cooled"/>
    <x v="4"/>
    <s v="Entry-level"/>
    <n v="1936923.076923077"/>
    <s v="6-speed"/>
  </r>
  <r>
    <d v="2025-08-08T00:00:00"/>
    <x v="2"/>
    <x v="13"/>
    <x v="0"/>
    <x v="0"/>
    <x v="2"/>
    <n v="289000"/>
    <n v="2"/>
    <n v="578000"/>
    <x v="0"/>
    <x v="2"/>
    <s v="Single cylinder"/>
    <s v="liquid-cooled"/>
    <x v="2"/>
    <s v="Entry-level"/>
    <n v="444615.38461538462"/>
    <s v="CVT"/>
  </r>
  <r>
    <d v="2025-06-22T00:00:00"/>
    <x v="1"/>
    <x v="0"/>
    <x v="0"/>
    <x v="0"/>
    <x v="6"/>
    <n v="599000"/>
    <n v="49"/>
    <n v="29351000"/>
    <x v="1"/>
    <x v="5"/>
    <s v="Parallel-twin"/>
    <s v="liquid-cooled"/>
    <x v="6"/>
    <s v="Premium"/>
    <n v="20965000.000000004"/>
    <s v="6-speed"/>
  </r>
  <r>
    <d v="2025-08-06T00:00:00"/>
    <x v="2"/>
    <x v="28"/>
    <x v="0"/>
    <x v="0"/>
    <x v="32"/>
    <n v="219000"/>
    <n v="6"/>
    <n v="1314000"/>
    <x v="2"/>
    <x v="2"/>
    <s v="Single cylinder"/>
    <s v="liquid-cooled"/>
    <x v="22"/>
    <s v="Entry-level"/>
    <n v="1010769.2307692308"/>
    <s v="CVT"/>
  </r>
  <r>
    <d v="2025-08-15T00:00:00"/>
    <x v="2"/>
    <x v="1"/>
    <x v="0"/>
    <x v="0"/>
    <x v="21"/>
    <n v="389000"/>
    <n v="45"/>
    <n v="17505000"/>
    <x v="1"/>
    <x v="7"/>
    <s v="Parallel-twin"/>
    <s v="liquid-cooled"/>
    <x v="9"/>
    <s v="Mid-range"/>
    <n v="12966666.666666666"/>
    <s v="6-speed"/>
  </r>
  <r>
    <d v="2025-06-26T00:00:00"/>
    <x v="1"/>
    <x v="5"/>
    <x v="0"/>
    <x v="1"/>
    <x v="1"/>
    <n v="99900"/>
    <n v="16"/>
    <n v="1598400"/>
    <x v="0"/>
    <x v="1"/>
    <s v="Single cylinder"/>
    <s v="air-cooled"/>
    <x v="1"/>
    <s v="Entry-level"/>
    <n v="1229538.4615384615"/>
    <s v="5-speed"/>
  </r>
  <r>
    <d v="2025-06-16T00:00:00"/>
    <x v="1"/>
    <x v="30"/>
    <x v="0"/>
    <x v="0"/>
    <x v="11"/>
    <n v="165000"/>
    <n v="13"/>
    <n v="2145000"/>
    <x v="1"/>
    <x v="7"/>
    <s v="Single cylinder"/>
    <s v="liquid-cooled"/>
    <x v="11"/>
    <s v="Mid-range"/>
    <n v="1588888.8888888888"/>
    <s v="6-speed"/>
  </r>
  <r>
    <d v="2025-07-21T00:00:00"/>
    <x v="0"/>
    <x v="4"/>
    <x v="0"/>
    <x v="0"/>
    <x v="25"/>
    <n v="79900"/>
    <n v="38"/>
    <n v="3036200"/>
    <x v="0"/>
    <x v="2"/>
    <s v="Single cylinder"/>
    <s v="air-cooled"/>
    <x v="14"/>
    <s v="Entry-level"/>
    <n v="2335538.4615384615"/>
    <s v="CVT"/>
  </r>
  <r>
    <d v="2025-08-25T00:00:00"/>
    <x v="2"/>
    <x v="20"/>
    <x v="0"/>
    <x v="1"/>
    <x v="39"/>
    <n v="151900"/>
    <n v="14"/>
    <n v="2126600"/>
    <x v="1"/>
    <x v="2"/>
    <s v="Single cylinder"/>
    <s v="liquid-cooled"/>
    <x v="4"/>
    <s v="Entry-level"/>
    <n v="1635846.1538461538"/>
    <s v="CVT"/>
  </r>
  <r>
    <d v="2025-07-27T00:00:00"/>
    <x v="0"/>
    <x v="7"/>
    <x v="0"/>
    <x v="1"/>
    <x v="35"/>
    <n v="199000"/>
    <n v="8"/>
    <n v="1592000"/>
    <x v="1"/>
    <x v="12"/>
    <s v="Single cylinder"/>
    <s v="air-cooled"/>
    <x v="24"/>
    <s v="Mid-range"/>
    <n v="1179259.2592592591"/>
    <s v="6-speed"/>
  </r>
  <r>
    <d v="2025-06-29T00:00:00"/>
    <x v="1"/>
    <x v="16"/>
    <x v="0"/>
    <x v="1"/>
    <x v="4"/>
    <n v="124000"/>
    <n v="33"/>
    <n v="4092000"/>
    <x v="1"/>
    <x v="2"/>
    <s v="Single cylinder"/>
    <s v="liquid-cooled"/>
    <x v="4"/>
    <s v="Entry-level"/>
    <n v="3147692.3076923075"/>
    <s v="CVT"/>
  </r>
  <r>
    <d v="2025-08-17T00:00:00"/>
    <x v="2"/>
    <x v="19"/>
    <x v="0"/>
    <x v="1"/>
    <x v="12"/>
    <n v="210000"/>
    <n v="16"/>
    <n v="3360000"/>
    <x v="1"/>
    <x v="2"/>
    <s v="Single cylinder"/>
    <s v="air-cooled"/>
    <x v="12"/>
    <s v="Entry-level"/>
    <n v="2584615.3846153845"/>
    <s v="CVT"/>
  </r>
  <r>
    <d v="2025-08-31T00:00:00"/>
    <x v="2"/>
    <x v="3"/>
    <x v="0"/>
    <x v="0"/>
    <x v="4"/>
    <n v="124000"/>
    <n v="3"/>
    <n v="372000"/>
    <x v="2"/>
    <x v="2"/>
    <s v="Single cylinder"/>
    <s v="liquid-cooled"/>
    <x v="4"/>
    <s v="Entry-level"/>
    <n v="286153.84615384613"/>
    <s v="CVT"/>
  </r>
  <r>
    <d v="2025-08-08T00:00:00"/>
    <x v="2"/>
    <x v="13"/>
    <x v="0"/>
    <x v="0"/>
    <x v="11"/>
    <n v="165000"/>
    <n v="10"/>
    <n v="1650000"/>
    <x v="1"/>
    <x v="7"/>
    <s v="Single cylinder"/>
    <s v="liquid-cooled"/>
    <x v="11"/>
    <s v="Mid-range"/>
    <n v="1222222.2222222222"/>
    <s v="6-speed"/>
  </r>
  <r>
    <d v="2025-07-17T00:00:00"/>
    <x v="0"/>
    <x v="19"/>
    <x v="0"/>
    <x v="0"/>
    <x v="8"/>
    <n v="689000"/>
    <n v="7"/>
    <n v="4823000"/>
    <x v="0"/>
    <x v="6"/>
    <s v="V-twin"/>
    <s v="air-cooled"/>
    <x v="8"/>
    <s v="Premium"/>
    <n v="3445000"/>
    <s v="6-speed"/>
  </r>
  <r>
    <d v="2025-08-01T00:00:00"/>
    <x v="2"/>
    <x v="18"/>
    <x v="0"/>
    <x v="0"/>
    <x v="44"/>
    <n v="165000"/>
    <n v="30"/>
    <n v="4950000"/>
    <x v="1"/>
    <x v="5"/>
    <s v="Single cylinder"/>
    <s v="liquid-cooled"/>
    <x v="11"/>
    <s v="Mid-range"/>
    <n v="3666666.6666666665"/>
    <s v="6-speed"/>
  </r>
  <r>
    <d v="2025-08-08T00:00:00"/>
    <x v="2"/>
    <x v="13"/>
    <x v="0"/>
    <x v="1"/>
    <x v="28"/>
    <n v="128000"/>
    <n v="16"/>
    <n v="2048000"/>
    <x v="2"/>
    <x v="2"/>
    <s v="Single cylinder"/>
    <s v="liquid-cooled"/>
    <x v="1"/>
    <s v="Entry-level"/>
    <n v="1575384.6153846153"/>
    <s v="CVT"/>
  </r>
  <r>
    <d v="2025-08-15T00:00:00"/>
    <x v="2"/>
    <x v="1"/>
    <x v="0"/>
    <x v="1"/>
    <x v="8"/>
    <n v="689000"/>
    <n v="28"/>
    <n v="19292000"/>
    <x v="0"/>
    <x v="6"/>
    <s v="V-twin"/>
    <s v="air-cooled"/>
    <x v="8"/>
    <s v="Premium"/>
    <n v="13780000"/>
    <s v="6-speed"/>
  </r>
  <r>
    <d v="2025-06-16T00:00:00"/>
    <x v="1"/>
    <x v="30"/>
    <x v="0"/>
    <x v="1"/>
    <x v="49"/>
    <n v="250000"/>
    <n v="5"/>
    <n v="1250000"/>
    <x v="2"/>
    <x v="16"/>
    <s v="Single cylinder"/>
    <s v="air-cooled"/>
    <x v="30"/>
    <s v="Mid-range"/>
    <n v="925925.92592592584"/>
    <s v="5-speed"/>
  </r>
  <r>
    <d v="2025-08-29T00:00:00"/>
    <x v="2"/>
    <x v="16"/>
    <x v="0"/>
    <x v="0"/>
    <x v="27"/>
    <n v="48000"/>
    <n v="16"/>
    <n v="768000"/>
    <x v="1"/>
    <x v="13"/>
    <s v="Single cylinder"/>
    <s v="air-cooled"/>
    <x v="10"/>
    <s v="Entry-level"/>
    <n v="590769.23076923075"/>
    <s v="4-speed"/>
  </r>
  <r>
    <d v="2025-08-29T00:00:00"/>
    <x v="2"/>
    <x v="16"/>
    <x v="0"/>
    <x v="1"/>
    <x v="22"/>
    <n v="284900"/>
    <n v="20"/>
    <n v="5698000"/>
    <x v="2"/>
    <x v="12"/>
    <s v="Single cylinder"/>
    <s v="liquid-cooled"/>
    <x v="16"/>
    <s v="Mid-range"/>
    <n v="4220740.7407407407"/>
    <s v="6-speed"/>
  </r>
  <r>
    <d v="2025-07-18T00:00:00"/>
    <x v="0"/>
    <x v="23"/>
    <x v="0"/>
    <x v="0"/>
    <x v="23"/>
    <n v="125000"/>
    <n v="5"/>
    <n v="625000"/>
    <x v="2"/>
    <x v="5"/>
    <s v="Single cylinder"/>
    <s v="liquid-cooled"/>
    <x v="17"/>
    <s v="Entry-level"/>
    <n v="480769.23076923075"/>
    <s v="6-speed"/>
  </r>
  <r>
    <d v="2025-08-24T00:00:00"/>
    <x v="2"/>
    <x v="8"/>
    <x v="0"/>
    <x v="0"/>
    <x v="44"/>
    <n v="165000"/>
    <n v="15"/>
    <n v="2475000"/>
    <x v="2"/>
    <x v="5"/>
    <s v="Single cylinder"/>
    <s v="liquid-cooled"/>
    <x v="11"/>
    <s v="Mid-range"/>
    <n v="1833333.3333333333"/>
    <s v="6-speed"/>
  </r>
  <r>
    <d v="2025-07-09T00:00:00"/>
    <x v="0"/>
    <x v="22"/>
    <x v="0"/>
    <x v="1"/>
    <x v="5"/>
    <n v="199900"/>
    <n v="1"/>
    <n v="199900"/>
    <x v="1"/>
    <x v="4"/>
    <s v="Single cylinder"/>
    <s v="liquid-cooled"/>
    <x v="5"/>
    <s v="Mid-range"/>
    <n v="148074.07407407407"/>
    <s v="6-speed"/>
  </r>
  <r>
    <d v="2025-07-03T00:00:00"/>
    <x v="0"/>
    <x v="9"/>
    <x v="0"/>
    <x v="0"/>
    <x v="18"/>
    <n v="68900"/>
    <n v="16"/>
    <n v="1102400"/>
    <x v="1"/>
    <x v="10"/>
    <s v="Single cylinder"/>
    <s v="air-cooled"/>
    <x v="1"/>
    <s v="Entry-level"/>
    <n v="848000"/>
    <s v="5-speed"/>
  </r>
  <r>
    <d v="2025-06-23T00:00:00"/>
    <x v="1"/>
    <x v="10"/>
    <x v="0"/>
    <x v="0"/>
    <x v="0"/>
    <n v="269000"/>
    <n v="50"/>
    <n v="13450000"/>
    <x v="1"/>
    <x v="0"/>
    <s v="Single cylinder"/>
    <s v="liquid-cooled"/>
    <x v="0"/>
    <s v="Mid-range"/>
    <n v="9962962.9629629627"/>
    <s v="6-speed"/>
  </r>
  <r>
    <d v="2025-06-10T00:00:00"/>
    <x v="1"/>
    <x v="25"/>
    <x v="0"/>
    <x v="1"/>
    <x v="26"/>
    <n v="320000"/>
    <n v="20"/>
    <n v="6400000"/>
    <x v="2"/>
    <x v="3"/>
    <s v="Single cylinder"/>
    <s v="liquid-cooled"/>
    <x v="18"/>
    <s v="Mid-range"/>
    <n v="4740740.7407407407"/>
    <s v="6-speed"/>
  </r>
  <r>
    <d v="2025-08-08T00:00:00"/>
    <x v="2"/>
    <x v="13"/>
    <x v="0"/>
    <x v="0"/>
    <x v="0"/>
    <n v="269000"/>
    <n v="11"/>
    <n v="2959000"/>
    <x v="0"/>
    <x v="0"/>
    <s v="Single cylinder"/>
    <s v="liquid-cooled"/>
    <x v="0"/>
    <s v="Mid-range"/>
    <n v="2191851.8518518517"/>
    <s v="6-speed"/>
  </r>
  <r>
    <d v="2025-07-04T00:00:00"/>
    <x v="0"/>
    <x v="24"/>
    <x v="0"/>
    <x v="1"/>
    <x v="10"/>
    <n v="80900"/>
    <n v="18"/>
    <n v="1456200"/>
    <x v="2"/>
    <x v="2"/>
    <s v="Single cylinder"/>
    <s v="liquid-cooled"/>
    <x v="10"/>
    <s v="Entry-level"/>
    <n v="1120153.846153846"/>
    <s v="CVT"/>
  </r>
  <r>
    <d v="2025-07-22T00:00:00"/>
    <x v="0"/>
    <x v="0"/>
    <x v="0"/>
    <x v="1"/>
    <x v="42"/>
    <n v="198000"/>
    <n v="1"/>
    <n v="198000"/>
    <x v="0"/>
    <x v="7"/>
    <s v="Single cylinder"/>
    <s v="liquid-cooled"/>
    <x v="27"/>
    <s v="Entry-level"/>
    <n v="152307.69230769231"/>
    <s v="6-speed"/>
  </r>
  <r>
    <d v="2025-06-10T00:00:00"/>
    <x v="1"/>
    <x v="25"/>
    <x v="0"/>
    <x v="0"/>
    <x v="8"/>
    <n v="689000"/>
    <n v="16"/>
    <n v="11024000"/>
    <x v="1"/>
    <x v="6"/>
    <s v="V-twin"/>
    <s v="air-cooled"/>
    <x v="8"/>
    <s v="Premium"/>
    <n v="7874285.7142857146"/>
    <s v="6-speed"/>
  </r>
  <r>
    <d v="2025-06-19T00:00:00"/>
    <x v="1"/>
    <x v="15"/>
    <x v="0"/>
    <x v="1"/>
    <x v="23"/>
    <n v="125000"/>
    <n v="3"/>
    <n v="375000"/>
    <x v="2"/>
    <x v="5"/>
    <s v="Single cylinder"/>
    <s v="liquid-cooled"/>
    <x v="17"/>
    <s v="Entry-level"/>
    <n v="288461.5384615385"/>
    <s v="6-speed"/>
  </r>
  <r>
    <d v="2025-07-28T00:00:00"/>
    <x v="0"/>
    <x v="14"/>
    <x v="0"/>
    <x v="1"/>
    <x v="26"/>
    <n v="320000"/>
    <n v="9"/>
    <n v="2880000"/>
    <x v="2"/>
    <x v="3"/>
    <s v="Single cylinder"/>
    <s v="liquid-cooled"/>
    <x v="18"/>
    <s v="Mid-range"/>
    <n v="2133333.333333333"/>
    <s v="6-speed"/>
  </r>
  <r>
    <d v="2025-06-01T00:00:00"/>
    <x v="1"/>
    <x v="18"/>
    <x v="0"/>
    <x v="0"/>
    <x v="36"/>
    <n v="67900"/>
    <n v="6"/>
    <n v="407400"/>
    <x v="1"/>
    <x v="13"/>
    <s v="Single cylinder"/>
    <s v="air-cooled"/>
    <x v="10"/>
    <s v="Entry-level"/>
    <n v="313384.61538461538"/>
    <s v="4-speed"/>
  </r>
  <r>
    <d v="2025-08-08T00:00:00"/>
    <x v="2"/>
    <x v="13"/>
    <x v="0"/>
    <x v="1"/>
    <x v="49"/>
    <n v="250000"/>
    <n v="4"/>
    <n v="1000000"/>
    <x v="0"/>
    <x v="16"/>
    <s v="Single cylinder"/>
    <s v="air-cooled"/>
    <x v="30"/>
    <s v="Mid-range"/>
    <n v="740740.74074074067"/>
    <s v="5-speed"/>
  </r>
  <r>
    <d v="2025-06-04T00:00:00"/>
    <x v="1"/>
    <x v="24"/>
    <x v="0"/>
    <x v="1"/>
    <x v="10"/>
    <n v="80900"/>
    <n v="14"/>
    <n v="1132600"/>
    <x v="2"/>
    <x v="2"/>
    <s v="Single cylinder"/>
    <s v="liquid-cooled"/>
    <x v="10"/>
    <s v="Entry-level"/>
    <n v="871230.76923076913"/>
    <s v="CVT"/>
  </r>
  <r>
    <d v="2025-06-16T00:00:00"/>
    <x v="1"/>
    <x v="30"/>
    <x v="0"/>
    <x v="0"/>
    <x v="3"/>
    <n v="248000"/>
    <n v="50"/>
    <n v="12400000"/>
    <x v="0"/>
    <x v="3"/>
    <s v="Single cylinder"/>
    <s v="liquid-cooled"/>
    <x v="3"/>
    <s v="Mid-range"/>
    <n v="9185185.1851851847"/>
    <s v="6-speed"/>
  </r>
  <r>
    <d v="2025-06-24T00:00:00"/>
    <x v="1"/>
    <x v="8"/>
    <x v="0"/>
    <x v="0"/>
    <x v="13"/>
    <n v="164900"/>
    <n v="13"/>
    <n v="2143700"/>
    <x v="0"/>
    <x v="2"/>
    <s v="Single cylinder"/>
    <s v="liquid-cooled"/>
    <x v="13"/>
    <s v="Entry-level"/>
    <n v="1649000"/>
    <s v="CVT"/>
  </r>
  <r>
    <d v="2025-08-19T00:00:00"/>
    <x v="2"/>
    <x v="15"/>
    <x v="0"/>
    <x v="1"/>
    <x v="3"/>
    <n v="248000"/>
    <n v="11"/>
    <n v="2728000"/>
    <x v="0"/>
    <x v="3"/>
    <s v="Single cylinder"/>
    <s v="liquid-cooled"/>
    <x v="3"/>
    <s v="Mid-range"/>
    <n v="2020740.7407407404"/>
    <s v="6-speed"/>
  </r>
  <r>
    <d v="2025-06-02T00:00:00"/>
    <x v="1"/>
    <x v="11"/>
    <x v="0"/>
    <x v="1"/>
    <x v="1"/>
    <n v="99900"/>
    <n v="5"/>
    <n v="499500"/>
    <x v="0"/>
    <x v="1"/>
    <s v="Single cylinder"/>
    <s v="air-cooled"/>
    <x v="1"/>
    <s v="Entry-level"/>
    <n v="384230.76923076925"/>
    <s v="5-speed"/>
  </r>
  <r>
    <d v="2025-08-31T00:00:00"/>
    <x v="2"/>
    <x v="3"/>
    <x v="0"/>
    <x v="0"/>
    <x v="9"/>
    <n v="328000"/>
    <n v="12"/>
    <n v="3936000"/>
    <x v="1"/>
    <x v="0"/>
    <s v="Twin cylinder"/>
    <s v="air-cooled"/>
    <x v="9"/>
    <s v="Mid-range"/>
    <n v="2915555.5555555555"/>
    <s v="6-speed"/>
  </r>
  <r>
    <d v="2025-07-02T00:00:00"/>
    <x v="0"/>
    <x v="11"/>
    <x v="0"/>
    <x v="0"/>
    <x v="6"/>
    <n v="599000"/>
    <n v="10"/>
    <n v="5990000"/>
    <x v="2"/>
    <x v="5"/>
    <s v="Parallel-twin"/>
    <s v="liquid-cooled"/>
    <x v="6"/>
    <s v="Premium"/>
    <n v="4278571.4285714291"/>
    <s v="6-speed"/>
  </r>
  <r>
    <d v="2025-08-30T00:00:00"/>
    <x v="2"/>
    <x v="12"/>
    <x v="0"/>
    <x v="0"/>
    <x v="42"/>
    <n v="198000"/>
    <n v="26"/>
    <n v="5148000"/>
    <x v="2"/>
    <x v="7"/>
    <s v="Single cylinder"/>
    <s v="liquid-cooled"/>
    <x v="27"/>
    <s v="Entry-level"/>
    <n v="3960000"/>
    <s v="6-speed"/>
  </r>
  <r>
    <d v="2025-08-23T00:00:00"/>
    <x v="2"/>
    <x v="10"/>
    <x v="0"/>
    <x v="1"/>
    <x v="12"/>
    <n v="210000"/>
    <n v="1"/>
    <n v="210000"/>
    <x v="0"/>
    <x v="2"/>
    <s v="Single cylinder"/>
    <s v="air-cooled"/>
    <x v="12"/>
    <s v="Entry-level"/>
    <n v="161538.46153846153"/>
    <s v="CVT"/>
  </r>
  <r>
    <d v="2025-06-24T00:00:00"/>
    <x v="1"/>
    <x v="8"/>
    <x v="0"/>
    <x v="0"/>
    <x v="23"/>
    <n v="125000"/>
    <n v="7"/>
    <n v="875000"/>
    <x v="1"/>
    <x v="5"/>
    <s v="Single cylinder"/>
    <s v="liquid-cooled"/>
    <x v="17"/>
    <s v="Entry-level"/>
    <n v="673076.92307692312"/>
    <s v="6-speed"/>
  </r>
  <r>
    <d v="2025-06-12T00:00:00"/>
    <x v="1"/>
    <x v="17"/>
    <x v="0"/>
    <x v="1"/>
    <x v="21"/>
    <n v="389000"/>
    <n v="14"/>
    <n v="5446000"/>
    <x v="2"/>
    <x v="7"/>
    <s v="Parallel-twin"/>
    <s v="liquid-cooled"/>
    <x v="9"/>
    <s v="Mid-range"/>
    <n v="4034074.0740740742"/>
    <s v="6-speed"/>
  </r>
  <r>
    <d v="2025-07-20T00:00:00"/>
    <x v="0"/>
    <x v="27"/>
    <x v="0"/>
    <x v="1"/>
    <x v="18"/>
    <n v="68900"/>
    <n v="7"/>
    <n v="482300"/>
    <x v="0"/>
    <x v="10"/>
    <s v="Single cylinder"/>
    <s v="air-cooled"/>
    <x v="1"/>
    <s v="Entry-level"/>
    <n v="371000"/>
    <s v="5-speed"/>
  </r>
  <r>
    <d v="2025-07-05T00:00:00"/>
    <x v="0"/>
    <x v="26"/>
    <x v="0"/>
    <x v="1"/>
    <x v="30"/>
    <n v="995000"/>
    <n v="25"/>
    <n v="24875000"/>
    <x v="2"/>
    <x v="6"/>
    <s v="Flat twin"/>
    <s v="air"/>
    <x v="20"/>
    <s v="Premium"/>
    <n v="17767857.142857146"/>
    <n v="0"/>
  </r>
  <r>
    <d v="2025-07-03T00:00:00"/>
    <x v="0"/>
    <x v="9"/>
    <x v="0"/>
    <x v="0"/>
    <x v="25"/>
    <n v="79900"/>
    <n v="42"/>
    <n v="3355800"/>
    <x v="1"/>
    <x v="2"/>
    <s v="Single cylinder"/>
    <s v="air-cooled"/>
    <x v="14"/>
    <s v="Entry-level"/>
    <n v="2581384.6153846155"/>
    <s v="CVT"/>
  </r>
  <r>
    <d v="2025-07-03T00:00:00"/>
    <x v="0"/>
    <x v="9"/>
    <x v="0"/>
    <x v="0"/>
    <x v="8"/>
    <n v="689000"/>
    <n v="1"/>
    <n v="689000"/>
    <x v="0"/>
    <x v="6"/>
    <s v="V-twin"/>
    <s v="air-cooled"/>
    <x v="8"/>
    <s v="Premium"/>
    <n v="492142.85714285716"/>
    <s v="6-speed"/>
  </r>
  <r>
    <d v="2025-07-31T00:00:00"/>
    <x v="0"/>
    <x v="3"/>
    <x v="0"/>
    <x v="1"/>
    <x v="38"/>
    <n v="398000"/>
    <n v="42"/>
    <n v="16716000"/>
    <x v="2"/>
    <x v="14"/>
    <s v="Parallel-twin"/>
    <s v="liquid-cooled"/>
    <x v="15"/>
    <s v="Premium"/>
    <n v="11940000.000000002"/>
    <s v="6-speed"/>
  </r>
  <r>
    <d v="2025-07-21T00:00:00"/>
    <x v="0"/>
    <x v="4"/>
    <x v="0"/>
    <x v="1"/>
    <x v="32"/>
    <n v="219000"/>
    <n v="1"/>
    <n v="219000"/>
    <x v="0"/>
    <x v="2"/>
    <s v="Single cylinder"/>
    <s v="liquid-cooled"/>
    <x v="22"/>
    <s v="Entry-level"/>
    <n v="168461.53846153847"/>
    <s v="CVT"/>
  </r>
  <r>
    <d v="2025-07-13T00:00:00"/>
    <x v="0"/>
    <x v="29"/>
    <x v="0"/>
    <x v="0"/>
    <x v="11"/>
    <n v="165000"/>
    <n v="18"/>
    <n v="2970000"/>
    <x v="0"/>
    <x v="7"/>
    <s v="Single cylinder"/>
    <s v="liquid-cooled"/>
    <x v="11"/>
    <s v="Mid-range"/>
    <n v="2200000"/>
    <s v="6-speed"/>
  </r>
  <r>
    <d v="2025-06-12T00:00:00"/>
    <x v="1"/>
    <x v="17"/>
    <x v="0"/>
    <x v="1"/>
    <x v="47"/>
    <n v="182000"/>
    <n v="11"/>
    <n v="2002000"/>
    <x v="0"/>
    <x v="15"/>
    <s v="Single cylinder"/>
    <s v="liquid-cooled"/>
    <x v="4"/>
    <s v="Entry-level"/>
    <n v="1540000"/>
    <s v="6-speed"/>
  </r>
  <r>
    <d v="2025-08-06T00:00:00"/>
    <x v="2"/>
    <x v="28"/>
    <x v="0"/>
    <x v="0"/>
    <x v="25"/>
    <n v="79900"/>
    <n v="1"/>
    <n v="79900"/>
    <x v="2"/>
    <x v="2"/>
    <s v="Single cylinder"/>
    <s v="air-cooled"/>
    <x v="14"/>
    <s v="Entry-level"/>
    <n v="61461.538461538461"/>
    <s v="CVT"/>
  </r>
  <r>
    <d v="2025-08-04T00:00:00"/>
    <x v="2"/>
    <x v="24"/>
    <x v="0"/>
    <x v="0"/>
    <x v="0"/>
    <n v="269000"/>
    <n v="19"/>
    <n v="5111000"/>
    <x v="2"/>
    <x v="0"/>
    <s v="Single cylinder"/>
    <s v="liquid-cooled"/>
    <x v="0"/>
    <s v="Mid-range"/>
    <n v="3785925.9259259254"/>
    <s v="6-speed"/>
  </r>
  <r>
    <d v="2025-07-03T00:00:00"/>
    <x v="0"/>
    <x v="9"/>
    <x v="0"/>
    <x v="1"/>
    <x v="3"/>
    <n v="248000"/>
    <n v="40"/>
    <n v="9920000"/>
    <x v="2"/>
    <x v="3"/>
    <s v="Single cylinder"/>
    <s v="liquid-cooled"/>
    <x v="3"/>
    <s v="Mid-range"/>
    <n v="7348148.1481481474"/>
    <s v="6-speed"/>
  </r>
  <r>
    <d v="2025-07-10T00:00:00"/>
    <x v="0"/>
    <x v="25"/>
    <x v="0"/>
    <x v="0"/>
    <x v="0"/>
    <n v="269000"/>
    <n v="13"/>
    <n v="3497000"/>
    <x v="2"/>
    <x v="0"/>
    <s v="Single cylinder"/>
    <s v="liquid-cooled"/>
    <x v="0"/>
    <s v="Mid-range"/>
    <n v="2590370.3703703703"/>
    <s v="6-speed"/>
  </r>
  <r>
    <d v="2025-08-13T00:00:00"/>
    <x v="2"/>
    <x v="29"/>
    <x v="0"/>
    <x v="1"/>
    <x v="36"/>
    <n v="67900"/>
    <n v="43"/>
    <n v="2919700"/>
    <x v="2"/>
    <x v="13"/>
    <s v="Single cylinder"/>
    <s v="air-cooled"/>
    <x v="10"/>
    <s v="Entry-level"/>
    <n v="2245923.0769230765"/>
    <s v="4-speed"/>
  </r>
  <r>
    <d v="2025-07-13T00:00:00"/>
    <x v="0"/>
    <x v="29"/>
    <x v="0"/>
    <x v="1"/>
    <x v="18"/>
    <n v="68900"/>
    <n v="14"/>
    <n v="964600"/>
    <x v="0"/>
    <x v="10"/>
    <s v="Single cylinder"/>
    <s v="air-cooled"/>
    <x v="1"/>
    <s v="Entry-level"/>
    <n v="742000"/>
    <s v="5-speed"/>
  </r>
  <r>
    <d v="2025-07-14T00:00:00"/>
    <x v="0"/>
    <x v="6"/>
    <x v="0"/>
    <x v="0"/>
    <x v="16"/>
    <n v="178000"/>
    <n v="11"/>
    <n v="1958000"/>
    <x v="1"/>
    <x v="5"/>
    <s v="Single cylinder"/>
    <s v="liquid-cooled"/>
    <x v="4"/>
    <s v="Entry-level"/>
    <n v="1506153.846153846"/>
    <s v="6-speed"/>
  </r>
  <r>
    <d v="2025-06-29T00:00:00"/>
    <x v="1"/>
    <x v="16"/>
    <x v="0"/>
    <x v="1"/>
    <x v="36"/>
    <n v="67900"/>
    <n v="11"/>
    <n v="746900"/>
    <x v="2"/>
    <x v="13"/>
    <s v="Single cylinder"/>
    <s v="air-cooled"/>
    <x v="10"/>
    <s v="Entry-level"/>
    <n v="574538.4615384615"/>
    <s v="4-speed"/>
  </r>
  <r>
    <d v="2025-06-13T00:00:00"/>
    <x v="1"/>
    <x v="29"/>
    <x v="0"/>
    <x v="1"/>
    <x v="1"/>
    <n v="99900"/>
    <n v="30"/>
    <n v="2997000"/>
    <x v="1"/>
    <x v="1"/>
    <s v="Single cylinder"/>
    <s v="air-cooled"/>
    <x v="1"/>
    <s v="Entry-level"/>
    <n v="2305384.6153846155"/>
    <s v="5-speed"/>
  </r>
  <r>
    <d v="2025-06-12T00:00:00"/>
    <x v="1"/>
    <x v="17"/>
    <x v="0"/>
    <x v="1"/>
    <x v="20"/>
    <n v="319000"/>
    <n v="17"/>
    <n v="5423000"/>
    <x v="2"/>
    <x v="2"/>
    <s v="Single cylinder"/>
    <s v="liquid-cooled"/>
    <x v="11"/>
    <s v="Mid-range"/>
    <n v="4017037.0370370368"/>
    <s v="CVT"/>
  </r>
  <r>
    <d v="2025-07-16T00:00:00"/>
    <x v="0"/>
    <x v="30"/>
    <x v="0"/>
    <x v="1"/>
    <x v="46"/>
    <n v="650000"/>
    <n v="8"/>
    <n v="5200000"/>
    <x v="1"/>
    <x v="14"/>
    <s v="Parallel-twin"/>
    <s v="liquid-cooled"/>
    <x v="29"/>
    <s v="Premium"/>
    <n v="3714285.7142857146"/>
    <s v="6-speed"/>
  </r>
  <r>
    <d v="2025-06-02T00:00:00"/>
    <x v="1"/>
    <x v="11"/>
    <x v="0"/>
    <x v="0"/>
    <x v="39"/>
    <n v="151900"/>
    <n v="29"/>
    <n v="4405100"/>
    <x v="0"/>
    <x v="2"/>
    <s v="Single cylinder"/>
    <s v="liquid-cooled"/>
    <x v="4"/>
    <s v="Entry-level"/>
    <n v="3388538.4615384615"/>
    <s v="CVT"/>
  </r>
  <r>
    <d v="2025-07-05T00:00:00"/>
    <x v="0"/>
    <x v="26"/>
    <x v="0"/>
    <x v="0"/>
    <x v="35"/>
    <n v="199000"/>
    <n v="7"/>
    <n v="1393000"/>
    <x v="2"/>
    <x v="12"/>
    <s v="Single cylinder"/>
    <s v="air-cooled"/>
    <x v="24"/>
    <s v="Mid-range"/>
    <n v="1031851.8518518517"/>
    <s v="6-speed"/>
  </r>
  <r>
    <d v="2025-08-26T00:00:00"/>
    <x v="2"/>
    <x v="5"/>
    <x v="0"/>
    <x v="0"/>
    <x v="32"/>
    <n v="219000"/>
    <n v="40"/>
    <n v="8760000"/>
    <x v="2"/>
    <x v="2"/>
    <s v="Single cylinder"/>
    <s v="liquid-cooled"/>
    <x v="22"/>
    <s v="Entry-level"/>
    <n v="6738461.538461539"/>
    <s v="CVT"/>
  </r>
  <r>
    <d v="2025-08-20T00:00:00"/>
    <x v="2"/>
    <x v="27"/>
    <x v="0"/>
    <x v="1"/>
    <x v="41"/>
    <n v="299000"/>
    <n v="19"/>
    <n v="5681000"/>
    <x v="0"/>
    <x v="12"/>
    <s v="Single cylinder"/>
    <s v="air-cooled"/>
    <x v="26"/>
    <s v="Mid-range"/>
    <n v="4208148.1481481474"/>
    <s v="5-speed"/>
  </r>
  <r>
    <d v="2025-08-29T00:00:00"/>
    <x v="2"/>
    <x v="16"/>
    <x v="0"/>
    <x v="0"/>
    <x v="48"/>
    <n v="72900"/>
    <n v="4"/>
    <n v="291600"/>
    <x v="2"/>
    <x v="9"/>
    <s v="Single cylinder"/>
    <s v="air-cooled"/>
    <x v="12"/>
    <s v="Entry-level"/>
    <n v="224307.69230769231"/>
    <s v="CVT"/>
  </r>
  <r>
    <d v="2025-06-08T00:00:00"/>
    <x v="1"/>
    <x v="13"/>
    <x v="0"/>
    <x v="0"/>
    <x v="46"/>
    <n v="650000"/>
    <n v="21"/>
    <n v="13650000"/>
    <x v="0"/>
    <x v="14"/>
    <s v="Parallel-twin"/>
    <s v="liquid-cooled"/>
    <x v="29"/>
    <s v="Premium"/>
    <n v="9750000"/>
    <s v="6-speed"/>
  </r>
  <r>
    <d v="2025-06-26T00:00:00"/>
    <x v="1"/>
    <x v="5"/>
    <x v="0"/>
    <x v="1"/>
    <x v="33"/>
    <n v="369000"/>
    <n v="16"/>
    <n v="5904000"/>
    <x v="2"/>
    <x v="3"/>
    <s v="Parallel-twin"/>
    <s v="liquid-cooled"/>
    <x v="15"/>
    <s v="Premium"/>
    <n v="4217142.8571428573"/>
    <s v="6-speed"/>
  </r>
  <r>
    <d v="2025-08-13T00:00:00"/>
    <x v="2"/>
    <x v="29"/>
    <x v="0"/>
    <x v="0"/>
    <x v="42"/>
    <n v="198000"/>
    <n v="19"/>
    <n v="3762000"/>
    <x v="0"/>
    <x v="7"/>
    <s v="Single cylinder"/>
    <s v="liquid-cooled"/>
    <x v="27"/>
    <s v="Entry-level"/>
    <n v="2893846.153846154"/>
    <s v="6-speed"/>
  </r>
  <r>
    <d v="2025-07-04T00:00:00"/>
    <x v="0"/>
    <x v="24"/>
    <x v="0"/>
    <x v="0"/>
    <x v="41"/>
    <n v="299000"/>
    <n v="3"/>
    <n v="897000"/>
    <x v="2"/>
    <x v="12"/>
    <s v="Single cylinder"/>
    <s v="air-cooled"/>
    <x v="26"/>
    <s v="Mid-range"/>
    <n v="664444.44444444438"/>
    <s v="5-speed"/>
  </r>
  <r>
    <d v="2025-06-07T00:00:00"/>
    <x v="1"/>
    <x v="21"/>
    <x v="0"/>
    <x v="0"/>
    <x v="7"/>
    <n v="398000"/>
    <n v="20"/>
    <n v="7960000"/>
    <x v="1"/>
    <x v="2"/>
    <s v="Single cylinder"/>
    <s v="liquid-cooled"/>
    <x v="7"/>
    <s v="Mid-range"/>
    <n v="5896296.2962962957"/>
    <s v="CVT"/>
  </r>
  <r>
    <d v="2025-08-07T00:00:00"/>
    <x v="2"/>
    <x v="21"/>
    <x v="0"/>
    <x v="0"/>
    <x v="18"/>
    <n v="68900"/>
    <n v="9"/>
    <n v="620100"/>
    <x v="2"/>
    <x v="10"/>
    <s v="Single cylinder"/>
    <s v="air-cooled"/>
    <x v="1"/>
    <s v="Entry-level"/>
    <n v="477000"/>
    <s v="5-speed"/>
  </r>
  <r>
    <d v="2025-07-28T00:00:00"/>
    <x v="0"/>
    <x v="14"/>
    <x v="0"/>
    <x v="1"/>
    <x v="17"/>
    <n v="125900"/>
    <n v="16"/>
    <n v="2014400"/>
    <x v="2"/>
    <x v="9"/>
    <s v="Single cylinder"/>
    <s v="liquid-cooled"/>
    <x v="4"/>
    <s v="Entry-level"/>
    <n v="1549538.4615384615"/>
    <s v="6-speed"/>
  </r>
  <r>
    <d v="2025-08-14T00:00:00"/>
    <x v="2"/>
    <x v="6"/>
    <x v="0"/>
    <x v="0"/>
    <x v="47"/>
    <n v="182000"/>
    <n v="5"/>
    <n v="910000"/>
    <x v="2"/>
    <x v="15"/>
    <s v="Single cylinder"/>
    <s v="liquid-cooled"/>
    <x v="4"/>
    <s v="Entry-level"/>
    <n v="700000"/>
    <s v="6-speed"/>
  </r>
  <r>
    <d v="2025-06-29T00:00:00"/>
    <x v="1"/>
    <x v="16"/>
    <x v="0"/>
    <x v="0"/>
    <x v="26"/>
    <n v="320000"/>
    <n v="4"/>
    <n v="1280000"/>
    <x v="0"/>
    <x v="3"/>
    <s v="Single cylinder"/>
    <s v="liquid-cooled"/>
    <x v="18"/>
    <s v="Mid-range"/>
    <n v="948148.14814814809"/>
    <s v="6-speed"/>
  </r>
  <r>
    <d v="2025-07-06T00:00:00"/>
    <x v="0"/>
    <x v="28"/>
    <x v="0"/>
    <x v="0"/>
    <x v="25"/>
    <n v="79900"/>
    <n v="34"/>
    <n v="2716600"/>
    <x v="2"/>
    <x v="2"/>
    <s v="Single cylinder"/>
    <s v="air-cooled"/>
    <x v="14"/>
    <s v="Entry-level"/>
    <n v="2089692.3076923077"/>
    <s v="CVT"/>
  </r>
  <r>
    <d v="2025-08-28T00:00:00"/>
    <x v="2"/>
    <x v="14"/>
    <x v="0"/>
    <x v="0"/>
    <x v="46"/>
    <n v="650000"/>
    <n v="11"/>
    <n v="7150000"/>
    <x v="2"/>
    <x v="14"/>
    <s v="Parallel-twin"/>
    <s v="liquid-cooled"/>
    <x v="29"/>
    <s v="Premium"/>
    <n v="5107142.8571428573"/>
    <s v="6-speed"/>
  </r>
  <r>
    <d v="2025-06-21T00:00:00"/>
    <x v="1"/>
    <x v="4"/>
    <x v="0"/>
    <x v="1"/>
    <x v="21"/>
    <n v="389000"/>
    <n v="13"/>
    <n v="5057000"/>
    <x v="2"/>
    <x v="7"/>
    <s v="Parallel-twin"/>
    <s v="liquid-cooled"/>
    <x v="9"/>
    <s v="Mid-range"/>
    <n v="3745925.9259259258"/>
    <s v="6-speed"/>
  </r>
  <r>
    <d v="2025-07-06T00:00:00"/>
    <x v="0"/>
    <x v="28"/>
    <x v="0"/>
    <x v="0"/>
    <x v="20"/>
    <n v="319000"/>
    <n v="18"/>
    <n v="5742000"/>
    <x v="0"/>
    <x v="2"/>
    <s v="Single cylinder"/>
    <s v="liquid-cooled"/>
    <x v="11"/>
    <s v="Mid-range"/>
    <n v="4253333.333333333"/>
    <s v="CVT"/>
  </r>
  <r>
    <d v="2025-06-10T00:00:00"/>
    <x v="1"/>
    <x v="25"/>
    <x v="0"/>
    <x v="0"/>
    <x v="48"/>
    <n v="72900"/>
    <n v="7"/>
    <n v="510300"/>
    <x v="0"/>
    <x v="9"/>
    <s v="Single cylinder"/>
    <s v="air-cooled"/>
    <x v="12"/>
    <s v="Entry-level"/>
    <n v="392538.46153846156"/>
    <s v="CVT"/>
  </r>
  <r>
    <d v="2025-08-12T00:00:00"/>
    <x v="2"/>
    <x v="17"/>
    <x v="0"/>
    <x v="0"/>
    <x v="14"/>
    <n v="80900"/>
    <n v="46"/>
    <n v="3721400"/>
    <x v="1"/>
    <x v="2"/>
    <s v="Single cylinder"/>
    <s v="air-cooled"/>
    <x v="14"/>
    <s v="Entry-level"/>
    <n v="2862615.3846153845"/>
    <s v="CVT"/>
  </r>
  <r>
    <d v="2025-06-24T00:00:00"/>
    <x v="1"/>
    <x v="8"/>
    <x v="0"/>
    <x v="0"/>
    <x v="31"/>
    <n v="499000"/>
    <n v="49"/>
    <n v="24451000"/>
    <x v="1"/>
    <x v="14"/>
    <s v="V-twin"/>
    <s v="liquid-cooled"/>
    <x v="21"/>
    <s v="Premium"/>
    <n v="17465000.000000004"/>
    <s v="6-speed"/>
  </r>
  <r>
    <d v="2025-08-03T00:00:00"/>
    <x v="2"/>
    <x v="9"/>
    <x v="0"/>
    <x v="0"/>
    <x v="36"/>
    <n v="67900"/>
    <n v="47"/>
    <n v="3191300"/>
    <x v="1"/>
    <x v="13"/>
    <s v="Single cylinder"/>
    <s v="air-cooled"/>
    <x v="10"/>
    <s v="Entry-level"/>
    <n v="2454846.1538461535"/>
    <s v="4-speed"/>
  </r>
  <r>
    <d v="2025-07-19T00:00:00"/>
    <x v="0"/>
    <x v="15"/>
    <x v="0"/>
    <x v="1"/>
    <x v="1"/>
    <n v="99900"/>
    <n v="17"/>
    <n v="1698300"/>
    <x v="1"/>
    <x v="1"/>
    <s v="Single cylinder"/>
    <s v="air-cooled"/>
    <x v="1"/>
    <s v="Entry-level"/>
    <n v="1306384.6153846153"/>
    <s v="5-speed"/>
  </r>
  <r>
    <d v="2025-07-06T00:00:00"/>
    <x v="0"/>
    <x v="28"/>
    <x v="0"/>
    <x v="1"/>
    <x v="8"/>
    <n v="689000"/>
    <n v="16"/>
    <n v="11024000"/>
    <x v="2"/>
    <x v="6"/>
    <s v="V-twin"/>
    <s v="air-cooled"/>
    <x v="8"/>
    <s v="Premium"/>
    <n v="7874285.7142857146"/>
    <s v="6-speed"/>
  </r>
  <r>
    <d v="2025-08-21T00:00:00"/>
    <x v="2"/>
    <x v="4"/>
    <x v="0"/>
    <x v="1"/>
    <x v="43"/>
    <n v="178000"/>
    <n v="18"/>
    <n v="3204000"/>
    <x v="0"/>
    <x v="5"/>
    <s v="Single cylinder"/>
    <s v="liquid-cooled"/>
    <x v="27"/>
    <s v="Entry-level"/>
    <n v="2464615.3846153845"/>
    <s v="6-speed"/>
  </r>
  <r>
    <d v="2025-06-24T00:00:00"/>
    <x v="1"/>
    <x v="8"/>
    <x v="0"/>
    <x v="1"/>
    <x v="18"/>
    <n v="68900"/>
    <n v="17"/>
    <n v="1171300"/>
    <x v="1"/>
    <x v="10"/>
    <s v="Single cylinder"/>
    <s v="air-cooled"/>
    <x v="1"/>
    <s v="Entry-level"/>
    <n v="901000"/>
    <s v="5-speed"/>
  </r>
  <r>
    <d v="2025-06-23T00:00:00"/>
    <x v="1"/>
    <x v="10"/>
    <x v="0"/>
    <x v="0"/>
    <x v="3"/>
    <n v="248000"/>
    <n v="15"/>
    <n v="3720000"/>
    <x v="2"/>
    <x v="3"/>
    <s v="Single cylinder"/>
    <s v="liquid-cooled"/>
    <x v="3"/>
    <s v="Mid-range"/>
    <n v="2755555.555555555"/>
    <s v="6-speed"/>
  </r>
  <r>
    <d v="2025-08-01T00:00:00"/>
    <x v="2"/>
    <x v="18"/>
    <x v="0"/>
    <x v="1"/>
    <x v="0"/>
    <n v="807000"/>
    <n v="15"/>
    <n v="4035000"/>
    <x v="1"/>
    <x v="0"/>
    <s v="Single cylinder"/>
    <s v="liquid-cooled"/>
    <x v="0"/>
    <s v="Mid-range"/>
    <n v="8966666.666666666"/>
    <s v="6-speed"/>
  </r>
  <r>
    <d v="2025-07-07T00:00:00"/>
    <x v="0"/>
    <x v="21"/>
    <x v="0"/>
    <x v="1"/>
    <x v="24"/>
    <n v="119900"/>
    <n v="17"/>
    <n v="2038300"/>
    <x v="1"/>
    <x v="9"/>
    <s v="Single cylinder"/>
    <s v="liquid-cooled"/>
    <x v="12"/>
    <s v="Entry-level"/>
    <n v="1567923.076923077"/>
    <s v="6-speed"/>
  </r>
  <r>
    <d v="2025-06-12T00:00:00"/>
    <x v="1"/>
    <x v="17"/>
    <x v="0"/>
    <x v="1"/>
    <x v="44"/>
    <n v="165000"/>
    <n v="30"/>
    <n v="4950000"/>
    <x v="2"/>
    <x v="5"/>
    <s v="Single cylinder"/>
    <s v="liquid-cooled"/>
    <x v="11"/>
    <s v="Mid-range"/>
    <n v="3666666.6666666665"/>
    <s v="6-speed"/>
  </r>
  <r>
    <d v="2025-07-25T00:00:00"/>
    <x v="0"/>
    <x v="20"/>
    <x v="0"/>
    <x v="0"/>
    <x v="34"/>
    <n v="78900"/>
    <n v="4"/>
    <n v="315600"/>
    <x v="2"/>
    <x v="3"/>
    <s v="Single cylinder"/>
    <s v="oil-cooled"/>
    <x v="23"/>
    <s v="Mid-range"/>
    <n v="233777.77777777775"/>
    <s v="6-speed"/>
  </r>
  <r>
    <d v="2025-06-13T00:00:00"/>
    <x v="1"/>
    <x v="29"/>
    <x v="0"/>
    <x v="0"/>
    <x v="11"/>
    <n v="165000"/>
    <n v="42"/>
    <n v="6930000"/>
    <x v="1"/>
    <x v="7"/>
    <s v="Single cylinder"/>
    <s v="liquid-cooled"/>
    <x v="11"/>
    <s v="Mid-range"/>
    <n v="5133333.333333333"/>
    <s v="6-speed"/>
  </r>
  <r>
    <d v="2025-06-23T00:00:00"/>
    <x v="1"/>
    <x v="10"/>
    <x v="0"/>
    <x v="1"/>
    <x v="17"/>
    <n v="125900"/>
    <n v="6"/>
    <n v="755400"/>
    <x v="2"/>
    <x v="9"/>
    <s v="Single cylinder"/>
    <s v="liquid-cooled"/>
    <x v="4"/>
    <s v="Entry-level"/>
    <n v="581076.92307692301"/>
    <s v="6-speed"/>
  </r>
  <r>
    <d v="2025-08-28T00:00:00"/>
    <x v="2"/>
    <x v="14"/>
    <x v="0"/>
    <x v="0"/>
    <x v="24"/>
    <n v="119900"/>
    <n v="27"/>
    <n v="3237300"/>
    <x v="1"/>
    <x v="9"/>
    <s v="Single cylinder"/>
    <s v="liquid-cooled"/>
    <x v="12"/>
    <s v="Entry-level"/>
    <n v="2490230.7692307695"/>
    <s v="6-speed"/>
  </r>
  <r>
    <d v="2025-06-30T00:00:00"/>
    <x v="1"/>
    <x v="12"/>
    <x v="0"/>
    <x v="0"/>
    <x v="34"/>
    <n v="78900"/>
    <n v="20"/>
    <n v="1578000"/>
    <x v="1"/>
    <x v="3"/>
    <s v="Single cylinder"/>
    <s v="oil-cooled"/>
    <x v="23"/>
    <s v="Mid-range"/>
    <n v="1168888.8888888888"/>
    <s v="6-speed"/>
  </r>
  <r>
    <d v="2025-06-17T00:00:00"/>
    <x v="1"/>
    <x v="19"/>
    <x v="0"/>
    <x v="1"/>
    <x v="16"/>
    <n v="178000"/>
    <n v="39"/>
    <n v="6942000"/>
    <x v="2"/>
    <x v="5"/>
    <s v="Single cylinder"/>
    <s v="liquid-cooled"/>
    <x v="4"/>
    <s v="Entry-level"/>
    <n v="5339999.9999999991"/>
    <s v="6-speed"/>
  </r>
  <r>
    <d v="2025-08-01T00:00:00"/>
    <x v="2"/>
    <x v="18"/>
    <x v="0"/>
    <x v="0"/>
    <x v="8"/>
    <n v="689000"/>
    <n v="45"/>
    <n v="31005000"/>
    <x v="1"/>
    <x v="6"/>
    <s v="V-twin"/>
    <s v="air-cooled"/>
    <x v="8"/>
    <s v="Premium"/>
    <n v="22146428.571428571"/>
    <s v="6-speed"/>
  </r>
  <r>
    <d v="2025-08-23T00:00:00"/>
    <x v="2"/>
    <x v="10"/>
    <x v="0"/>
    <x v="1"/>
    <x v="28"/>
    <n v="128000"/>
    <n v="31"/>
    <n v="3968000"/>
    <x v="1"/>
    <x v="2"/>
    <s v="Single cylinder"/>
    <s v="liquid-cooled"/>
    <x v="1"/>
    <s v="Entry-level"/>
    <n v="3052307.692307692"/>
    <s v="CVT"/>
  </r>
  <r>
    <d v="2025-08-28T00:00:00"/>
    <x v="2"/>
    <x v="14"/>
    <x v="0"/>
    <x v="0"/>
    <x v="34"/>
    <n v="78900"/>
    <n v="48"/>
    <n v="3787200"/>
    <x v="2"/>
    <x v="3"/>
    <s v="Single cylinder"/>
    <s v="oil-cooled"/>
    <x v="23"/>
    <s v="Mid-range"/>
    <n v="2805333.333333333"/>
    <s v="6-speed"/>
  </r>
  <r>
    <d v="2025-08-25T00:00:00"/>
    <x v="2"/>
    <x v="20"/>
    <x v="0"/>
    <x v="0"/>
    <x v="40"/>
    <n v="340000"/>
    <n v="13"/>
    <n v="4420000"/>
    <x v="1"/>
    <x v="7"/>
    <s v="Parallel-twin"/>
    <s v="liquid-cooled"/>
    <x v="25"/>
    <s v="Mid-range"/>
    <n v="3274074.0740740737"/>
    <s v="6-speed"/>
  </r>
  <r>
    <d v="2025-06-13T00:00:00"/>
    <x v="1"/>
    <x v="29"/>
    <x v="0"/>
    <x v="1"/>
    <x v="8"/>
    <n v="689000"/>
    <n v="5"/>
    <n v="3445000"/>
    <x v="1"/>
    <x v="6"/>
    <s v="V-twin"/>
    <s v="air-cooled"/>
    <x v="8"/>
    <s v="Premium"/>
    <n v="2460714.2857142859"/>
    <s v="6-speed"/>
  </r>
  <r>
    <d v="2025-06-19T00:00:00"/>
    <x v="1"/>
    <x v="15"/>
    <x v="0"/>
    <x v="1"/>
    <x v="49"/>
    <n v="250000"/>
    <n v="6"/>
    <n v="1500000"/>
    <x v="0"/>
    <x v="16"/>
    <s v="Single cylinder"/>
    <s v="air-cooled"/>
    <x v="30"/>
    <s v="Mid-range"/>
    <n v="1111111.111111111"/>
    <s v="5-speed"/>
  </r>
  <r>
    <d v="2025-07-19T00:00:00"/>
    <x v="0"/>
    <x v="15"/>
    <x v="0"/>
    <x v="0"/>
    <x v="27"/>
    <n v="48000"/>
    <n v="10"/>
    <n v="480000"/>
    <x v="2"/>
    <x v="13"/>
    <s v="Single cylinder"/>
    <s v="air-cooled"/>
    <x v="10"/>
    <s v="Entry-level"/>
    <n v="369230.76923076925"/>
    <s v="4-speed"/>
  </r>
  <r>
    <d v="2025-06-12T00:00:00"/>
    <x v="1"/>
    <x v="17"/>
    <x v="0"/>
    <x v="0"/>
    <x v="22"/>
    <n v="284900"/>
    <n v="32"/>
    <n v="9116800"/>
    <x v="0"/>
    <x v="12"/>
    <s v="Single cylinder"/>
    <s v="liquid-cooled"/>
    <x v="16"/>
    <s v="Mid-range"/>
    <n v="6753185.1851851847"/>
    <s v="6-speed"/>
  </r>
  <r>
    <d v="2025-07-31T00:00:00"/>
    <x v="0"/>
    <x v="3"/>
    <x v="0"/>
    <x v="1"/>
    <x v="42"/>
    <n v="198000"/>
    <n v="5"/>
    <n v="990000"/>
    <x v="2"/>
    <x v="7"/>
    <s v="Single cylinder"/>
    <s v="liquid-cooled"/>
    <x v="27"/>
    <s v="Entry-level"/>
    <n v="761538.4615384615"/>
    <s v="6-speed"/>
  </r>
  <r>
    <d v="2025-06-19T00:00:00"/>
    <x v="1"/>
    <x v="15"/>
    <x v="0"/>
    <x v="1"/>
    <x v="34"/>
    <n v="78900"/>
    <n v="2"/>
    <n v="157800"/>
    <x v="1"/>
    <x v="3"/>
    <s v="Single cylinder"/>
    <s v="oil-cooled"/>
    <x v="23"/>
    <s v="Mid-range"/>
    <n v="116888.88888888888"/>
    <s v="6-speed"/>
  </r>
  <r>
    <d v="2025-08-15T00:00:00"/>
    <x v="2"/>
    <x v="1"/>
    <x v="0"/>
    <x v="1"/>
    <x v="49"/>
    <n v="250000"/>
    <n v="17"/>
    <n v="4250000"/>
    <x v="1"/>
    <x v="16"/>
    <s v="Single cylinder"/>
    <s v="air-cooled"/>
    <x v="30"/>
    <s v="Mid-range"/>
    <n v="3148148.1481481479"/>
    <s v="5-speed"/>
  </r>
  <r>
    <d v="2025-06-09T00:00:00"/>
    <x v="1"/>
    <x v="22"/>
    <x v="0"/>
    <x v="1"/>
    <x v="23"/>
    <n v="125000"/>
    <n v="17"/>
    <n v="2125000"/>
    <x v="1"/>
    <x v="5"/>
    <s v="Single cylinder"/>
    <s v="liquid-cooled"/>
    <x v="17"/>
    <s v="Entry-level"/>
    <n v="1634615.3846153847"/>
    <s v="6-speed"/>
  </r>
  <r>
    <d v="2025-08-10T00:00:00"/>
    <x v="2"/>
    <x v="25"/>
    <x v="0"/>
    <x v="1"/>
    <x v="26"/>
    <n v="960000"/>
    <n v="49"/>
    <n v="15680000"/>
    <x v="0"/>
    <x v="3"/>
    <s v="Single cylinder"/>
    <s v="liquid-cooled"/>
    <x v="18"/>
    <s v="Mid-range"/>
    <n v="34844444.44444444"/>
    <s v="6-speed"/>
  </r>
  <r>
    <d v="2025-06-28T00:00:00"/>
    <x v="1"/>
    <x v="14"/>
    <x v="0"/>
    <x v="0"/>
    <x v="26"/>
    <n v="320000"/>
    <n v="3"/>
    <n v="960000"/>
    <x v="2"/>
    <x v="3"/>
    <s v="Single cylinder"/>
    <s v="liquid-cooled"/>
    <x v="18"/>
    <s v="Mid-range"/>
    <n v="711111.11111111101"/>
    <s v="6-speed"/>
  </r>
  <r>
    <d v="2025-08-17T00:00:00"/>
    <x v="2"/>
    <x v="19"/>
    <x v="0"/>
    <x v="1"/>
    <x v="39"/>
    <n v="151900"/>
    <n v="21"/>
    <n v="3189900"/>
    <x v="2"/>
    <x v="2"/>
    <s v="Single cylinder"/>
    <s v="liquid-cooled"/>
    <x v="4"/>
    <s v="Entry-level"/>
    <n v="2453769.2307692305"/>
    <s v="CVT"/>
  </r>
  <r>
    <d v="2025-07-22T00:00:00"/>
    <x v="0"/>
    <x v="0"/>
    <x v="0"/>
    <x v="0"/>
    <x v="35"/>
    <n v="199000"/>
    <n v="2"/>
    <n v="398000"/>
    <x v="1"/>
    <x v="12"/>
    <s v="Single cylinder"/>
    <s v="air-cooled"/>
    <x v="24"/>
    <s v="Mid-range"/>
    <n v="294814.81481481477"/>
    <s v="6-speed"/>
  </r>
  <r>
    <d v="2025-08-22T00:00:00"/>
    <x v="2"/>
    <x v="0"/>
    <x v="0"/>
    <x v="1"/>
    <x v="38"/>
    <n v="398000"/>
    <n v="27"/>
    <n v="10746000"/>
    <x v="2"/>
    <x v="14"/>
    <s v="Parallel-twin"/>
    <s v="liquid-cooled"/>
    <x v="15"/>
    <s v="Premium"/>
    <n v="7675714.2857142864"/>
    <s v="6-speed"/>
  </r>
  <r>
    <d v="2025-06-16T00:00:00"/>
    <x v="1"/>
    <x v="30"/>
    <x v="0"/>
    <x v="0"/>
    <x v="1"/>
    <n v="99900"/>
    <n v="12"/>
    <n v="1198800"/>
    <x v="0"/>
    <x v="1"/>
    <s v="Single cylinder"/>
    <s v="air-cooled"/>
    <x v="1"/>
    <s v="Entry-level"/>
    <n v="922153.84615384613"/>
    <s v="5-speed"/>
  </r>
  <r>
    <d v="2025-08-08T00:00:00"/>
    <x v="2"/>
    <x v="13"/>
    <x v="0"/>
    <x v="0"/>
    <x v="13"/>
    <n v="164900"/>
    <n v="28"/>
    <n v="4617200"/>
    <x v="2"/>
    <x v="2"/>
    <s v="Single cylinder"/>
    <s v="liquid-cooled"/>
    <x v="13"/>
    <s v="Entry-level"/>
    <n v="3551692.3076923075"/>
    <s v="CVT"/>
  </r>
  <r>
    <d v="2025-06-12T00:00:00"/>
    <x v="1"/>
    <x v="17"/>
    <x v="0"/>
    <x v="1"/>
    <x v="47"/>
    <n v="182000"/>
    <n v="20"/>
    <n v="3640000"/>
    <x v="1"/>
    <x v="15"/>
    <s v="Single cylinder"/>
    <s v="liquid-cooled"/>
    <x v="4"/>
    <s v="Entry-level"/>
    <n v="2800000"/>
    <s v="6-speed"/>
  </r>
  <r>
    <d v="2025-06-25T00:00:00"/>
    <x v="1"/>
    <x v="20"/>
    <x v="0"/>
    <x v="1"/>
    <x v="6"/>
    <n v="599000"/>
    <n v="5"/>
    <n v="2995000"/>
    <x v="0"/>
    <x v="5"/>
    <s v="Parallel-twin"/>
    <s v="liquid-cooled"/>
    <x v="6"/>
    <s v="Premium"/>
    <n v="2139285.7142857146"/>
    <s v="6-speed"/>
  </r>
  <r>
    <d v="2025-07-22T00:00:00"/>
    <x v="0"/>
    <x v="0"/>
    <x v="0"/>
    <x v="0"/>
    <x v="7"/>
    <n v="398000"/>
    <n v="18"/>
    <n v="7164000"/>
    <x v="0"/>
    <x v="2"/>
    <s v="Single cylinder"/>
    <s v="liquid-cooled"/>
    <x v="7"/>
    <s v="Mid-range"/>
    <n v="5306666.666666666"/>
    <s v="CVT"/>
  </r>
  <r>
    <d v="2025-08-24T00:00:00"/>
    <x v="2"/>
    <x v="8"/>
    <x v="0"/>
    <x v="0"/>
    <x v="0"/>
    <n v="269000"/>
    <n v="19"/>
    <n v="5111000"/>
    <x v="1"/>
    <x v="0"/>
    <s v="Single cylinder"/>
    <s v="liquid-cooled"/>
    <x v="0"/>
    <s v="Mid-range"/>
    <n v="3785925.9259259254"/>
    <s v="6-speed"/>
  </r>
  <r>
    <d v="2025-07-23T00:00:00"/>
    <x v="0"/>
    <x v="10"/>
    <x v="0"/>
    <x v="1"/>
    <x v="24"/>
    <n v="119900"/>
    <n v="8"/>
    <n v="959200"/>
    <x v="0"/>
    <x v="9"/>
    <s v="Single cylinder"/>
    <s v="liquid-cooled"/>
    <x v="12"/>
    <s v="Entry-level"/>
    <n v="737846.15384615387"/>
    <s v="6-speed"/>
  </r>
  <r>
    <d v="2025-06-23T00:00:00"/>
    <x v="1"/>
    <x v="10"/>
    <x v="0"/>
    <x v="0"/>
    <x v="16"/>
    <n v="178000"/>
    <n v="16"/>
    <n v="2848000"/>
    <x v="2"/>
    <x v="5"/>
    <s v="Single cylinder"/>
    <s v="liquid-cooled"/>
    <x v="4"/>
    <s v="Entry-level"/>
    <n v="2190769.2307692305"/>
    <s v="6-speed"/>
  </r>
  <r>
    <d v="2025-06-16T00:00:00"/>
    <x v="1"/>
    <x v="30"/>
    <x v="0"/>
    <x v="1"/>
    <x v="16"/>
    <n v="178000"/>
    <n v="36"/>
    <n v="6408000"/>
    <x v="2"/>
    <x v="5"/>
    <s v="Single cylinder"/>
    <s v="liquid-cooled"/>
    <x v="4"/>
    <s v="Entry-level"/>
    <n v="4929230.769230769"/>
    <s v="6-speed"/>
  </r>
  <r>
    <d v="2025-07-27T00:00:00"/>
    <x v="0"/>
    <x v="7"/>
    <x v="0"/>
    <x v="1"/>
    <x v="31"/>
    <n v="499000"/>
    <n v="22"/>
    <n v="10978000"/>
    <x v="0"/>
    <x v="14"/>
    <s v="V-twin"/>
    <s v="liquid-cooled"/>
    <x v="21"/>
    <s v="Premium"/>
    <n v="7841428.5714285728"/>
    <s v="6-speed"/>
  </r>
  <r>
    <d v="2025-07-09T00:00:00"/>
    <x v="0"/>
    <x v="22"/>
    <x v="0"/>
    <x v="1"/>
    <x v="39"/>
    <n v="151900"/>
    <n v="9"/>
    <n v="1367100"/>
    <x v="1"/>
    <x v="2"/>
    <s v="Single cylinder"/>
    <s v="liquid-cooled"/>
    <x v="4"/>
    <s v="Entry-level"/>
    <n v="1051615.3846153845"/>
    <s v="CVT"/>
  </r>
  <r>
    <d v="2025-07-23T00:00:00"/>
    <x v="0"/>
    <x v="10"/>
    <x v="0"/>
    <x v="1"/>
    <x v="24"/>
    <n v="119900"/>
    <n v="30"/>
    <n v="3597000"/>
    <x v="2"/>
    <x v="9"/>
    <s v="Single cylinder"/>
    <s v="liquid-cooled"/>
    <x v="12"/>
    <s v="Entry-level"/>
    <n v="2766923.076923077"/>
    <s v="6-speed"/>
  </r>
  <r>
    <d v="2025-07-12T00:00:00"/>
    <x v="0"/>
    <x v="17"/>
    <x v="0"/>
    <x v="0"/>
    <x v="48"/>
    <n v="72900"/>
    <n v="2"/>
    <n v="145800"/>
    <x v="0"/>
    <x v="9"/>
    <s v="Single cylinder"/>
    <s v="air-cooled"/>
    <x v="12"/>
    <s v="Entry-level"/>
    <n v="112153.84615384616"/>
    <s v="CVT"/>
  </r>
  <r>
    <d v="2025-07-28T00:00:00"/>
    <x v="0"/>
    <x v="14"/>
    <x v="0"/>
    <x v="0"/>
    <x v="7"/>
    <n v="398000"/>
    <n v="4"/>
    <n v="1592000"/>
    <x v="2"/>
    <x v="2"/>
    <s v="Single cylinder"/>
    <s v="liquid-cooled"/>
    <x v="7"/>
    <s v="Mid-range"/>
    <n v="1179259.2592592591"/>
    <s v="CVT"/>
  </r>
  <r>
    <d v="2025-07-09T00:00:00"/>
    <x v="0"/>
    <x v="22"/>
    <x v="0"/>
    <x v="1"/>
    <x v="1"/>
    <n v="99900"/>
    <n v="16"/>
    <n v="1598400"/>
    <x v="2"/>
    <x v="1"/>
    <s v="Single cylinder"/>
    <s v="air-cooled"/>
    <x v="1"/>
    <s v="Entry-level"/>
    <n v="1229538.4615384615"/>
    <s v="5-speed"/>
  </r>
  <r>
    <d v="2025-06-14T00:00:00"/>
    <x v="1"/>
    <x v="6"/>
    <x v="0"/>
    <x v="1"/>
    <x v="2"/>
    <n v="289000"/>
    <n v="18"/>
    <n v="5202000"/>
    <x v="0"/>
    <x v="2"/>
    <s v="Single cylinder"/>
    <s v="liquid-cooled"/>
    <x v="2"/>
    <s v="Entry-level"/>
    <n v="4001538.4615384615"/>
    <s v="CVT"/>
  </r>
  <r>
    <d v="2025-06-05T00:00:00"/>
    <x v="1"/>
    <x v="26"/>
    <x v="0"/>
    <x v="1"/>
    <x v="24"/>
    <n v="119900"/>
    <n v="20"/>
    <n v="2398000"/>
    <x v="2"/>
    <x v="9"/>
    <s v="Single cylinder"/>
    <s v="liquid-cooled"/>
    <x v="12"/>
    <s v="Entry-level"/>
    <n v="1844615.3846153847"/>
    <s v="6-speed"/>
  </r>
  <r>
    <d v="2025-07-05T00:00:00"/>
    <x v="0"/>
    <x v="26"/>
    <x v="0"/>
    <x v="1"/>
    <x v="15"/>
    <n v="345000"/>
    <n v="24"/>
    <n v="8280000"/>
    <x v="2"/>
    <x v="8"/>
    <s v="Parallel-twin"/>
    <s v="liquid-cooled"/>
    <x v="15"/>
    <s v="Premium"/>
    <n v="5914285.7142857146"/>
    <s v="6-speed"/>
  </r>
  <r>
    <d v="2025-08-26T00:00:00"/>
    <x v="2"/>
    <x v="5"/>
    <x v="0"/>
    <x v="0"/>
    <x v="42"/>
    <n v="198000"/>
    <n v="44"/>
    <n v="8712000"/>
    <x v="1"/>
    <x v="7"/>
    <s v="Single cylinder"/>
    <s v="liquid-cooled"/>
    <x v="27"/>
    <s v="Entry-level"/>
    <n v="6701538.461538462"/>
    <s v="6-speed"/>
  </r>
  <r>
    <d v="2025-08-14T00:00:00"/>
    <x v="2"/>
    <x v="6"/>
    <x v="0"/>
    <x v="1"/>
    <x v="37"/>
    <n v="331000"/>
    <n v="45"/>
    <n v="14895000"/>
    <x v="0"/>
    <x v="5"/>
    <s v="Parallel-twin"/>
    <s v="liquid-cooled"/>
    <x v="25"/>
    <s v="Mid-range"/>
    <n v="11033333.333333332"/>
    <s v="6-speed"/>
  </r>
  <r>
    <d v="2025-06-18T00:00:00"/>
    <x v="1"/>
    <x v="23"/>
    <x v="0"/>
    <x v="0"/>
    <x v="17"/>
    <n v="125900"/>
    <n v="18"/>
    <n v="2266200"/>
    <x v="0"/>
    <x v="9"/>
    <s v="Single cylinder"/>
    <s v="liquid-cooled"/>
    <x v="4"/>
    <s v="Entry-level"/>
    <n v="1743230.7692307692"/>
    <s v="6-speed"/>
  </r>
  <r>
    <d v="2025-08-15T00:00:00"/>
    <x v="2"/>
    <x v="1"/>
    <x v="0"/>
    <x v="1"/>
    <x v="21"/>
    <n v="389000"/>
    <n v="41"/>
    <n v="15949000"/>
    <x v="2"/>
    <x v="7"/>
    <s v="Parallel-twin"/>
    <s v="liquid-cooled"/>
    <x v="9"/>
    <s v="Mid-range"/>
    <n v="11814074.074074075"/>
    <s v="6-speed"/>
  </r>
  <r>
    <d v="2025-06-09T00:00:00"/>
    <x v="1"/>
    <x v="22"/>
    <x v="0"/>
    <x v="1"/>
    <x v="30"/>
    <n v="995000"/>
    <n v="25"/>
    <n v="24875000"/>
    <x v="1"/>
    <x v="6"/>
    <s v="Flat twin"/>
    <s v="air"/>
    <x v="20"/>
    <s v="Premium"/>
    <n v="17767857.142857146"/>
    <n v="0"/>
  </r>
  <r>
    <d v="2025-08-13T00:00:00"/>
    <x v="2"/>
    <x v="29"/>
    <x v="0"/>
    <x v="1"/>
    <x v="46"/>
    <n v="650000"/>
    <n v="4"/>
    <n v="2600000"/>
    <x v="1"/>
    <x v="14"/>
    <s v="Parallel-twin"/>
    <s v="liquid-cooled"/>
    <x v="29"/>
    <s v="Premium"/>
    <n v="1857142.8571428573"/>
    <s v="6-speed"/>
  </r>
  <r>
    <d v="2025-07-28T00:00:00"/>
    <x v="0"/>
    <x v="14"/>
    <x v="0"/>
    <x v="1"/>
    <x v="35"/>
    <n v="199000"/>
    <n v="17"/>
    <n v="3383000"/>
    <x v="0"/>
    <x v="12"/>
    <s v="Single cylinder"/>
    <s v="air-cooled"/>
    <x v="24"/>
    <s v="Mid-range"/>
    <n v="2505925.9259259254"/>
    <s v="6-speed"/>
  </r>
  <r>
    <d v="2025-06-17T00:00:00"/>
    <x v="1"/>
    <x v="19"/>
    <x v="0"/>
    <x v="1"/>
    <x v="25"/>
    <n v="79900"/>
    <n v="14"/>
    <n v="1118600"/>
    <x v="1"/>
    <x v="2"/>
    <s v="Single cylinder"/>
    <s v="air-cooled"/>
    <x v="14"/>
    <s v="Entry-level"/>
    <n v="860461.5384615385"/>
    <s v="CVT"/>
  </r>
  <r>
    <d v="2025-06-07T00:00:00"/>
    <x v="1"/>
    <x v="21"/>
    <x v="0"/>
    <x v="1"/>
    <x v="7"/>
    <n v="398000"/>
    <n v="20"/>
    <n v="7960000"/>
    <x v="0"/>
    <x v="2"/>
    <s v="Single cylinder"/>
    <s v="liquid-cooled"/>
    <x v="7"/>
    <s v="Mid-range"/>
    <n v="5896296.2962962957"/>
    <s v="CVT"/>
  </r>
  <r>
    <d v="2025-07-16T00:00:00"/>
    <x v="0"/>
    <x v="30"/>
    <x v="0"/>
    <x v="0"/>
    <x v="10"/>
    <n v="80900"/>
    <n v="12"/>
    <n v="970800"/>
    <x v="1"/>
    <x v="2"/>
    <s v="Single cylinder"/>
    <s v="liquid-cooled"/>
    <x v="10"/>
    <s v="Entry-level"/>
    <n v="746769.23076923075"/>
    <s v="CVT"/>
  </r>
  <r>
    <d v="2025-06-13T00:00:00"/>
    <x v="1"/>
    <x v="29"/>
    <x v="0"/>
    <x v="1"/>
    <x v="45"/>
    <n v="129000"/>
    <n v="16"/>
    <n v="2064000"/>
    <x v="2"/>
    <x v="5"/>
    <s v="Single cylinder"/>
    <s v="oil-cooled"/>
    <x v="28"/>
    <s v="Entry-level"/>
    <n v="1587692.3076923077"/>
    <s v="5-speed"/>
  </r>
  <r>
    <d v="2025-07-10T00:00:00"/>
    <x v="0"/>
    <x v="25"/>
    <x v="0"/>
    <x v="1"/>
    <x v="3"/>
    <n v="248000"/>
    <n v="49"/>
    <n v="12152000"/>
    <x v="2"/>
    <x v="3"/>
    <s v="Single cylinder"/>
    <s v="liquid-cooled"/>
    <x v="3"/>
    <s v="Mid-range"/>
    <n v="9001481.4814814795"/>
    <s v="6-speed"/>
  </r>
  <r>
    <d v="2025-07-12T00:00:00"/>
    <x v="0"/>
    <x v="17"/>
    <x v="0"/>
    <x v="1"/>
    <x v="7"/>
    <n v="398000"/>
    <n v="5"/>
    <n v="1990000"/>
    <x v="0"/>
    <x v="2"/>
    <s v="Single cylinder"/>
    <s v="liquid-cooled"/>
    <x v="7"/>
    <s v="Mid-range"/>
    <n v="1474074.0740740739"/>
    <s v="CVT"/>
  </r>
  <r>
    <d v="2025-06-09T00:00:00"/>
    <x v="1"/>
    <x v="22"/>
    <x v="0"/>
    <x v="0"/>
    <x v="23"/>
    <n v="125000"/>
    <n v="8"/>
    <n v="1000000"/>
    <x v="0"/>
    <x v="5"/>
    <s v="Single cylinder"/>
    <s v="liquid-cooled"/>
    <x v="17"/>
    <s v="Entry-level"/>
    <n v="769230.76923076925"/>
    <s v="6-speed"/>
  </r>
  <r>
    <d v="2025-07-20T00:00:00"/>
    <x v="0"/>
    <x v="27"/>
    <x v="0"/>
    <x v="1"/>
    <x v="24"/>
    <n v="119900"/>
    <n v="37"/>
    <n v="4436300"/>
    <x v="2"/>
    <x v="9"/>
    <s v="Single cylinder"/>
    <s v="liquid-cooled"/>
    <x v="12"/>
    <s v="Entry-level"/>
    <n v="3412538.4615384615"/>
    <s v="6-speed"/>
  </r>
  <r>
    <d v="2025-06-27T00:00:00"/>
    <x v="1"/>
    <x v="7"/>
    <x v="0"/>
    <x v="0"/>
    <x v="46"/>
    <n v="650000"/>
    <n v="8"/>
    <n v="5200000"/>
    <x v="2"/>
    <x v="14"/>
    <s v="Parallel-twin"/>
    <s v="liquid-cooled"/>
    <x v="29"/>
    <s v="Premium"/>
    <n v="3714285.7142857146"/>
    <s v="6-speed"/>
  </r>
  <r>
    <d v="2025-08-05T00:00:00"/>
    <x v="2"/>
    <x v="26"/>
    <x v="0"/>
    <x v="0"/>
    <x v="16"/>
    <n v="534000"/>
    <n v="12"/>
    <n v="2136000"/>
    <x v="0"/>
    <x v="5"/>
    <s v="Single cylinder"/>
    <s v="liquid-cooled"/>
    <x v="4"/>
    <s v="Entry-level"/>
    <n v="4929230.769230769"/>
    <s v="6-speed"/>
  </r>
  <r>
    <d v="2025-06-05T00:00:00"/>
    <x v="1"/>
    <x v="26"/>
    <x v="0"/>
    <x v="1"/>
    <x v="10"/>
    <n v="80900"/>
    <n v="14"/>
    <n v="1132600"/>
    <x v="2"/>
    <x v="2"/>
    <s v="Single cylinder"/>
    <s v="liquid-cooled"/>
    <x v="10"/>
    <s v="Entry-level"/>
    <n v="871230.76923076913"/>
    <s v="CVT"/>
  </r>
  <r>
    <d v="2025-06-29T00:00:00"/>
    <x v="1"/>
    <x v="16"/>
    <x v="0"/>
    <x v="1"/>
    <x v="9"/>
    <n v="328000"/>
    <n v="12"/>
    <n v="3936000"/>
    <x v="0"/>
    <x v="0"/>
    <s v="Twin cylinder"/>
    <s v="air-cooled"/>
    <x v="9"/>
    <s v="Mid-range"/>
    <n v="2915555.5555555555"/>
    <s v="6-speed"/>
  </r>
  <r>
    <d v="2025-07-07T00:00:00"/>
    <x v="0"/>
    <x v="21"/>
    <x v="0"/>
    <x v="1"/>
    <x v="33"/>
    <n v="369000"/>
    <n v="49"/>
    <n v="18081000"/>
    <x v="2"/>
    <x v="3"/>
    <s v="Parallel-twin"/>
    <s v="liquid-cooled"/>
    <x v="15"/>
    <s v="Premium"/>
    <n v="12915000"/>
    <s v="6-speed"/>
  </r>
  <r>
    <d v="2025-07-08T00:00:00"/>
    <x v="0"/>
    <x v="13"/>
    <x v="0"/>
    <x v="1"/>
    <x v="36"/>
    <n v="67900"/>
    <n v="4"/>
    <n v="271600"/>
    <x v="2"/>
    <x v="13"/>
    <s v="Single cylinder"/>
    <s v="air-cooled"/>
    <x v="10"/>
    <s v="Entry-level"/>
    <n v="208923.07692307691"/>
    <s v="4-speed"/>
  </r>
  <r>
    <d v="2025-08-22T00:00:00"/>
    <x v="2"/>
    <x v="0"/>
    <x v="0"/>
    <x v="1"/>
    <x v="44"/>
    <n v="165000"/>
    <n v="47"/>
    <n v="7755000"/>
    <x v="1"/>
    <x v="5"/>
    <s v="Single cylinder"/>
    <s v="liquid-cooled"/>
    <x v="11"/>
    <s v="Mid-range"/>
    <n v="5744444.444444444"/>
    <s v="6-speed"/>
  </r>
  <r>
    <d v="2025-06-08T00:00:00"/>
    <x v="1"/>
    <x v="13"/>
    <x v="0"/>
    <x v="1"/>
    <x v="11"/>
    <n v="165000"/>
    <n v="1"/>
    <n v="165000"/>
    <x v="1"/>
    <x v="7"/>
    <s v="Single cylinder"/>
    <s v="liquid-cooled"/>
    <x v="11"/>
    <s v="Mid-range"/>
    <n v="122222.22222222222"/>
    <s v="6-speed"/>
  </r>
  <r>
    <d v="2025-08-04T00:00:00"/>
    <x v="2"/>
    <x v="24"/>
    <x v="0"/>
    <x v="1"/>
    <x v="29"/>
    <n v="349000"/>
    <n v="5"/>
    <n v="1745000"/>
    <x v="2"/>
    <x v="14"/>
    <s v="Parallel-twin"/>
    <s v="liquid-cooled"/>
    <x v="19"/>
    <s v="Mid-range"/>
    <n v="1292592.5925925926"/>
    <s v="6-speed"/>
  </r>
  <r>
    <d v="2025-08-25T00:00:00"/>
    <x v="2"/>
    <x v="20"/>
    <x v="0"/>
    <x v="1"/>
    <x v="23"/>
    <n v="125000"/>
    <n v="19"/>
    <n v="2375000"/>
    <x v="2"/>
    <x v="5"/>
    <s v="Single cylinder"/>
    <s v="liquid-cooled"/>
    <x v="17"/>
    <s v="Entry-level"/>
    <n v="1826923.076923077"/>
    <s v="6-speed"/>
  </r>
  <r>
    <d v="2025-06-17T00:00:00"/>
    <x v="1"/>
    <x v="19"/>
    <x v="0"/>
    <x v="0"/>
    <x v="37"/>
    <n v="331000"/>
    <n v="46"/>
    <n v="15226000"/>
    <x v="1"/>
    <x v="5"/>
    <s v="Parallel-twin"/>
    <s v="liquid-cooled"/>
    <x v="25"/>
    <s v="Mid-range"/>
    <n v="11278518.518518519"/>
    <s v="6-speed"/>
  </r>
  <r>
    <d v="2025-08-10T00:00:00"/>
    <x v="2"/>
    <x v="25"/>
    <x v="0"/>
    <x v="0"/>
    <x v="49"/>
    <n v="250000"/>
    <n v="44"/>
    <n v="11000000"/>
    <x v="0"/>
    <x v="16"/>
    <s v="Single cylinder"/>
    <s v="air-cooled"/>
    <x v="30"/>
    <s v="Mid-range"/>
    <n v="8148148.1481481474"/>
    <s v="5-speed"/>
  </r>
  <r>
    <d v="2025-08-28T00:00:00"/>
    <x v="2"/>
    <x v="14"/>
    <x v="0"/>
    <x v="1"/>
    <x v="31"/>
    <n v="499000"/>
    <n v="13"/>
    <n v="6487000"/>
    <x v="2"/>
    <x v="14"/>
    <s v="V-twin"/>
    <s v="liquid-cooled"/>
    <x v="21"/>
    <s v="Premium"/>
    <n v="4633571.4285714291"/>
    <s v="6-speed"/>
  </r>
  <r>
    <d v="2025-07-15T00:00:00"/>
    <x v="0"/>
    <x v="1"/>
    <x v="0"/>
    <x v="0"/>
    <x v="38"/>
    <n v="398000"/>
    <n v="37"/>
    <n v="14726000"/>
    <x v="0"/>
    <x v="14"/>
    <s v="Parallel-twin"/>
    <s v="liquid-cooled"/>
    <x v="15"/>
    <s v="Premium"/>
    <n v="10518571.428571429"/>
    <s v="6-speed"/>
  </r>
  <r>
    <d v="2025-06-04T00:00:00"/>
    <x v="1"/>
    <x v="24"/>
    <x v="0"/>
    <x v="0"/>
    <x v="28"/>
    <n v="128000"/>
    <n v="7"/>
    <n v="896000"/>
    <x v="0"/>
    <x v="2"/>
    <s v="Single cylinder"/>
    <s v="liquid-cooled"/>
    <x v="1"/>
    <s v="Entry-level"/>
    <n v="689230.76923076913"/>
    <s v="CVT"/>
  </r>
  <r>
    <d v="2025-07-06T00:00:00"/>
    <x v="0"/>
    <x v="28"/>
    <x v="0"/>
    <x v="0"/>
    <x v="44"/>
    <n v="165000"/>
    <n v="18"/>
    <n v="2970000"/>
    <x v="1"/>
    <x v="5"/>
    <s v="Single cylinder"/>
    <s v="liquid-cooled"/>
    <x v="11"/>
    <s v="Mid-range"/>
    <n v="2200000"/>
    <s v="6-speed"/>
  </r>
  <r>
    <d v="2025-08-09T00:00:00"/>
    <x v="2"/>
    <x v="22"/>
    <x v="0"/>
    <x v="0"/>
    <x v="18"/>
    <n v="68900"/>
    <n v="6"/>
    <n v="413400"/>
    <x v="0"/>
    <x v="10"/>
    <s v="Single cylinder"/>
    <s v="air-cooled"/>
    <x v="1"/>
    <s v="Entry-level"/>
    <n v="318000"/>
    <s v="5-speed"/>
  </r>
  <r>
    <d v="2025-07-01T00:00:00"/>
    <x v="0"/>
    <x v="18"/>
    <x v="0"/>
    <x v="0"/>
    <x v="8"/>
    <n v="689000"/>
    <n v="10"/>
    <n v="6890000"/>
    <x v="2"/>
    <x v="6"/>
    <s v="V-twin"/>
    <s v="air-cooled"/>
    <x v="8"/>
    <s v="Premium"/>
    <n v="4921428.5714285718"/>
    <s v="6-speed"/>
  </r>
  <r>
    <d v="2025-06-19T00:00:00"/>
    <x v="1"/>
    <x v="15"/>
    <x v="0"/>
    <x v="0"/>
    <x v="49"/>
    <n v="250000"/>
    <n v="38"/>
    <n v="9500000"/>
    <x v="1"/>
    <x v="16"/>
    <s v="Single cylinder"/>
    <s v="air-cooled"/>
    <x v="30"/>
    <s v="Mid-range"/>
    <n v="7037037.0370370364"/>
    <s v="5-speed"/>
  </r>
  <r>
    <d v="2025-07-31T00:00:00"/>
    <x v="0"/>
    <x v="3"/>
    <x v="0"/>
    <x v="0"/>
    <x v="38"/>
    <n v="398000"/>
    <n v="44"/>
    <n v="17512000"/>
    <x v="1"/>
    <x v="14"/>
    <s v="Parallel-twin"/>
    <s v="liquid-cooled"/>
    <x v="15"/>
    <s v="Premium"/>
    <n v="12508571.428571429"/>
    <s v="6-speed"/>
  </r>
  <r>
    <d v="2025-07-24T00:00:00"/>
    <x v="0"/>
    <x v="8"/>
    <x v="0"/>
    <x v="1"/>
    <x v="49"/>
    <n v="250000"/>
    <n v="6"/>
    <n v="1500000"/>
    <x v="2"/>
    <x v="16"/>
    <s v="Single cylinder"/>
    <s v="air-cooled"/>
    <x v="30"/>
    <s v="Mid-range"/>
    <n v="1111111.111111111"/>
    <s v="5-speed"/>
  </r>
  <r>
    <d v="2025-07-09T00:00:00"/>
    <x v="0"/>
    <x v="22"/>
    <x v="0"/>
    <x v="1"/>
    <x v="38"/>
    <n v="398000"/>
    <n v="11"/>
    <n v="4378000"/>
    <x v="0"/>
    <x v="14"/>
    <s v="Parallel-twin"/>
    <s v="liquid-cooled"/>
    <x v="15"/>
    <s v="Premium"/>
    <n v="3127142.8571428573"/>
    <s v="6-speed"/>
  </r>
  <r>
    <d v="2025-08-30T00:00:00"/>
    <x v="2"/>
    <x v="12"/>
    <x v="0"/>
    <x v="0"/>
    <x v="30"/>
    <n v="995000"/>
    <n v="10"/>
    <n v="9950000"/>
    <x v="1"/>
    <x v="6"/>
    <s v="Flat twin"/>
    <s v="air"/>
    <x v="20"/>
    <s v="Premium"/>
    <n v="7107142.8571428582"/>
    <n v="0"/>
  </r>
  <r>
    <d v="2025-08-13T00:00:00"/>
    <x v="2"/>
    <x v="29"/>
    <x v="0"/>
    <x v="1"/>
    <x v="0"/>
    <n v="269000"/>
    <n v="13"/>
    <n v="3497000"/>
    <x v="0"/>
    <x v="0"/>
    <s v="Single cylinder"/>
    <s v="liquid-cooled"/>
    <x v="0"/>
    <s v="Mid-range"/>
    <n v="2590370.3703703703"/>
    <s v="6-speed"/>
  </r>
  <r>
    <d v="2025-08-29T00:00:00"/>
    <x v="2"/>
    <x v="16"/>
    <x v="0"/>
    <x v="0"/>
    <x v="13"/>
    <n v="164900"/>
    <n v="19"/>
    <n v="3133100"/>
    <x v="2"/>
    <x v="2"/>
    <s v="Single cylinder"/>
    <s v="liquid-cooled"/>
    <x v="13"/>
    <s v="Entry-level"/>
    <n v="2410076.923076923"/>
    <s v="CVT"/>
  </r>
  <r>
    <d v="2025-06-19T00:00:00"/>
    <x v="1"/>
    <x v="15"/>
    <x v="0"/>
    <x v="1"/>
    <x v="23"/>
    <n v="125000"/>
    <n v="3"/>
    <n v="375000"/>
    <x v="0"/>
    <x v="5"/>
    <s v="Single cylinder"/>
    <s v="liquid-cooled"/>
    <x v="17"/>
    <s v="Entry-level"/>
    <n v="288461.5384615385"/>
    <s v="6-speed"/>
  </r>
  <r>
    <d v="2025-07-09T00:00:00"/>
    <x v="0"/>
    <x v="22"/>
    <x v="0"/>
    <x v="0"/>
    <x v="1"/>
    <n v="99900"/>
    <n v="20"/>
    <n v="1998000"/>
    <x v="0"/>
    <x v="1"/>
    <s v="Single cylinder"/>
    <s v="air-cooled"/>
    <x v="1"/>
    <s v="Entry-level"/>
    <n v="1536923.076923077"/>
    <s v="5-speed"/>
  </r>
  <r>
    <d v="2025-08-06T00:00:00"/>
    <x v="2"/>
    <x v="28"/>
    <x v="0"/>
    <x v="1"/>
    <x v="25"/>
    <n v="79900"/>
    <n v="41"/>
    <n v="3275900"/>
    <x v="1"/>
    <x v="2"/>
    <s v="Single cylinder"/>
    <s v="air-cooled"/>
    <x v="14"/>
    <s v="Entry-level"/>
    <n v="2519923.076923077"/>
    <s v="CVT"/>
  </r>
  <r>
    <d v="2025-07-15T00:00:00"/>
    <x v="0"/>
    <x v="1"/>
    <x v="0"/>
    <x v="1"/>
    <x v="1"/>
    <n v="99900"/>
    <n v="6"/>
    <n v="599400"/>
    <x v="1"/>
    <x v="1"/>
    <s v="Single cylinder"/>
    <s v="air-cooled"/>
    <x v="1"/>
    <s v="Entry-level"/>
    <n v="461076.92307692306"/>
    <s v="5-speed"/>
  </r>
  <r>
    <d v="2025-06-13T00:00:00"/>
    <x v="1"/>
    <x v="29"/>
    <x v="0"/>
    <x v="0"/>
    <x v="7"/>
    <n v="398000"/>
    <n v="41"/>
    <n v="16318000"/>
    <x v="2"/>
    <x v="2"/>
    <s v="Single cylinder"/>
    <s v="liquid-cooled"/>
    <x v="7"/>
    <s v="Mid-range"/>
    <n v="12087407.407407405"/>
    <s v="CVT"/>
  </r>
  <r>
    <d v="2025-08-31T00:00:00"/>
    <x v="2"/>
    <x v="3"/>
    <x v="0"/>
    <x v="0"/>
    <x v="41"/>
    <n v="299000"/>
    <n v="20"/>
    <n v="5980000"/>
    <x v="0"/>
    <x v="12"/>
    <s v="Single cylinder"/>
    <s v="air-cooled"/>
    <x v="26"/>
    <s v="Mid-range"/>
    <n v="4429629.6296296287"/>
    <s v="5-speed"/>
  </r>
  <r>
    <d v="2025-07-28T00:00:00"/>
    <x v="0"/>
    <x v="14"/>
    <x v="0"/>
    <x v="0"/>
    <x v="49"/>
    <n v="250000"/>
    <n v="17"/>
    <n v="4250000"/>
    <x v="2"/>
    <x v="16"/>
    <s v="Single cylinder"/>
    <s v="air-cooled"/>
    <x v="30"/>
    <s v="Mid-range"/>
    <n v="3148148.1481481479"/>
    <s v="5-speed"/>
  </r>
  <r>
    <d v="2025-06-20T00:00:00"/>
    <x v="1"/>
    <x v="27"/>
    <x v="0"/>
    <x v="0"/>
    <x v="38"/>
    <n v="398000"/>
    <n v="1"/>
    <n v="398000"/>
    <x v="2"/>
    <x v="14"/>
    <s v="Parallel-twin"/>
    <s v="liquid-cooled"/>
    <x v="15"/>
    <s v="Premium"/>
    <n v="284285.71428571432"/>
    <s v="6-speed"/>
  </r>
  <r>
    <d v="2025-08-31T00:00:00"/>
    <x v="2"/>
    <x v="3"/>
    <x v="0"/>
    <x v="1"/>
    <x v="5"/>
    <n v="199900"/>
    <n v="13"/>
    <n v="2598700"/>
    <x v="1"/>
    <x v="4"/>
    <s v="Single cylinder"/>
    <s v="liquid-cooled"/>
    <x v="5"/>
    <s v="Mid-range"/>
    <n v="1924962.9629629629"/>
    <s v="6-speed"/>
  </r>
  <r>
    <d v="2025-08-11T00:00:00"/>
    <x v="2"/>
    <x v="2"/>
    <x v="0"/>
    <x v="0"/>
    <x v="44"/>
    <n v="165000"/>
    <n v="2"/>
    <n v="330000"/>
    <x v="0"/>
    <x v="5"/>
    <s v="Single cylinder"/>
    <s v="liquid-cooled"/>
    <x v="11"/>
    <s v="Mid-range"/>
    <n v="244444.44444444444"/>
    <s v="6-speed"/>
  </r>
  <r>
    <d v="2025-07-31T00:00:00"/>
    <x v="0"/>
    <x v="3"/>
    <x v="0"/>
    <x v="1"/>
    <x v="13"/>
    <n v="164900"/>
    <n v="3"/>
    <n v="494700"/>
    <x v="2"/>
    <x v="2"/>
    <s v="Single cylinder"/>
    <s v="liquid-cooled"/>
    <x v="13"/>
    <s v="Entry-level"/>
    <n v="380538.4615384615"/>
    <s v="CVT"/>
  </r>
  <r>
    <d v="2025-07-09T00:00:00"/>
    <x v="0"/>
    <x v="22"/>
    <x v="0"/>
    <x v="1"/>
    <x v="49"/>
    <n v="250000"/>
    <n v="15"/>
    <n v="3750000"/>
    <x v="2"/>
    <x v="16"/>
    <s v="Single cylinder"/>
    <s v="air-cooled"/>
    <x v="30"/>
    <s v="Mid-range"/>
    <n v="2777777.7777777775"/>
    <s v="5-speed"/>
  </r>
  <r>
    <d v="2025-06-01T00:00:00"/>
    <x v="1"/>
    <x v="18"/>
    <x v="0"/>
    <x v="0"/>
    <x v="18"/>
    <n v="68900"/>
    <n v="20"/>
    <n v="1378000"/>
    <x v="2"/>
    <x v="10"/>
    <s v="Single cylinder"/>
    <s v="air-cooled"/>
    <x v="1"/>
    <s v="Entry-level"/>
    <n v="1060000"/>
    <s v="5-speed"/>
  </r>
  <r>
    <d v="2025-06-03T00:00:00"/>
    <x v="1"/>
    <x v="9"/>
    <x v="0"/>
    <x v="0"/>
    <x v="49"/>
    <n v="250000"/>
    <n v="22"/>
    <n v="5500000"/>
    <x v="1"/>
    <x v="16"/>
    <s v="Single cylinder"/>
    <s v="air-cooled"/>
    <x v="30"/>
    <s v="Mid-range"/>
    <n v="4074074.0740740737"/>
    <s v="5-speed"/>
  </r>
  <r>
    <d v="2025-08-31T00:00:00"/>
    <x v="2"/>
    <x v="3"/>
    <x v="0"/>
    <x v="1"/>
    <x v="36"/>
    <n v="67900"/>
    <n v="13"/>
    <n v="882700"/>
    <x v="1"/>
    <x v="13"/>
    <s v="Single cylinder"/>
    <s v="air-cooled"/>
    <x v="10"/>
    <s v="Entry-level"/>
    <n v="679000"/>
    <s v="4-speed"/>
  </r>
  <r>
    <d v="2025-08-01T00:00:00"/>
    <x v="2"/>
    <x v="18"/>
    <x v="0"/>
    <x v="0"/>
    <x v="47"/>
    <n v="182000"/>
    <n v="4"/>
    <n v="728000"/>
    <x v="0"/>
    <x v="15"/>
    <s v="Single cylinder"/>
    <s v="liquid-cooled"/>
    <x v="4"/>
    <s v="Entry-level"/>
    <n v="560000"/>
    <s v="6-speed"/>
  </r>
  <r>
    <d v="2025-08-02T00:00:00"/>
    <x v="2"/>
    <x v="11"/>
    <x v="0"/>
    <x v="0"/>
    <x v="26"/>
    <n v="320000"/>
    <n v="2"/>
    <n v="640000"/>
    <x v="2"/>
    <x v="3"/>
    <s v="Single cylinder"/>
    <s v="liquid-cooled"/>
    <x v="18"/>
    <s v="Mid-range"/>
    <n v="474074.07407407404"/>
    <s v="6-speed"/>
  </r>
  <r>
    <d v="2025-06-25T00:00:00"/>
    <x v="1"/>
    <x v="20"/>
    <x v="0"/>
    <x v="1"/>
    <x v="21"/>
    <n v="1167000"/>
    <n v="47"/>
    <n v="18283000"/>
    <x v="0"/>
    <x v="7"/>
    <s v="Parallel-twin"/>
    <s v="liquid-cooled"/>
    <x v="9"/>
    <s v="Mid-range"/>
    <n v="40628888.888888888"/>
    <s v="6-speed"/>
  </r>
  <r>
    <d v="2025-07-26T00:00:00"/>
    <x v="0"/>
    <x v="5"/>
    <x v="0"/>
    <x v="1"/>
    <x v="8"/>
    <n v="2067000"/>
    <n v="14"/>
    <n v="9646000"/>
    <x v="2"/>
    <x v="6"/>
    <s v="V-twin"/>
    <s v="air-cooled"/>
    <x v="8"/>
    <s v="Premium"/>
    <n v="20670000.000000004"/>
    <s v="6-speed"/>
  </r>
  <r>
    <d v="2025-07-03T00:00:00"/>
    <x v="0"/>
    <x v="9"/>
    <x v="0"/>
    <x v="0"/>
    <x v="10"/>
    <n v="80900"/>
    <n v="15"/>
    <n v="1213500"/>
    <x v="0"/>
    <x v="2"/>
    <s v="Single cylinder"/>
    <s v="liquid-cooled"/>
    <x v="10"/>
    <s v="Entry-level"/>
    <n v="933461.53846153838"/>
    <s v="CVT"/>
  </r>
  <r>
    <d v="2025-07-08T00:00:00"/>
    <x v="0"/>
    <x v="13"/>
    <x v="0"/>
    <x v="0"/>
    <x v="6"/>
    <n v="599000"/>
    <n v="5"/>
    <n v="2995000"/>
    <x v="2"/>
    <x v="5"/>
    <s v="Parallel-twin"/>
    <s v="liquid-cooled"/>
    <x v="6"/>
    <s v="Premium"/>
    <n v="2139285.7142857146"/>
    <s v="6-speed"/>
  </r>
  <r>
    <d v="2025-06-06T00:00:00"/>
    <x v="1"/>
    <x v="28"/>
    <x v="0"/>
    <x v="0"/>
    <x v="24"/>
    <n v="119900"/>
    <n v="7"/>
    <n v="839300"/>
    <x v="1"/>
    <x v="9"/>
    <s v="Single cylinder"/>
    <s v="liquid-cooled"/>
    <x v="12"/>
    <s v="Entry-level"/>
    <n v="645615.38461538462"/>
    <s v="6-speed"/>
  </r>
  <r>
    <d v="2025-07-28T00:00:00"/>
    <x v="0"/>
    <x v="14"/>
    <x v="0"/>
    <x v="1"/>
    <x v="36"/>
    <n v="67900"/>
    <n v="30"/>
    <n v="2037000"/>
    <x v="1"/>
    <x v="13"/>
    <s v="Single cylinder"/>
    <s v="air-cooled"/>
    <x v="10"/>
    <s v="Entry-level"/>
    <n v="1566923.0769230768"/>
    <s v="4-speed"/>
  </r>
  <r>
    <d v="2025-07-14T00:00:00"/>
    <x v="0"/>
    <x v="6"/>
    <x v="0"/>
    <x v="1"/>
    <x v="4"/>
    <n v="124000"/>
    <n v="11"/>
    <n v="1364000"/>
    <x v="0"/>
    <x v="2"/>
    <s v="Single cylinder"/>
    <s v="liquid-cooled"/>
    <x v="4"/>
    <s v="Entry-level"/>
    <n v="1049230.769230769"/>
    <s v="CVT"/>
  </r>
  <r>
    <d v="2025-07-15T00:00:00"/>
    <x v="0"/>
    <x v="1"/>
    <x v="0"/>
    <x v="0"/>
    <x v="49"/>
    <n v="250000"/>
    <n v="23"/>
    <n v="5750000"/>
    <x v="1"/>
    <x v="16"/>
    <s v="Single cylinder"/>
    <s v="air-cooled"/>
    <x v="30"/>
    <s v="Mid-range"/>
    <n v="4259259.2592592593"/>
    <s v="5-speed"/>
  </r>
  <r>
    <d v="2025-07-02T00:00:00"/>
    <x v="0"/>
    <x v="11"/>
    <x v="0"/>
    <x v="1"/>
    <x v="37"/>
    <n v="331000"/>
    <n v="39"/>
    <n v="12909000"/>
    <x v="0"/>
    <x v="5"/>
    <s v="Parallel-twin"/>
    <s v="liquid-cooled"/>
    <x v="25"/>
    <s v="Mid-range"/>
    <n v="9562222.222222222"/>
    <s v="6-speed"/>
  </r>
  <r>
    <d v="2025-07-15T00:00:00"/>
    <x v="0"/>
    <x v="1"/>
    <x v="0"/>
    <x v="0"/>
    <x v="47"/>
    <n v="182000"/>
    <n v="20"/>
    <n v="3640000"/>
    <x v="1"/>
    <x v="15"/>
    <s v="Single cylinder"/>
    <s v="liquid-cooled"/>
    <x v="4"/>
    <s v="Entry-level"/>
    <n v="2800000"/>
    <s v="6-speed"/>
  </r>
  <r>
    <d v="2025-07-31T00:00:00"/>
    <x v="0"/>
    <x v="3"/>
    <x v="0"/>
    <x v="0"/>
    <x v="32"/>
    <n v="219000"/>
    <n v="25"/>
    <n v="5475000"/>
    <x v="1"/>
    <x v="2"/>
    <s v="Single cylinder"/>
    <s v="liquid-cooled"/>
    <x v="22"/>
    <s v="Entry-level"/>
    <n v="4211538.461538462"/>
    <s v="CVT"/>
  </r>
  <r>
    <d v="2025-07-17T00:00:00"/>
    <x v="0"/>
    <x v="19"/>
    <x v="0"/>
    <x v="1"/>
    <x v="19"/>
    <n v="295000"/>
    <n v="4"/>
    <n v="1180000"/>
    <x v="1"/>
    <x v="11"/>
    <s v="Single cylinder"/>
    <s v="liquid-cooled"/>
    <x v="5"/>
    <s v="Mid-range"/>
    <n v="874074.07407407404"/>
    <s v="6-speed"/>
  </r>
  <r>
    <d v="2025-06-21T00:00:00"/>
    <x v="1"/>
    <x v="4"/>
    <x v="0"/>
    <x v="1"/>
    <x v="2"/>
    <n v="289000"/>
    <n v="10"/>
    <n v="2890000"/>
    <x v="1"/>
    <x v="2"/>
    <s v="Single cylinder"/>
    <s v="liquid-cooled"/>
    <x v="2"/>
    <s v="Entry-level"/>
    <n v="2223076.923076923"/>
    <s v="CVT"/>
  </r>
  <r>
    <d v="2025-08-24T00:00:00"/>
    <x v="2"/>
    <x v="8"/>
    <x v="0"/>
    <x v="1"/>
    <x v="49"/>
    <n v="250000"/>
    <n v="35"/>
    <n v="8750000"/>
    <x v="0"/>
    <x v="16"/>
    <s v="Single cylinder"/>
    <s v="air-cooled"/>
    <x v="30"/>
    <s v="Mid-range"/>
    <n v="6481481.4814814813"/>
    <s v="5-speed"/>
  </r>
  <r>
    <d v="2025-08-14T00:00:00"/>
    <x v="2"/>
    <x v="6"/>
    <x v="0"/>
    <x v="1"/>
    <x v="33"/>
    <n v="369000"/>
    <n v="3"/>
    <n v="1107000"/>
    <x v="2"/>
    <x v="3"/>
    <s v="Parallel-twin"/>
    <s v="liquid-cooled"/>
    <x v="15"/>
    <s v="Premium"/>
    <n v="790714.28571428568"/>
    <s v="6-speed"/>
  </r>
  <r>
    <d v="2025-07-06T00:00:00"/>
    <x v="0"/>
    <x v="28"/>
    <x v="0"/>
    <x v="0"/>
    <x v="29"/>
    <n v="349000"/>
    <n v="42"/>
    <n v="14658000"/>
    <x v="0"/>
    <x v="14"/>
    <s v="Parallel-twin"/>
    <s v="liquid-cooled"/>
    <x v="19"/>
    <s v="Mid-range"/>
    <n v="10857777.777777778"/>
    <s v="6-speed"/>
  </r>
  <r>
    <d v="2025-06-19T00:00:00"/>
    <x v="1"/>
    <x v="15"/>
    <x v="0"/>
    <x v="1"/>
    <x v="44"/>
    <n v="165000"/>
    <n v="23"/>
    <n v="3795000"/>
    <x v="1"/>
    <x v="5"/>
    <s v="Single cylinder"/>
    <s v="liquid-cooled"/>
    <x v="11"/>
    <s v="Mid-range"/>
    <n v="2811111.111111111"/>
    <s v="6-speed"/>
  </r>
  <r>
    <d v="2025-08-04T00:00:00"/>
    <x v="2"/>
    <x v="24"/>
    <x v="0"/>
    <x v="1"/>
    <x v="17"/>
    <n v="125900"/>
    <n v="18"/>
    <n v="2266200"/>
    <x v="1"/>
    <x v="9"/>
    <s v="Single cylinder"/>
    <s v="liquid-cooled"/>
    <x v="4"/>
    <s v="Entry-level"/>
    <n v="1743230.7692307692"/>
    <s v="6-speed"/>
  </r>
  <r>
    <d v="2025-07-27T00:00:00"/>
    <x v="0"/>
    <x v="7"/>
    <x v="0"/>
    <x v="0"/>
    <x v="35"/>
    <n v="199000"/>
    <n v="1"/>
    <n v="199000"/>
    <x v="0"/>
    <x v="12"/>
    <s v="Single cylinder"/>
    <s v="air-cooled"/>
    <x v="24"/>
    <s v="Mid-range"/>
    <n v="147407.40740740739"/>
    <s v="6-speed"/>
  </r>
  <r>
    <d v="2025-06-18T00:00:00"/>
    <x v="1"/>
    <x v="23"/>
    <x v="0"/>
    <x v="1"/>
    <x v="29"/>
    <n v="1047000"/>
    <n v="1"/>
    <n v="349000"/>
    <x v="2"/>
    <x v="14"/>
    <s v="Parallel-twin"/>
    <s v="liquid-cooled"/>
    <x v="19"/>
    <s v="Mid-range"/>
    <n v="775555.5555555555"/>
    <s v="6-speed"/>
  </r>
  <r>
    <d v="2025-07-17T00:00:00"/>
    <x v="0"/>
    <x v="19"/>
    <x v="0"/>
    <x v="0"/>
    <x v="19"/>
    <n v="295000"/>
    <n v="6"/>
    <n v="1770000"/>
    <x v="1"/>
    <x v="11"/>
    <s v="Single cylinder"/>
    <s v="liquid-cooled"/>
    <x v="5"/>
    <s v="Mid-range"/>
    <n v="1311111.111111111"/>
    <s v="6-speed"/>
  </r>
  <r>
    <d v="2025-07-19T00:00:00"/>
    <x v="0"/>
    <x v="15"/>
    <x v="0"/>
    <x v="1"/>
    <x v="2"/>
    <n v="289000"/>
    <n v="5"/>
    <n v="1445000"/>
    <x v="0"/>
    <x v="2"/>
    <s v="Single cylinder"/>
    <s v="liquid-cooled"/>
    <x v="2"/>
    <s v="Entry-level"/>
    <n v="1111538.4615384615"/>
    <s v="CVT"/>
  </r>
  <r>
    <d v="2025-06-14T00:00:00"/>
    <x v="1"/>
    <x v="6"/>
    <x v="0"/>
    <x v="0"/>
    <x v="32"/>
    <n v="219000"/>
    <n v="22"/>
    <n v="4818000"/>
    <x v="0"/>
    <x v="2"/>
    <s v="Single cylinder"/>
    <s v="liquid-cooled"/>
    <x v="22"/>
    <s v="Entry-level"/>
    <n v="3706153.8461538465"/>
    <s v="CVT"/>
  </r>
  <r>
    <d v="2025-06-15T00:00:00"/>
    <x v="1"/>
    <x v="1"/>
    <x v="0"/>
    <x v="1"/>
    <x v="5"/>
    <n v="199900"/>
    <n v="41"/>
    <n v="8195900"/>
    <x v="0"/>
    <x v="4"/>
    <s v="Single cylinder"/>
    <s v="liquid-cooled"/>
    <x v="5"/>
    <s v="Mid-range"/>
    <n v="6071037.0370370373"/>
    <s v="6-speed"/>
  </r>
  <r>
    <d v="2025-07-01T00:00:00"/>
    <x v="0"/>
    <x v="18"/>
    <x v="0"/>
    <x v="0"/>
    <x v="21"/>
    <n v="389000"/>
    <n v="19"/>
    <n v="7391000"/>
    <x v="1"/>
    <x v="7"/>
    <s v="Parallel-twin"/>
    <s v="liquid-cooled"/>
    <x v="9"/>
    <s v="Mid-range"/>
    <n v="5474814.8148148144"/>
    <s v="6-speed"/>
  </r>
  <r>
    <d v="2025-06-01T00:00:00"/>
    <x v="1"/>
    <x v="18"/>
    <x v="0"/>
    <x v="0"/>
    <x v="32"/>
    <n v="219000"/>
    <n v="10"/>
    <n v="2190000"/>
    <x v="0"/>
    <x v="2"/>
    <s v="Single cylinder"/>
    <s v="liquid-cooled"/>
    <x v="22"/>
    <s v="Entry-level"/>
    <n v="1684615.3846153847"/>
    <s v="CVT"/>
  </r>
  <r>
    <d v="2025-07-24T00:00:00"/>
    <x v="0"/>
    <x v="8"/>
    <x v="0"/>
    <x v="0"/>
    <x v="2"/>
    <n v="289000"/>
    <n v="20"/>
    <n v="5780000"/>
    <x v="1"/>
    <x v="2"/>
    <s v="Single cylinder"/>
    <s v="liquid-cooled"/>
    <x v="2"/>
    <s v="Entry-level"/>
    <n v="4446153.846153846"/>
    <s v="CVT"/>
  </r>
  <r>
    <d v="2025-06-03T00:00:00"/>
    <x v="1"/>
    <x v="9"/>
    <x v="0"/>
    <x v="1"/>
    <x v="2"/>
    <n v="289000"/>
    <n v="49"/>
    <n v="14161000"/>
    <x v="2"/>
    <x v="2"/>
    <s v="Single cylinder"/>
    <s v="liquid-cooled"/>
    <x v="2"/>
    <s v="Entry-level"/>
    <n v="10893076.923076924"/>
    <s v="CVT"/>
  </r>
  <r>
    <d v="2025-06-16T00:00:00"/>
    <x v="1"/>
    <x v="30"/>
    <x v="0"/>
    <x v="0"/>
    <x v="48"/>
    <n v="72900"/>
    <n v="19"/>
    <n v="1385100"/>
    <x v="1"/>
    <x v="9"/>
    <s v="Single cylinder"/>
    <s v="air-cooled"/>
    <x v="12"/>
    <s v="Entry-level"/>
    <n v="1065461.5384615385"/>
    <s v="CVT"/>
  </r>
  <r>
    <d v="2025-08-26T00:00:00"/>
    <x v="2"/>
    <x v="5"/>
    <x v="0"/>
    <x v="0"/>
    <x v="3"/>
    <n v="248000"/>
    <n v="43"/>
    <n v="10664000"/>
    <x v="2"/>
    <x v="3"/>
    <s v="Single cylinder"/>
    <s v="liquid-cooled"/>
    <x v="3"/>
    <s v="Mid-range"/>
    <n v="7899259.2592592584"/>
    <s v="6-speed"/>
  </r>
  <r>
    <d v="2025-07-27T00:00:00"/>
    <x v="0"/>
    <x v="7"/>
    <x v="0"/>
    <x v="0"/>
    <x v="19"/>
    <n v="295000"/>
    <n v="34"/>
    <n v="10030000"/>
    <x v="1"/>
    <x v="11"/>
    <s v="Single cylinder"/>
    <s v="liquid-cooled"/>
    <x v="5"/>
    <s v="Mid-range"/>
    <n v="7429629.6296296297"/>
    <s v="6-speed"/>
  </r>
  <r>
    <d v="2025-08-14T00:00:00"/>
    <x v="2"/>
    <x v="6"/>
    <x v="0"/>
    <x v="1"/>
    <x v="14"/>
    <n v="80900"/>
    <n v="17"/>
    <n v="1375300"/>
    <x v="1"/>
    <x v="2"/>
    <s v="Single cylinder"/>
    <s v="air-cooled"/>
    <x v="14"/>
    <s v="Entry-level"/>
    <n v="1057923.0769230768"/>
    <s v="CVT"/>
  </r>
  <r>
    <d v="2025-06-12T00:00:00"/>
    <x v="1"/>
    <x v="17"/>
    <x v="0"/>
    <x v="1"/>
    <x v="21"/>
    <n v="389000"/>
    <n v="3"/>
    <n v="1167000"/>
    <x v="1"/>
    <x v="7"/>
    <s v="Parallel-twin"/>
    <s v="liquid-cooled"/>
    <x v="9"/>
    <s v="Mid-range"/>
    <n v="864444.4444444445"/>
    <s v="6-speed"/>
  </r>
  <r>
    <d v="2025-08-13T00:00:00"/>
    <x v="2"/>
    <x v="29"/>
    <x v="0"/>
    <x v="0"/>
    <x v="29"/>
    <n v="349000"/>
    <n v="9"/>
    <n v="3141000"/>
    <x v="0"/>
    <x v="14"/>
    <s v="Parallel-twin"/>
    <s v="liquid-cooled"/>
    <x v="19"/>
    <s v="Mid-range"/>
    <n v="2326666.6666666665"/>
    <s v="6-speed"/>
  </r>
  <r>
    <d v="2025-06-16T00:00:00"/>
    <x v="1"/>
    <x v="30"/>
    <x v="0"/>
    <x v="1"/>
    <x v="42"/>
    <n v="198000"/>
    <n v="37"/>
    <n v="7326000"/>
    <x v="1"/>
    <x v="7"/>
    <s v="Single cylinder"/>
    <s v="liquid-cooled"/>
    <x v="27"/>
    <s v="Entry-level"/>
    <n v="5635384.615384616"/>
    <s v="6-speed"/>
  </r>
  <r>
    <d v="2025-08-11T00:00:00"/>
    <x v="2"/>
    <x v="2"/>
    <x v="0"/>
    <x v="1"/>
    <x v="38"/>
    <n v="398000"/>
    <n v="26"/>
    <n v="10348000"/>
    <x v="0"/>
    <x v="14"/>
    <s v="Parallel-twin"/>
    <s v="liquid-cooled"/>
    <x v="15"/>
    <s v="Premium"/>
    <n v="7391428.5714285728"/>
    <s v="6-speed"/>
  </r>
  <r>
    <d v="2025-08-15T00:00:00"/>
    <x v="2"/>
    <x v="1"/>
    <x v="0"/>
    <x v="0"/>
    <x v="21"/>
    <n v="389000"/>
    <n v="8"/>
    <n v="3112000"/>
    <x v="0"/>
    <x v="7"/>
    <s v="Parallel-twin"/>
    <s v="liquid-cooled"/>
    <x v="9"/>
    <s v="Mid-range"/>
    <n v="2305185.1851851852"/>
    <s v="6-speed"/>
  </r>
  <r>
    <d v="2025-06-24T00:00:00"/>
    <x v="1"/>
    <x v="8"/>
    <x v="0"/>
    <x v="0"/>
    <x v="22"/>
    <n v="284900"/>
    <n v="12"/>
    <n v="3418800"/>
    <x v="2"/>
    <x v="12"/>
    <s v="Single cylinder"/>
    <s v="liquid-cooled"/>
    <x v="16"/>
    <s v="Mid-range"/>
    <n v="2532444.444444444"/>
    <s v="6-speed"/>
  </r>
  <r>
    <d v="2025-06-28T00:00:00"/>
    <x v="1"/>
    <x v="14"/>
    <x v="0"/>
    <x v="1"/>
    <x v="9"/>
    <n v="328000"/>
    <n v="1"/>
    <n v="328000"/>
    <x v="2"/>
    <x v="0"/>
    <s v="Twin cylinder"/>
    <s v="air-cooled"/>
    <x v="9"/>
    <s v="Mid-range"/>
    <n v="242962.96296296295"/>
    <s v="6-speed"/>
  </r>
  <r>
    <d v="2025-06-08T00:00:00"/>
    <x v="1"/>
    <x v="13"/>
    <x v="0"/>
    <x v="0"/>
    <x v="29"/>
    <n v="349000"/>
    <n v="19"/>
    <n v="6631000"/>
    <x v="2"/>
    <x v="14"/>
    <s v="Parallel-twin"/>
    <s v="liquid-cooled"/>
    <x v="19"/>
    <s v="Mid-range"/>
    <n v="4911851.8518518517"/>
    <s v="6-speed"/>
  </r>
  <r>
    <d v="2025-08-31T00:00:00"/>
    <x v="2"/>
    <x v="3"/>
    <x v="0"/>
    <x v="0"/>
    <x v="47"/>
    <n v="182000"/>
    <n v="19"/>
    <n v="3458000"/>
    <x v="2"/>
    <x v="15"/>
    <s v="Single cylinder"/>
    <s v="liquid-cooled"/>
    <x v="4"/>
    <s v="Entry-level"/>
    <n v="2660000"/>
    <s v="6-speed"/>
  </r>
  <r>
    <d v="2025-07-06T00:00:00"/>
    <x v="0"/>
    <x v="28"/>
    <x v="0"/>
    <x v="1"/>
    <x v="15"/>
    <n v="345000"/>
    <n v="13"/>
    <n v="4485000"/>
    <x v="2"/>
    <x v="8"/>
    <s v="Parallel-twin"/>
    <s v="liquid-cooled"/>
    <x v="15"/>
    <s v="Premium"/>
    <n v="3203571.4285714286"/>
    <s v="6-speed"/>
  </r>
  <r>
    <d v="2025-08-29T00:00:00"/>
    <x v="2"/>
    <x v="16"/>
    <x v="0"/>
    <x v="1"/>
    <x v="42"/>
    <n v="198000"/>
    <n v="2"/>
    <n v="396000"/>
    <x v="1"/>
    <x v="7"/>
    <s v="Single cylinder"/>
    <s v="liquid-cooled"/>
    <x v="27"/>
    <s v="Entry-level"/>
    <n v="304615.38461538462"/>
    <s v="6-speed"/>
  </r>
  <r>
    <d v="2025-06-08T00:00:00"/>
    <x v="1"/>
    <x v="13"/>
    <x v="0"/>
    <x v="1"/>
    <x v="46"/>
    <n v="650000"/>
    <n v="5"/>
    <n v="3250000"/>
    <x v="1"/>
    <x v="14"/>
    <s v="Parallel-twin"/>
    <s v="liquid-cooled"/>
    <x v="29"/>
    <s v="Premium"/>
    <n v="2321428.5714285718"/>
    <s v="6-speed"/>
  </r>
  <r>
    <d v="2025-07-28T00:00:00"/>
    <x v="0"/>
    <x v="14"/>
    <x v="0"/>
    <x v="0"/>
    <x v="48"/>
    <n v="72900"/>
    <n v="2"/>
    <n v="145800"/>
    <x v="1"/>
    <x v="9"/>
    <s v="Single cylinder"/>
    <s v="air-cooled"/>
    <x v="12"/>
    <s v="Entry-level"/>
    <n v="112153.84615384616"/>
    <s v="CVT"/>
  </r>
  <r>
    <d v="2025-07-30T00:00:00"/>
    <x v="0"/>
    <x v="12"/>
    <x v="0"/>
    <x v="1"/>
    <x v="37"/>
    <n v="331000"/>
    <n v="49"/>
    <n v="16219000"/>
    <x v="0"/>
    <x v="5"/>
    <s v="Parallel-twin"/>
    <s v="liquid-cooled"/>
    <x v="25"/>
    <s v="Mid-range"/>
    <n v="12014074.074074073"/>
    <s v="6-speed"/>
  </r>
  <r>
    <d v="2025-07-20T00:00:00"/>
    <x v="0"/>
    <x v="27"/>
    <x v="0"/>
    <x v="0"/>
    <x v="4"/>
    <n v="124000"/>
    <n v="28"/>
    <n v="3472000"/>
    <x v="0"/>
    <x v="2"/>
    <s v="Single cylinder"/>
    <s v="liquid-cooled"/>
    <x v="4"/>
    <s v="Entry-level"/>
    <n v="2670769.2307692305"/>
    <s v="CVT"/>
  </r>
  <r>
    <d v="2025-06-28T00:00:00"/>
    <x v="1"/>
    <x v="14"/>
    <x v="0"/>
    <x v="1"/>
    <x v="41"/>
    <n v="299000"/>
    <n v="26"/>
    <n v="7774000"/>
    <x v="2"/>
    <x v="12"/>
    <s v="Single cylinder"/>
    <s v="air-cooled"/>
    <x v="26"/>
    <s v="Mid-range"/>
    <n v="5758518.5185185177"/>
    <s v="5-speed"/>
  </r>
  <r>
    <d v="2025-08-31T00:00:00"/>
    <x v="2"/>
    <x v="3"/>
    <x v="0"/>
    <x v="1"/>
    <x v="13"/>
    <n v="164900"/>
    <n v="35"/>
    <n v="5771500"/>
    <x v="2"/>
    <x v="2"/>
    <s v="Single cylinder"/>
    <s v="liquid-cooled"/>
    <x v="13"/>
    <s v="Entry-level"/>
    <n v="4439615.384615385"/>
    <s v="CVT"/>
  </r>
  <r>
    <d v="2025-07-11T00:00:00"/>
    <x v="0"/>
    <x v="2"/>
    <x v="0"/>
    <x v="1"/>
    <x v="31"/>
    <n v="499000"/>
    <n v="30"/>
    <n v="14970000"/>
    <x v="0"/>
    <x v="14"/>
    <s v="V-twin"/>
    <s v="liquid-cooled"/>
    <x v="21"/>
    <s v="Premium"/>
    <n v="10692857.142857144"/>
    <s v="6-speed"/>
  </r>
  <r>
    <d v="2025-08-03T00:00:00"/>
    <x v="2"/>
    <x v="9"/>
    <x v="0"/>
    <x v="1"/>
    <x v="22"/>
    <n v="284900"/>
    <n v="28"/>
    <n v="7977200"/>
    <x v="2"/>
    <x v="12"/>
    <s v="Single cylinder"/>
    <s v="liquid-cooled"/>
    <x v="16"/>
    <s v="Mid-range"/>
    <n v="5909037.0370370364"/>
    <s v="6-speed"/>
  </r>
  <r>
    <d v="2025-06-27T00:00:00"/>
    <x v="1"/>
    <x v="7"/>
    <x v="0"/>
    <x v="1"/>
    <x v="29"/>
    <n v="349000"/>
    <n v="46"/>
    <n v="16054000"/>
    <x v="1"/>
    <x v="14"/>
    <s v="Parallel-twin"/>
    <s v="liquid-cooled"/>
    <x v="19"/>
    <s v="Mid-range"/>
    <n v="11891851.851851851"/>
    <s v="6-speed"/>
  </r>
  <r>
    <d v="2025-08-02T00:00:00"/>
    <x v="2"/>
    <x v="11"/>
    <x v="0"/>
    <x v="0"/>
    <x v="17"/>
    <n v="125900"/>
    <n v="6"/>
    <n v="755400"/>
    <x v="1"/>
    <x v="9"/>
    <s v="Single cylinder"/>
    <s v="liquid-cooled"/>
    <x v="4"/>
    <s v="Entry-level"/>
    <n v="581076.92307692301"/>
    <s v="6-speed"/>
  </r>
  <r>
    <d v="2025-06-17T00:00:00"/>
    <x v="1"/>
    <x v="19"/>
    <x v="0"/>
    <x v="0"/>
    <x v="42"/>
    <n v="198000"/>
    <n v="15"/>
    <n v="2970000"/>
    <x v="2"/>
    <x v="7"/>
    <s v="Single cylinder"/>
    <s v="liquid-cooled"/>
    <x v="27"/>
    <s v="Entry-level"/>
    <n v="2284615.3846153845"/>
    <s v="6-speed"/>
  </r>
  <r>
    <d v="2025-08-12T00:00:00"/>
    <x v="2"/>
    <x v="17"/>
    <x v="0"/>
    <x v="0"/>
    <x v="37"/>
    <n v="331000"/>
    <n v="17"/>
    <n v="5627000"/>
    <x v="0"/>
    <x v="5"/>
    <s v="Parallel-twin"/>
    <s v="liquid-cooled"/>
    <x v="25"/>
    <s v="Mid-range"/>
    <n v="4168148.1481481479"/>
    <s v="6-speed"/>
  </r>
  <r>
    <d v="2025-07-03T00:00:00"/>
    <x v="0"/>
    <x v="9"/>
    <x v="0"/>
    <x v="0"/>
    <x v="5"/>
    <n v="199900"/>
    <n v="50"/>
    <n v="9995000"/>
    <x v="0"/>
    <x v="4"/>
    <s v="Single cylinder"/>
    <s v="liquid-cooled"/>
    <x v="5"/>
    <s v="Mid-range"/>
    <n v="7403703.7037037034"/>
    <s v="6-speed"/>
  </r>
  <r>
    <d v="2025-08-23T00:00:00"/>
    <x v="2"/>
    <x v="10"/>
    <x v="0"/>
    <x v="1"/>
    <x v="11"/>
    <n v="165000"/>
    <n v="39"/>
    <n v="6435000"/>
    <x v="0"/>
    <x v="7"/>
    <s v="Single cylinder"/>
    <s v="liquid-cooled"/>
    <x v="11"/>
    <s v="Mid-range"/>
    <n v="4766666.666666667"/>
    <s v="6-speed"/>
  </r>
  <r>
    <d v="2025-08-10T00:00:00"/>
    <x v="2"/>
    <x v="25"/>
    <x v="0"/>
    <x v="1"/>
    <x v="5"/>
    <n v="199900"/>
    <n v="46"/>
    <n v="9195400"/>
    <x v="0"/>
    <x v="4"/>
    <s v="Single cylinder"/>
    <s v="liquid-cooled"/>
    <x v="5"/>
    <s v="Mid-range"/>
    <n v="6811407.4074074076"/>
    <s v="6-speed"/>
  </r>
  <r>
    <d v="2025-08-31T00:00:00"/>
    <x v="2"/>
    <x v="3"/>
    <x v="0"/>
    <x v="0"/>
    <x v="36"/>
    <n v="67900"/>
    <n v="22"/>
    <n v="1493800"/>
    <x v="0"/>
    <x v="13"/>
    <s v="Single cylinder"/>
    <s v="air-cooled"/>
    <x v="10"/>
    <s v="Entry-level"/>
    <n v="1149076.923076923"/>
    <s v="4-speed"/>
  </r>
  <r>
    <d v="2025-06-29T00:00:00"/>
    <x v="1"/>
    <x v="16"/>
    <x v="0"/>
    <x v="1"/>
    <x v="11"/>
    <n v="165000"/>
    <n v="37"/>
    <n v="6105000"/>
    <x v="1"/>
    <x v="7"/>
    <s v="Single cylinder"/>
    <s v="liquid-cooled"/>
    <x v="11"/>
    <s v="Mid-range"/>
    <n v="4522222.222222222"/>
    <s v="6-speed"/>
  </r>
  <r>
    <d v="2025-06-13T00:00:00"/>
    <x v="1"/>
    <x v="29"/>
    <x v="0"/>
    <x v="0"/>
    <x v="4"/>
    <n v="124000"/>
    <n v="15"/>
    <n v="1860000"/>
    <x v="1"/>
    <x v="2"/>
    <s v="Single cylinder"/>
    <s v="liquid-cooled"/>
    <x v="4"/>
    <s v="Entry-level"/>
    <n v="1430769.2307692305"/>
    <s v="CVT"/>
  </r>
  <r>
    <d v="2025-07-16T00:00:00"/>
    <x v="0"/>
    <x v="30"/>
    <x v="0"/>
    <x v="1"/>
    <x v="14"/>
    <n v="80900"/>
    <n v="16"/>
    <n v="1294400"/>
    <x v="0"/>
    <x v="2"/>
    <s v="Single cylinder"/>
    <s v="air-cooled"/>
    <x v="14"/>
    <s v="Entry-level"/>
    <n v="995692.30769230763"/>
    <s v="CVT"/>
  </r>
  <r>
    <d v="2025-07-05T00:00:00"/>
    <x v="0"/>
    <x v="26"/>
    <x v="0"/>
    <x v="0"/>
    <x v="24"/>
    <n v="119900"/>
    <n v="7"/>
    <n v="839300"/>
    <x v="0"/>
    <x v="9"/>
    <s v="Single cylinder"/>
    <s v="liquid-cooled"/>
    <x v="12"/>
    <s v="Entry-level"/>
    <n v="645615.38461538462"/>
    <s v="6-speed"/>
  </r>
  <r>
    <d v="2025-06-06T00:00:00"/>
    <x v="1"/>
    <x v="28"/>
    <x v="0"/>
    <x v="1"/>
    <x v="24"/>
    <n v="119900"/>
    <n v="5"/>
    <n v="599500"/>
    <x v="2"/>
    <x v="9"/>
    <s v="Single cylinder"/>
    <s v="liquid-cooled"/>
    <x v="12"/>
    <s v="Entry-level"/>
    <n v="461153.84615384619"/>
    <s v="6-speed"/>
  </r>
  <r>
    <d v="2025-08-21T00:00:00"/>
    <x v="2"/>
    <x v="4"/>
    <x v="0"/>
    <x v="1"/>
    <x v="30"/>
    <n v="995000"/>
    <n v="5"/>
    <n v="4975000"/>
    <x v="0"/>
    <x v="6"/>
    <s v="Flat twin"/>
    <s v="air"/>
    <x v="20"/>
    <s v="Premium"/>
    <n v="3553571.4285714291"/>
    <n v="0"/>
  </r>
  <r>
    <d v="2025-08-08T00:00:00"/>
    <x v="2"/>
    <x v="13"/>
    <x v="0"/>
    <x v="0"/>
    <x v="24"/>
    <n v="119900"/>
    <n v="1"/>
    <n v="119900"/>
    <x v="0"/>
    <x v="9"/>
    <s v="Single cylinder"/>
    <s v="liquid-cooled"/>
    <x v="12"/>
    <s v="Entry-level"/>
    <n v="92230.769230769234"/>
    <s v="6-speed"/>
  </r>
  <r>
    <d v="2025-07-17T00:00:00"/>
    <x v="0"/>
    <x v="19"/>
    <x v="0"/>
    <x v="1"/>
    <x v="22"/>
    <n v="284900"/>
    <n v="11"/>
    <n v="3133900"/>
    <x v="0"/>
    <x v="12"/>
    <s v="Single cylinder"/>
    <s v="liquid-cooled"/>
    <x v="16"/>
    <s v="Mid-range"/>
    <n v="2321407.4074074072"/>
    <s v="6-speed"/>
  </r>
  <r>
    <d v="2025-06-25T00:00:00"/>
    <x v="1"/>
    <x v="20"/>
    <x v="0"/>
    <x v="1"/>
    <x v="38"/>
    <n v="398000"/>
    <n v="4"/>
    <n v="1592000"/>
    <x v="2"/>
    <x v="14"/>
    <s v="Parallel-twin"/>
    <s v="liquid-cooled"/>
    <x v="15"/>
    <s v="Premium"/>
    <n v="1137142.8571428573"/>
    <s v="6-speed"/>
  </r>
  <r>
    <d v="2025-08-05T00:00:00"/>
    <x v="2"/>
    <x v="26"/>
    <x v="0"/>
    <x v="0"/>
    <x v="45"/>
    <n v="129000"/>
    <n v="9"/>
    <n v="1161000"/>
    <x v="0"/>
    <x v="5"/>
    <s v="Single cylinder"/>
    <s v="oil-cooled"/>
    <x v="28"/>
    <s v="Entry-level"/>
    <n v="893076.92307692312"/>
    <s v="5-speed"/>
  </r>
  <r>
    <d v="2025-06-10T00:00:00"/>
    <x v="1"/>
    <x v="25"/>
    <x v="0"/>
    <x v="1"/>
    <x v="10"/>
    <n v="80900"/>
    <n v="2"/>
    <n v="161800"/>
    <x v="0"/>
    <x v="2"/>
    <s v="Single cylinder"/>
    <s v="liquid-cooled"/>
    <x v="10"/>
    <s v="Entry-level"/>
    <n v="124461.53846153845"/>
    <s v="CVT"/>
  </r>
  <r>
    <d v="2025-07-26T00:00:00"/>
    <x v="0"/>
    <x v="5"/>
    <x v="0"/>
    <x v="0"/>
    <x v="44"/>
    <n v="165000"/>
    <n v="8"/>
    <n v="1320000"/>
    <x v="1"/>
    <x v="5"/>
    <s v="Single cylinder"/>
    <s v="liquid-cooled"/>
    <x v="11"/>
    <s v="Mid-range"/>
    <n v="977777.77777777775"/>
    <s v="6-speed"/>
  </r>
  <r>
    <d v="2025-06-30T00:00:00"/>
    <x v="1"/>
    <x v="12"/>
    <x v="0"/>
    <x v="0"/>
    <x v="18"/>
    <n v="68900"/>
    <n v="15"/>
    <n v="1033500"/>
    <x v="1"/>
    <x v="10"/>
    <s v="Single cylinder"/>
    <s v="air-cooled"/>
    <x v="1"/>
    <s v="Entry-level"/>
    <n v="795000"/>
    <s v="5-speed"/>
  </r>
  <r>
    <d v="2025-06-05T00:00:00"/>
    <x v="1"/>
    <x v="26"/>
    <x v="0"/>
    <x v="0"/>
    <x v="7"/>
    <n v="398000"/>
    <n v="4"/>
    <n v="1592000"/>
    <x v="2"/>
    <x v="2"/>
    <s v="Single cylinder"/>
    <s v="liquid-cooled"/>
    <x v="7"/>
    <s v="Mid-range"/>
    <n v="1179259.2592592591"/>
    <s v="CVT"/>
  </r>
  <r>
    <d v="2025-07-03T00:00:00"/>
    <x v="0"/>
    <x v="9"/>
    <x v="0"/>
    <x v="1"/>
    <x v="36"/>
    <n v="67900"/>
    <n v="47"/>
    <n v="3191300"/>
    <x v="2"/>
    <x v="13"/>
    <s v="Single cylinder"/>
    <s v="air-cooled"/>
    <x v="10"/>
    <s v="Entry-level"/>
    <n v="2454846.1538461535"/>
    <s v="4-speed"/>
  </r>
  <r>
    <d v="2025-08-04T00:00:00"/>
    <x v="2"/>
    <x v="24"/>
    <x v="0"/>
    <x v="0"/>
    <x v="23"/>
    <n v="125000"/>
    <n v="31"/>
    <n v="3875000"/>
    <x v="2"/>
    <x v="5"/>
    <s v="Single cylinder"/>
    <s v="liquid-cooled"/>
    <x v="17"/>
    <s v="Entry-level"/>
    <n v="2980769.230769231"/>
    <s v="6-speed"/>
  </r>
  <r>
    <d v="2025-06-18T00:00:00"/>
    <x v="1"/>
    <x v="23"/>
    <x v="0"/>
    <x v="1"/>
    <x v="40"/>
    <n v="340000"/>
    <n v="5"/>
    <n v="1700000"/>
    <x v="2"/>
    <x v="7"/>
    <s v="Parallel-twin"/>
    <s v="liquid-cooled"/>
    <x v="25"/>
    <s v="Mid-range"/>
    <n v="1259259.2592592591"/>
    <s v="6-speed"/>
  </r>
  <r>
    <d v="2025-07-19T00:00:00"/>
    <x v="0"/>
    <x v="15"/>
    <x v="0"/>
    <x v="1"/>
    <x v="25"/>
    <n v="79900"/>
    <n v="6"/>
    <n v="479400"/>
    <x v="2"/>
    <x v="2"/>
    <s v="Single cylinder"/>
    <s v="air-cooled"/>
    <x v="14"/>
    <s v="Entry-level"/>
    <n v="368769.23076923075"/>
    <s v="CVT"/>
  </r>
  <r>
    <d v="2025-06-11T00:00:00"/>
    <x v="1"/>
    <x v="2"/>
    <x v="0"/>
    <x v="0"/>
    <x v="38"/>
    <n v="398000"/>
    <n v="7"/>
    <n v="2786000"/>
    <x v="1"/>
    <x v="14"/>
    <s v="Parallel-twin"/>
    <s v="liquid-cooled"/>
    <x v="15"/>
    <s v="Premium"/>
    <n v="1990000.0000000002"/>
    <s v="6-speed"/>
  </r>
  <r>
    <d v="2025-08-24T00:00:00"/>
    <x v="2"/>
    <x v="8"/>
    <x v="0"/>
    <x v="1"/>
    <x v="9"/>
    <n v="328000"/>
    <n v="8"/>
    <n v="2624000"/>
    <x v="2"/>
    <x v="0"/>
    <s v="Twin cylinder"/>
    <s v="air-cooled"/>
    <x v="9"/>
    <s v="Mid-range"/>
    <n v="1943703.7037037036"/>
    <s v="6-speed"/>
  </r>
  <r>
    <d v="2025-06-26T00:00:00"/>
    <x v="1"/>
    <x v="5"/>
    <x v="0"/>
    <x v="1"/>
    <x v="3"/>
    <n v="248000"/>
    <n v="6"/>
    <n v="1488000"/>
    <x v="1"/>
    <x v="3"/>
    <s v="Single cylinder"/>
    <s v="liquid-cooled"/>
    <x v="3"/>
    <s v="Mid-range"/>
    <n v="1102222.222222222"/>
    <s v="6-speed"/>
  </r>
  <r>
    <d v="2025-08-02T00:00:00"/>
    <x v="2"/>
    <x v="11"/>
    <x v="0"/>
    <x v="1"/>
    <x v="25"/>
    <n v="79900"/>
    <n v="1"/>
    <n v="79900"/>
    <x v="0"/>
    <x v="2"/>
    <s v="Single cylinder"/>
    <s v="air-cooled"/>
    <x v="14"/>
    <s v="Entry-level"/>
    <n v="61461.538461538461"/>
    <s v="CVT"/>
  </r>
  <r>
    <d v="2025-08-28T00:00:00"/>
    <x v="2"/>
    <x v="14"/>
    <x v="0"/>
    <x v="1"/>
    <x v="49"/>
    <n v="250000"/>
    <n v="6"/>
    <n v="1500000"/>
    <x v="2"/>
    <x v="16"/>
    <s v="Single cylinder"/>
    <s v="air-cooled"/>
    <x v="30"/>
    <s v="Mid-range"/>
    <n v="1111111.111111111"/>
    <s v="5-speed"/>
  </r>
  <r>
    <d v="2025-08-25T00:00:00"/>
    <x v="2"/>
    <x v="20"/>
    <x v="0"/>
    <x v="1"/>
    <x v="22"/>
    <n v="284900"/>
    <n v="23"/>
    <n v="6552700"/>
    <x v="1"/>
    <x v="12"/>
    <s v="Single cylinder"/>
    <s v="liquid-cooled"/>
    <x v="16"/>
    <s v="Mid-range"/>
    <n v="4853851.8518518517"/>
    <s v="6-speed"/>
  </r>
  <r>
    <d v="2025-07-29T00:00:00"/>
    <x v="0"/>
    <x v="16"/>
    <x v="0"/>
    <x v="0"/>
    <x v="12"/>
    <n v="210000"/>
    <n v="10"/>
    <n v="2100000"/>
    <x v="1"/>
    <x v="2"/>
    <s v="Single cylinder"/>
    <s v="air-cooled"/>
    <x v="12"/>
    <s v="Entry-level"/>
    <n v="1615384.6153846153"/>
    <s v="CVT"/>
  </r>
  <r>
    <d v="2025-06-27T00:00:00"/>
    <x v="1"/>
    <x v="7"/>
    <x v="0"/>
    <x v="0"/>
    <x v="48"/>
    <n v="72900"/>
    <n v="8"/>
    <n v="583200"/>
    <x v="1"/>
    <x v="9"/>
    <s v="Single cylinder"/>
    <s v="air-cooled"/>
    <x v="12"/>
    <s v="Entry-level"/>
    <n v="448615.38461538462"/>
    <s v="CVT"/>
  </r>
  <r>
    <d v="2025-07-19T00:00:00"/>
    <x v="0"/>
    <x v="15"/>
    <x v="0"/>
    <x v="0"/>
    <x v="16"/>
    <n v="178000"/>
    <n v="29"/>
    <n v="5162000"/>
    <x v="0"/>
    <x v="5"/>
    <s v="Single cylinder"/>
    <s v="liquid-cooled"/>
    <x v="4"/>
    <s v="Entry-level"/>
    <n v="3970769.2307692305"/>
    <s v="6-speed"/>
  </r>
  <r>
    <d v="2025-08-16T00:00:00"/>
    <x v="2"/>
    <x v="30"/>
    <x v="0"/>
    <x v="1"/>
    <x v="11"/>
    <n v="165000"/>
    <n v="16"/>
    <n v="2640000"/>
    <x v="1"/>
    <x v="7"/>
    <s v="Single cylinder"/>
    <s v="liquid-cooled"/>
    <x v="11"/>
    <s v="Mid-range"/>
    <n v="1955555.5555555555"/>
    <s v="6-speed"/>
  </r>
  <r>
    <d v="2025-07-03T00:00:00"/>
    <x v="0"/>
    <x v="9"/>
    <x v="0"/>
    <x v="0"/>
    <x v="20"/>
    <n v="319000"/>
    <n v="19"/>
    <n v="6061000"/>
    <x v="0"/>
    <x v="2"/>
    <s v="Single cylinder"/>
    <s v="liquid-cooled"/>
    <x v="11"/>
    <s v="Mid-range"/>
    <n v="4489629.6296296297"/>
    <s v="CVT"/>
  </r>
  <r>
    <d v="2025-06-01T00:00:00"/>
    <x v="1"/>
    <x v="18"/>
    <x v="0"/>
    <x v="1"/>
    <x v="24"/>
    <n v="119900"/>
    <n v="3"/>
    <n v="359700"/>
    <x v="1"/>
    <x v="9"/>
    <s v="Single cylinder"/>
    <s v="liquid-cooled"/>
    <x v="12"/>
    <s v="Entry-level"/>
    <n v="276692.30769230769"/>
    <s v="6-speed"/>
  </r>
  <r>
    <d v="2025-06-21T00:00:00"/>
    <x v="1"/>
    <x v="4"/>
    <x v="0"/>
    <x v="0"/>
    <x v="29"/>
    <n v="349000"/>
    <n v="19"/>
    <n v="6631000"/>
    <x v="2"/>
    <x v="14"/>
    <s v="Parallel-twin"/>
    <s v="liquid-cooled"/>
    <x v="19"/>
    <s v="Mid-range"/>
    <n v="4911851.8518518517"/>
    <s v="6-speed"/>
  </r>
  <r>
    <d v="2025-07-25T00:00:00"/>
    <x v="0"/>
    <x v="20"/>
    <x v="0"/>
    <x v="1"/>
    <x v="45"/>
    <n v="129000"/>
    <n v="33"/>
    <n v="4257000"/>
    <x v="2"/>
    <x v="5"/>
    <s v="Single cylinder"/>
    <s v="oil-cooled"/>
    <x v="28"/>
    <s v="Entry-level"/>
    <n v="3274615.3846153845"/>
    <s v="5-speed"/>
  </r>
  <r>
    <d v="2025-06-06T00:00:00"/>
    <x v="1"/>
    <x v="28"/>
    <x v="0"/>
    <x v="1"/>
    <x v="32"/>
    <n v="219000"/>
    <n v="7"/>
    <n v="1533000"/>
    <x v="0"/>
    <x v="2"/>
    <s v="Single cylinder"/>
    <s v="liquid-cooled"/>
    <x v="22"/>
    <s v="Entry-level"/>
    <n v="1179230.7692307692"/>
    <s v="CVT"/>
  </r>
  <r>
    <d v="2025-08-31T00:00:00"/>
    <x v="2"/>
    <x v="3"/>
    <x v="0"/>
    <x v="1"/>
    <x v="47"/>
    <n v="182000"/>
    <n v="11"/>
    <n v="2002000"/>
    <x v="1"/>
    <x v="15"/>
    <s v="Single cylinder"/>
    <s v="liquid-cooled"/>
    <x v="4"/>
    <s v="Entry-level"/>
    <n v="1540000"/>
    <s v="6-speed"/>
  </r>
  <r>
    <d v="2025-07-25T00:00:00"/>
    <x v="0"/>
    <x v="20"/>
    <x v="0"/>
    <x v="0"/>
    <x v="21"/>
    <n v="389000"/>
    <n v="16"/>
    <n v="6224000"/>
    <x v="1"/>
    <x v="7"/>
    <s v="Parallel-twin"/>
    <s v="liquid-cooled"/>
    <x v="9"/>
    <s v="Mid-range"/>
    <n v="4610370.3703703703"/>
    <s v="6-speed"/>
  </r>
  <r>
    <d v="2025-08-08T00:00:00"/>
    <x v="2"/>
    <x v="13"/>
    <x v="0"/>
    <x v="0"/>
    <x v="6"/>
    <n v="599000"/>
    <n v="45"/>
    <n v="26955000"/>
    <x v="0"/>
    <x v="5"/>
    <s v="Parallel-twin"/>
    <s v="liquid-cooled"/>
    <x v="6"/>
    <s v="Premium"/>
    <n v="19253571.428571429"/>
    <s v="6-speed"/>
  </r>
  <r>
    <d v="2025-06-05T00:00:00"/>
    <x v="1"/>
    <x v="26"/>
    <x v="0"/>
    <x v="0"/>
    <x v="38"/>
    <n v="398000"/>
    <n v="13"/>
    <n v="5174000"/>
    <x v="2"/>
    <x v="14"/>
    <s v="Parallel-twin"/>
    <s v="liquid-cooled"/>
    <x v="15"/>
    <s v="Premium"/>
    <n v="3695714.2857142864"/>
    <s v="6-speed"/>
  </r>
  <r>
    <d v="2025-06-03T00:00:00"/>
    <x v="1"/>
    <x v="9"/>
    <x v="0"/>
    <x v="0"/>
    <x v="14"/>
    <n v="80900"/>
    <n v="33"/>
    <n v="2669700"/>
    <x v="1"/>
    <x v="2"/>
    <s v="Single cylinder"/>
    <s v="air-cooled"/>
    <x v="14"/>
    <s v="Entry-level"/>
    <n v="2053615.3846153845"/>
    <s v="CVT"/>
  </r>
  <r>
    <d v="2025-07-23T00:00:00"/>
    <x v="0"/>
    <x v="10"/>
    <x v="0"/>
    <x v="1"/>
    <x v="29"/>
    <n v="349000"/>
    <n v="11"/>
    <n v="3839000"/>
    <x v="0"/>
    <x v="14"/>
    <s v="Parallel-twin"/>
    <s v="liquid-cooled"/>
    <x v="19"/>
    <s v="Mid-range"/>
    <n v="2843703.7037037038"/>
    <s v="6-speed"/>
  </r>
  <r>
    <d v="2025-06-23T00:00:00"/>
    <x v="1"/>
    <x v="10"/>
    <x v="0"/>
    <x v="1"/>
    <x v="41"/>
    <n v="299000"/>
    <n v="11"/>
    <n v="3289000"/>
    <x v="2"/>
    <x v="12"/>
    <s v="Single cylinder"/>
    <s v="air-cooled"/>
    <x v="26"/>
    <s v="Mid-range"/>
    <n v="2436296.2962962962"/>
    <s v="5-speed"/>
  </r>
  <r>
    <d v="2025-07-23T00:00:00"/>
    <x v="0"/>
    <x v="10"/>
    <x v="0"/>
    <x v="1"/>
    <x v="38"/>
    <n v="398000"/>
    <n v="19"/>
    <n v="7562000"/>
    <x v="2"/>
    <x v="14"/>
    <s v="Parallel-twin"/>
    <s v="liquid-cooled"/>
    <x v="15"/>
    <s v="Premium"/>
    <n v="5401428.5714285718"/>
    <s v="6-speed"/>
  </r>
  <r>
    <d v="2025-07-07T00:00:00"/>
    <x v="0"/>
    <x v="21"/>
    <x v="0"/>
    <x v="0"/>
    <x v="46"/>
    <n v="650000"/>
    <n v="41"/>
    <n v="26650000"/>
    <x v="1"/>
    <x v="14"/>
    <s v="Parallel-twin"/>
    <s v="liquid-cooled"/>
    <x v="29"/>
    <s v="Premium"/>
    <n v="19035714.285714287"/>
    <s v="6-speed"/>
  </r>
  <r>
    <d v="2025-08-13T00:00:00"/>
    <x v="2"/>
    <x v="29"/>
    <x v="0"/>
    <x v="0"/>
    <x v="8"/>
    <n v="689000"/>
    <n v="4"/>
    <n v="2756000"/>
    <x v="1"/>
    <x v="6"/>
    <s v="V-twin"/>
    <s v="air-cooled"/>
    <x v="8"/>
    <s v="Premium"/>
    <n v="1968571.4285714286"/>
    <s v="6-speed"/>
  </r>
  <r>
    <d v="2025-08-13T00:00:00"/>
    <x v="2"/>
    <x v="29"/>
    <x v="0"/>
    <x v="0"/>
    <x v="9"/>
    <n v="328000"/>
    <n v="31"/>
    <n v="10168000"/>
    <x v="1"/>
    <x v="0"/>
    <s v="Twin cylinder"/>
    <s v="air-cooled"/>
    <x v="9"/>
    <s v="Mid-range"/>
    <n v="7531851.8518518517"/>
    <s v="6-speed"/>
  </r>
  <r>
    <d v="2025-08-22T00:00:00"/>
    <x v="2"/>
    <x v="0"/>
    <x v="0"/>
    <x v="0"/>
    <x v="21"/>
    <n v="389000"/>
    <n v="16"/>
    <n v="6224000"/>
    <x v="2"/>
    <x v="7"/>
    <s v="Parallel-twin"/>
    <s v="liquid-cooled"/>
    <x v="9"/>
    <s v="Mid-range"/>
    <n v="4610370.3703703703"/>
    <s v="6-speed"/>
  </r>
  <r>
    <d v="2025-06-17T00:00:00"/>
    <x v="1"/>
    <x v="19"/>
    <x v="0"/>
    <x v="1"/>
    <x v="48"/>
    <n v="72900"/>
    <n v="32"/>
    <n v="2332800"/>
    <x v="2"/>
    <x v="9"/>
    <s v="Single cylinder"/>
    <s v="air-cooled"/>
    <x v="12"/>
    <s v="Entry-level"/>
    <n v="1794461.5384615385"/>
    <s v="CVT"/>
  </r>
  <r>
    <d v="2025-08-24T00:00:00"/>
    <x v="2"/>
    <x v="8"/>
    <x v="0"/>
    <x v="0"/>
    <x v="40"/>
    <n v="340000"/>
    <n v="6"/>
    <n v="2040000"/>
    <x v="2"/>
    <x v="7"/>
    <s v="Parallel-twin"/>
    <s v="liquid-cooled"/>
    <x v="25"/>
    <s v="Mid-range"/>
    <n v="1511111.111111111"/>
    <s v="6-speed"/>
  </r>
  <r>
    <d v="2025-08-17T00:00:00"/>
    <x v="2"/>
    <x v="19"/>
    <x v="0"/>
    <x v="1"/>
    <x v="17"/>
    <n v="125900"/>
    <n v="14"/>
    <n v="1762600"/>
    <x v="0"/>
    <x v="9"/>
    <s v="Single cylinder"/>
    <s v="liquid-cooled"/>
    <x v="4"/>
    <s v="Entry-level"/>
    <n v="1355846.1538461538"/>
    <s v="6-speed"/>
  </r>
  <r>
    <d v="2025-08-12T00:00:00"/>
    <x v="2"/>
    <x v="17"/>
    <x v="0"/>
    <x v="0"/>
    <x v="7"/>
    <n v="398000"/>
    <n v="17"/>
    <n v="6766000"/>
    <x v="1"/>
    <x v="2"/>
    <s v="Single cylinder"/>
    <s v="liquid-cooled"/>
    <x v="7"/>
    <s v="Mid-range"/>
    <n v="5011851.8518518507"/>
    <s v="CVT"/>
  </r>
  <r>
    <d v="2025-06-01T00:00:00"/>
    <x v="1"/>
    <x v="18"/>
    <x v="0"/>
    <x v="1"/>
    <x v="18"/>
    <n v="68900"/>
    <n v="21"/>
    <n v="1446900"/>
    <x v="2"/>
    <x v="10"/>
    <s v="Single cylinder"/>
    <s v="air-cooled"/>
    <x v="1"/>
    <s v="Entry-level"/>
    <n v="1113000"/>
    <s v="5-speed"/>
  </r>
  <r>
    <d v="2025-07-21T00:00:00"/>
    <x v="0"/>
    <x v="4"/>
    <x v="0"/>
    <x v="1"/>
    <x v="35"/>
    <n v="199000"/>
    <n v="11"/>
    <n v="2189000"/>
    <x v="1"/>
    <x v="12"/>
    <s v="Single cylinder"/>
    <s v="air-cooled"/>
    <x v="24"/>
    <s v="Mid-range"/>
    <n v="1621481.4814814813"/>
    <s v="6-speed"/>
  </r>
  <r>
    <d v="2025-07-15T00:00:00"/>
    <x v="0"/>
    <x v="1"/>
    <x v="0"/>
    <x v="1"/>
    <x v="12"/>
    <n v="210000"/>
    <n v="15"/>
    <n v="3150000"/>
    <x v="2"/>
    <x v="2"/>
    <s v="Single cylinder"/>
    <s v="air-cooled"/>
    <x v="12"/>
    <s v="Entry-level"/>
    <n v="2423076.923076923"/>
    <s v="CVT"/>
  </r>
  <r>
    <d v="2025-08-16T00:00:00"/>
    <x v="2"/>
    <x v="30"/>
    <x v="0"/>
    <x v="0"/>
    <x v="47"/>
    <n v="182000"/>
    <n v="14"/>
    <n v="2548000"/>
    <x v="0"/>
    <x v="15"/>
    <s v="Single cylinder"/>
    <s v="liquid-cooled"/>
    <x v="4"/>
    <s v="Entry-level"/>
    <n v="1960000"/>
    <s v="6-speed"/>
  </r>
  <r>
    <d v="2025-06-04T00:00:00"/>
    <x v="1"/>
    <x v="24"/>
    <x v="0"/>
    <x v="0"/>
    <x v="9"/>
    <n v="328000"/>
    <n v="21"/>
    <n v="6888000"/>
    <x v="2"/>
    <x v="0"/>
    <s v="Twin cylinder"/>
    <s v="air-cooled"/>
    <x v="9"/>
    <s v="Mid-range"/>
    <n v="5102222.222222222"/>
    <s v="6-speed"/>
  </r>
  <r>
    <d v="2025-08-01T00:00:00"/>
    <x v="2"/>
    <x v="18"/>
    <x v="0"/>
    <x v="0"/>
    <x v="16"/>
    <n v="178000"/>
    <n v="13"/>
    <n v="2314000"/>
    <x v="1"/>
    <x v="5"/>
    <s v="Single cylinder"/>
    <s v="liquid-cooled"/>
    <x v="4"/>
    <s v="Entry-level"/>
    <n v="1779999.9999999998"/>
    <s v="6-speed"/>
  </r>
  <r>
    <d v="2025-08-04T00:00:00"/>
    <x v="2"/>
    <x v="24"/>
    <x v="0"/>
    <x v="0"/>
    <x v="30"/>
    <n v="995000"/>
    <n v="7"/>
    <n v="6965000"/>
    <x v="0"/>
    <x v="6"/>
    <s v="Flat twin"/>
    <s v="air"/>
    <x v="20"/>
    <s v="Premium"/>
    <n v="4975000.0000000009"/>
    <n v="0"/>
  </r>
  <r>
    <d v="2025-07-02T00:00:00"/>
    <x v="0"/>
    <x v="11"/>
    <x v="0"/>
    <x v="1"/>
    <x v="21"/>
    <n v="389000"/>
    <n v="3"/>
    <n v="1167000"/>
    <x v="0"/>
    <x v="7"/>
    <s v="Parallel-twin"/>
    <s v="liquid-cooled"/>
    <x v="9"/>
    <s v="Mid-range"/>
    <n v="864444.4444444445"/>
    <s v="6-speed"/>
  </r>
  <r>
    <d v="2025-07-04T00:00:00"/>
    <x v="0"/>
    <x v="24"/>
    <x v="0"/>
    <x v="0"/>
    <x v="11"/>
    <n v="165000"/>
    <n v="12"/>
    <n v="1980000"/>
    <x v="1"/>
    <x v="7"/>
    <s v="Single cylinder"/>
    <s v="liquid-cooled"/>
    <x v="11"/>
    <s v="Mid-range"/>
    <n v="1466666.6666666665"/>
    <s v="6-speed"/>
  </r>
  <r>
    <d v="2025-08-31T00:00:00"/>
    <x v="2"/>
    <x v="3"/>
    <x v="0"/>
    <x v="0"/>
    <x v="41"/>
    <n v="299000"/>
    <n v="10"/>
    <n v="2990000"/>
    <x v="2"/>
    <x v="12"/>
    <s v="Single cylinder"/>
    <s v="air-cooled"/>
    <x v="26"/>
    <s v="Mid-range"/>
    <n v="2214814.8148148144"/>
    <s v="5-speed"/>
  </r>
  <r>
    <d v="2025-08-11T00:00:00"/>
    <x v="2"/>
    <x v="2"/>
    <x v="0"/>
    <x v="0"/>
    <x v="12"/>
    <n v="210000"/>
    <n v="10"/>
    <n v="2100000"/>
    <x v="2"/>
    <x v="2"/>
    <s v="Single cylinder"/>
    <s v="air-cooled"/>
    <x v="12"/>
    <s v="Entry-level"/>
    <n v="1615384.6153846153"/>
    <s v="CVT"/>
  </r>
  <r>
    <d v="2025-07-09T00:00:00"/>
    <x v="0"/>
    <x v="22"/>
    <x v="0"/>
    <x v="0"/>
    <x v="34"/>
    <n v="78900"/>
    <n v="16"/>
    <n v="1262400"/>
    <x v="2"/>
    <x v="3"/>
    <s v="Single cylinder"/>
    <s v="oil-cooled"/>
    <x v="23"/>
    <s v="Mid-range"/>
    <n v="935111.11111111101"/>
    <s v="6-speed"/>
  </r>
  <r>
    <d v="2025-06-26T00:00:00"/>
    <x v="1"/>
    <x v="5"/>
    <x v="0"/>
    <x v="0"/>
    <x v="13"/>
    <n v="164900"/>
    <n v="19"/>
    <n v="3133100"/>
    <x v="2"/>
    <x v="2"/>
    <s v="Single cylinder"/>
    <s v="liquid-cooled"/>
    <x v="13"/>
    <s v="Entry-level"/>
    <n v="2410076.923076923"/>
    <s v="CVT"/>
  </r>
  <r>
    <d v="2025-07-04T00:00:00"/>
    <x v="0"/>
    <x v="24"/>
    <x v="0"/>
    <x v="0"/>
    <x v="25"/>
    <n v="79900"/>
    <n v="15"/>
    <n v="1198500"/>
    <x v="0"/>
    <x v="2"/>
    <s v="Single cylinder"/>
    <s v="air-cooled"/>
    <x v="14"/>
    <s v="Entry-level"/>
    <n v="921923.07692307688"/>
    <s v="CVT"/>
  </r>
  <r>
    <d v="2025-07-24T00:00:00"/>
    <x v="0"/>
    <x v="8"/>
    <x v="0"/>
    <x v="0"/>
    <x v="8"/>
    <n v="689000"/>
    <n v="12"/>
    <n v="8268000"/>
    <x v="1"/>
    <x v="6"/>
    <s v="V-twin"/>
    <s v="air-cooled"/>
    <x v="8"/>
    <s v="Premium"/>
    <n v="5905714.2857142854"/>
    <s v="6-speed"/>
  </r>
  <r>
    <d v="2025-06-03T00:00:00"/>
    <x v="1"/>
    <x v="9"/>
    <x v="0"/>
    <x v="0"/>
    <x v="18"/>
    <n v="68900"/>
    <n v="5"/>
    <n v="344500"/>
    <x v="2"/>
    <x v="10"/>
    <s v="Single cylinder"/>
    <s v="air-cooled"/>
    <x v="1"/>
    <s v="Entry-level"/>
    <n v="265000"/>
    <s v="5-speed"/>
  </r>
  <r>
    <d v="2025-07-20T00:00:00"/>
    <x v="0"/>
    <x v="27"/>
    <x v="0"/>
    <x v="0"/>
    <x v="20"/>
    <n v="319000"/>
    <n v="2"/>
    <n v="638000"/>
    <x v="2"/>
    <x v="2"/>
    <s v="Single cylinder"/>
    <s v="liquid-cooled"/>
    <x v="11"/>
    <s v="Mid-range"/>
    <n v="472592.59259259258"/>
    <s v="CVT"/>
  </r>
  <r>
    <d v="2025-06-12T00:00:00"/>
    <x v="1"/>
    <x v="17"/>
    <x v="0"/>
    <x v="1"/>
    <x v="18"/>
    <n v="68900"/>
    <n v="11"/>
    <n v="757900"/>
    <x v="0"/>
    <x v="10"/>
    <s v="Single cylinder"/>
    <s v="air-cooled"/>
    <x v="1"/>
    <s v="Entry-level"/>
    <n v="583000"/>
    <s v="5-speed"/>
  </r>
  <r>
    <d v="2025-08-04T00:00:00"/>
    <x v="2"/>
    <x v="24"/>
    <x v="0"/>
    <x v="0"/>
    <x v="42"/>
    <n v="198000"/>
    <n v="29"/>
    <n v="5742000"/>
    <x v="0"/>
    <x v="7"/>
    <s v="Single cylinder"/>
    <s v="liquid-cooled"/>
    <x v="27"/>
    <s v="Entry-level"/>
    <n v="4416923.076923077"/>
    <s v="6-speed"/>
  </r>
  <r>
    <d v="2025-07-24T00:00:00"/>
    <x v="0"/>
    <x v="8"/>
    <x v="0"/>
    <x v="0"/>
    <x v="41"/>
    <n v="299000"/>
    <n v="33"/>
    <n v="9867000"/>
    <x v="1"/>
    <x v="12"/>
    <s v="Single cylinder"/>
    <s v="air-cooled"/>
    <x v="26"/>
    <s v="Mid-range"/>
    <n v="7308888.8888888881"/>
    <s v="5-speed"/>
  </r>
  <r>
    <d v="2025-06-05T00:00:00"/>
    <x v="1"/>
    <x v="26"/>
    <x v="0"/>
    <x v="0"/>
    <x v="10"/>
    <n v="80900"/>
    <n v="28"/>
    <n v="2265200"/>
    <x v="2"/>
    <x v="2"/>
    <s v="Single cylinder"/>
    <s v="liquid-cooled"/>
    <x v="10"/>
    <s v="Entry-level"/>
    <n v="1742461.5384615383"/>
    <s v="CVT"/>
  </r>
  <r>
    <d v="2025-07-27T00:00:00"/>
    <x v="0"/>
    <x v="7"/>
    <x v="0"/>
    <x v="1"/>
    <x v="3"/>
    <n v="248000"/>
    <n v="29"/>
    <n v="7192000"/>
    <x v="1"/>
    <x v="3"/>
    <s v="Single cylinder"/>
    <s v="liquid-cooled"/>
    <x v="3"/>
    <s v="Mid-range"/>
    <n v="5327407.4074074067"/>
    <s v="6-speed"/>
  </r>
  <r>
    <d v="2025-06-17T00:00:00"/>
    <x v="1"/>
    <x v="19"/>
    <x v="0"/>
    <x v="0"/>
    <x v="29"/>
    <n v="349000"/>
    <n v="41"/>
    <n v="14309000"/>
    <x v="1"/>
    <x v="14"/>
    <s v="Parallel-twin"/>
    <s v="liquid-cooled"/>
    <x v="19"/>
    <s v="Mid-range"/>
    <n v="10599259.259259259"/>
    <s v="6-speed"/>
  </r>
  <r>
    <d v="2025-07-17T00:00:00"/>
    <x v="0"/>
    <x v="19"/>
    <x v="0"/>
    <x v="1"/>
    <x v="11"/>
    <n v="165000"/>
    <n v="37"/>
    <n v="6105000"/>
    <x v="2"/>
    <x v="7"/>
    <s v="Single cylinder"/>
    <s v="liquid-cooled"/>
    <x v="11"/>
    <s v="Mid-range"/>
    <n v="4522222.222222222"/>
    <s v="6-speed"/>
  </r>
  <r>
    <d v="2025-06-23T00:00:00"/>
    <x v="1"/>
    <x v="10"/>
    <x v="0"/>
    <x v="0"/>
    <x v="23"/>
    <n v="125000"/>
    <n v="15"/>
    <n v="1875000"/>
    <x v="2"/>
    <x v="5"/>
    <s v="Single cylinder"/>
    <s v="liquid-cooled"/>
    <x v="17"/>
    <s v="Entry-level"/>
    <n v="1442307.6923076923"/>
    <s v="6-speed"/>
  </r>
  <r>
    <d v="2025-08-18T00:00:00"/>
    <x v="2"/>
    <x v="23"/>
    <x v="0"/>
    <x v="1"/>
    <x v="25"/>
    <n v="79900"/>
    <n v="11"/>
    <n v="878900"/>
    <x v="1"/>
    <x v="2"/>
    <s v="Single cylinder"/>
    <s v="air-cooled"/>
    <x v="14"/>
    <s v="Entry-level"/>
    <n v="676076.92307692312"/>
    <s v="CVT"/>
  </r>
  <r>
    <d v="2025-08-24T00:00:00"/>
    <x v="2"/>
    <x v="8"/>
    <x v="0"/>
    <x v="0"/>
    <x v="5"/>
    <n v="199900"/>
    <n v="17"/>
    <n v="3398300"/>
    <x v="0"/>
    <x v="4"/>
    <s v="Single cylinder"/>
    <s v="liquid-cooled"/>
    <x v="5"/>
    <s v="Mid-range"/>
    <n v="2517259.2592592593"/>
    <s v="6-speed"/>
  </r>
  <r>
    <d v="2025-06-14T00:00:00"/>
    <x v="1"/>
    <x v="6"/>
    <x v="0"/>
    <x v="1"/>
    <x v="18"/>
    <n v="68900"/>
    <n v="5"/>
    <n v="344500"/>
    <x v="2"/>
    <x v="10"/>
    <s v="Single cylinder"/>
    <s v="air-cooled"/>
    <x v="1"/>
    <s v="Entry-level"/>
    <n v="265000"/>
    <s v="5-speed"/>
  </r>
  <r>
    <d v="2025-08-05T00:00:00"/>
    <x v="2"/>
    <x v="26"/>
    <x v="0"/>
    <x v="0"/>
    <x v="9"/>
    <n v="328000"/>
    <n v="36"/>
    <n v="11808000"/>
    <x v="1"/>
    <x v="0"/>
    <s v="Twin cylinder"/>
    <s v="air-cooled"/>
    <x v="9"/>
    <s v="Mid-range"/>
    <n v="8746666.666666666"/>
    <s v="6-speed"/>
  </r>
  <r>
    <d v="2025-08-14T00:00:00"/>
    <x v="2"/>
    <x v="6"/>
    <x v="0"/>
    <x v="1"/>
    <x v="47"/>
    <n v="182000"/>
    <n v="33"/>
    <n v="6006000"/>
    <x v="1"/>
    <x v="15"/>
    <s v="Single cylinder"/>
    <s v="liquid-cooled"/>
    <x v="4"/>
    <s v="Entry-level"/>
    <n v="4620000"/>
    <s v="6-speed"/>
  </r>
  <r>
    <d v="2025-07-21T00:00:00"/>
    <x v="0"/>
    <x v="4"/>
    <x v="0"/>
    <x v="0"/>
    <x v="47"/>
    <n v="182000"/>
    <n v="11"/>
    <n v="2002000"/>
    <x v="2"/>
    <x v="15"/>
    <s v="Single cylinder"/>
    <s v="liquid-cooled"/>
    <x v="4"/>
    <s v="Entry-level"/>
    <n v="1540000"/>
    <s v="6-speed"/>
  </r>
  <r>
    <d v="2025-07-08T00:00:00"/>
    <x v="0"/>
    <x v="13"/>
    <x v="0"/>
    <x v="0"/>
    <x v="39"/>
    <n v="151900"/>
    <n v="3"/>
    <n v="455700"/>
    <x v="2"/>
    <x v="2"/>
    <s v="Single cylinder"/>
    <s v="liquid-cooled"/>
    <x v="4"/>
    <s v="Entry-level"/>
    <n v="350538.4615384615"/>
    <s v="CVT"/>
  </r>
  <r>
    <d v="2025-08-03T00:00:00"/>
    <x v="2"/>
    <x v="9"/>
    <x v="0"/>
    <x v="0"/>
    <x v="43"/>
    <n v="178000"/>
    <n v="1"/>
    <n v="178000"/>
    <x v="1"/>
    <x v="5"/>
    <s v="Single cylinder"/>
    <s v="liquid-cooled"/>
    <x v="27"/>
    <s v="Entry-level"/>
    <n v="136923.07692307691"/>
    <s v="6-speed"/>
  </r>
  <r>
    <d v="2025-07-08T00:00:00"/>
    <x v="0"/>
    <x v="13"/>
    <x v="0"/>
    <x v="0"/>
    <x v="30"/>
    <n v="995000"/>
    <n v="10"/>
    <n v="9950000"/>
    <x v="0"/>
    <x v="6"/>
    <s v="Flat twin"/>
    <s v="air"/>
    <x v="20"/>
    <s v="Premium"/>
    <n v="7107142.8571428582"/>
    <n v="0"/>
  </r>
  <r>
    <d v="2025-07-20T00:00:00"/>
    <x v="0"/>
    <x v="27"/>
    <x v="0"/>
    <x v="0"/>
    <x v="33"/>
    <n v="369000"/>
    <n v="20"/>
    <n v="7380000"/>
    <x v="1"/>
    <x v="3"/>
    <s v="Parallel-twin"/>
    <s v="liquid-cooled"/>
    <x v="15"/>
    <s v="Premium"/>
    <n v="5271428.5714285718"/>
    <s v="6-speed"/>
  </r>
  <r>
    <d v="2025-08-21T00:00:00"/>
    <x v="2"/>
    <x v="4"/>
    <x v="0"/>
    <x v="1"/>
    <x v="40"/>
    <n v="340000"/>
    <n v="12"/>
    <n v="4080000"/>
    <x v="1"/>
    <x v="7"/>
    <s v="Parallel-twin"/>
    <s v="liquid-cooled"/>
    <x v="25"/>
    <s v="Mid-range"/>
    <n v="3022222.222222222"/>
    <s v="6-speed"/>
  </r>
  <r>
    <d v="2025-06-30T00:00:00"/>
    <x v="1"/>
    <x v="12"/>
    <x v="0"/>
    <x v="1"/>
    <x v="32"/>
    <n v="219000"/>
    <n v="39"/>
    <n v="8541000"/>
    <x v="2"/>
    <x v="2"/>
    <s v="Single cylinder"/>
    <s v="liquid-cooled"/>
    <x v="22"/>
    <s v="Entry-level"/>
    <n v="6570000"/>
    <s v="CVT"/>
  </r>
  <r>
    <d v="2025-08-18T00:00:00"/>
    <x v="2"/>
    <x v="23"/>
    <x v="0"/>
    <x v="1"/>
    <x v="31"/>
    <n v="499000"/>
    <n v="47"/>
    <n v="23453000"/>
    <x v="0"/>
    <x v="14"/>
    <s v="V-twin"/>
    <s v="liquid-cooled"/>
    <x v="21"/>
    <s v="Premium"/>
    <n v="16752142.85714286"/>
    <s v="6-speed"/>
  </r>
  <r>
    <d v="2025-08-30T00:00:00"/>
    <x v="2"/>
    <x v="12"/>
    <x v="0"/>
    <x v="1"/>
    <x v="2"/>
    <n v="289000"/>
    <n v="11"/>
    <n v="3179000"/>
    <x v="1"/>
    <x v="2"/>
    <s v="Single cylinder"/>
    <s v="liquid-cooled"/>
    <x v="2"/>
    <s v="Entry-level"/>
    <n v="2445384.6153846155"/>
    <s v="CVT"/>
  </r>
  <r>
    <d v="2025-07-21T00:00:00"/>
    <x v="0"/>
    <x v="4"/>
    <x v="0"/>
    <x v="1"/>
    <x v="24"/>
    <n v="119900"/>
    <n v="15"/>
    <n v="1798500"/>
    <x v="2"/>
    <x v="9"/>
    <s v="Single cylinder"/>
    <s v="liquid-cooled"/>
    <x v="12"/>
    <s v="Entry-level"/>
    <n v="1383461.5384615385"/>
    <s v="6-speed"/>
  </r>
  <r>
    <d v="2025-08-02T00:00:00"/>
    <x v="2"/>
    <x v="11"/>
    <x v="0"/>
    <x v="0"/>
    <x v="14"/>
    <n v="80900"/>
    <n v="47"/>
    <n v="3802300"/>
    <x v="0"/>
    <x v="2"/>
    <s v="Single cylinder"/>
    <s v="air-cooled"/>
    <x v="14"/>
    <s v="Entry-level"/>
    <n v="2924846.1538461535"/>
    <s v="CVT"/>
  </r>
  <r>
    <d v="2025-07-22T00:00:00"/>
    <x v="0"/>
    <x v="0"/>
    <x v="0"/>
    <x v="1"/>
    <x v="27"/>
    <n v="48000"/>
    <n v="11"/>
    <n v="528000"/>
    <x v="0"/>
    <x v="13"/>
    <s v="Single cylinder"/>
    <s v="air-cooled"/>
    <x v="10"/>
    <s v="Entry-level"/>
    <n v="406153.84615384613"/>
    <s v="4-speed"/>
  </r>
  <r>
    <d v="2025-07-08T00:00:00"/>
    <x v="0"/>
    <x v="13"/>
    <x v="0"/>
    <x v="0"/>
    <x v="11"/>
    <n v="165000"/>
    <n v="1"/>
    <n v="165000"/>
    <x v="1"/>
    <x v="7"/>
    <s v="Single cylinder"/>
    <s v="liquid-cooled"/>
    <x v="11"/>
    <s v="Mid-range"/>
    <n v="122222.22222222222"/>
    <s v="6-speed"/>
  </r>
  <r>
    <d v="2025-08-27T00:00:00"/>
    <x v="2"/>
    <x v="7"/>
    <x v="0"/>
    <x v="0"/>
    <x v="35"/>
    <n v="199000"/>
    <n v="13"/>
    <n v="2587000"/>
    <x v="1"/>
    <x v="12"/>
    <s v="Single cylinder"/>
    <s v="air-cooled"/>
    <x v="24"/>
    <s v="Mid-range"/>
    <n v="1916296.2962962959"/>
    <s v="6-speed"/>
  </r>
  <r>
    <d v="2025-08-18T00:00:00"/>
    <x v="2"/>
    <x v="23"/>
    <x v="0"/>
    <x v="1"/>
    <x v="1"/>
    <n v="99900"/>
    <n v="4"/>
    <n v="399600"/>
    <x v="2"/>
    <x v="1"/>
    <s v="Single cylinder"/>
    <s v="air-cooled"/>
    <x v="1"/>
    <s v="Entry-level"/>
    <n v="307384.61538461538"/>
    <s v="5-speed"/>
  </r>
  <r>
    <d v="2025-06-30T00:00:00"/>
    <x v="1"/>
    <x v="12"/>
    <x v="0"/>
    <x v="1"/>
    <x v="49"/>
    <n v="250000"/>
    <n v="30"/>
    <n v="7500000"/>
    <x v="0"/>
    <x v="16"/>
    <s v="Single cylinder"/>
    <s v="air-cooled"/>
    <x v="30"/>
    <s v="Mid-range"/>
    <n v="5555555.555555555"/>
    <s v="5-speed"/>
  </r>
  <r>
    <d v="2025-07-21T00:00:00"/>
    <x v="0"/>
    <x v="4"/>
    <x v="0"/>
    <x v="1"/>
    <x v="30"/>
    <n v="995000"/>
    <n v="14"/>
    <n v="13930000"/>
    <x v="0"/>
    <x v="6"/>
    <s v="Flat twin"/>
    <s v="air"/>
    <x v="20"/>
    <s v="Premium"/>
    <n v="9950000.0000000019"/>
    <n v="0"/>
  </r>
  <r>
    <d v="2025-08-20T00:00:00"/>
    <x v="2"/>
    <x v="27"/>
    <x v="0"/>
    <x v="0"/>
    <x v="5"/>
    <n v="199900"/>
    <n v="20"/>
    <n v="3998000"/>
    <x v="1"/>
    <x v="4"/>
    <s v="Single cylinder"/>
    <s v="liquid-cooled"/>
    <x v="5"/>
    <s v="Mid-range"/>
    <n v="2961481.4814814813"/>
    <s v="6-speed"/>
  </r>
  <r>
    <d v="2025-06-05T00:00:00"/>
    <x v="1"/>
    <x v="26"/>
    <x v="0"/>
    <x v="0"/>
    <x v="40"/>
    <n v="340000"/>
    <n v="5"/>
    <n v="1700000"/>
    <x v="2"/>
    <x v="7"/>
    <s v="Parallel-twin"/>
    <s v="liquid-cooled"/>
    <x v="25"/>
    <s v="Mid-range"/>
    <n v="1259259.2592592591"/>
    <s v="6-speed"/>
  </r>
  <r>
    <d v="2025-06-29T00:00:00"/>
    <x v="1"/>
    <x v="16"/>
    <x v="0"/>
    <x v="0"/>
    <x v="17"/>
    <n v="125900"/>
    <n v="7"/>
    <n v="881300"/>
    <x v="1"/>
    <x v="9"/>
    <s v="Single cylinder"/>
    <s v="liquid-cooled"/>
    <x v="4"/>
    <s v="Entry-level"/>
    <n v="677923.07692307688"/>
    <s v="6-speed"/>
  </r>
  <r>
    <d v="2025-06-04T00:00:00"/>
    <x v="1"/>
    <x v="24"/>
    <x v="0"/>
    <x v="1"/>
    <x v="13"/>
    <n v="164900"/>
    <n v="5"/>
    <n v="824500"/>
    <x v="0"/>
    <x v="2"/>
    <s v="Single cylinder"/>
    <s v="liquid-cooled"/>
    <x v="13"/>
    <s v="Entry-level"/>
    <n v="634230.76923076925"/>
    <s v="CVT"/>
  </r>
  <r>
    <d v="2025-06-10T00:00:00"/>
    <x v="1"/>
    <x v="25"/>
    <x v="0"/>
    <x v="1"/>
    <x v="30"/>
    <n v="995000"/>
    <n v="5"/>
    <n v="4975000"/>
    <x v="1"/>
    <x v="6"/>
    <s v="Flat twin"/>
    <s v="air"/>
    <x v="20"/>
    <s v="Premium"/>
    <n v="3553571.4285714291"/>
    <n v="0"/>
  </r>
  <r>
    <d v="2025-07-26T00:00:00"/>
    <x v="0"/>
    <x v="5"/>
    <x v="0"/>
    <x v="1"/>
    <x v="48"/>
    <n v="72900"/>
    <n v="11"/>
    <n v="801900"/>
    <x v="0"/>
    <x v="9"/>
    <s v="Single cylinder"/>
    <s v="air-cooled"/>
    <x v="12"/>
    <s v="Entry-level"/>
    <n v="616846.15384615387"/>
    <s v="CVT"/>
  </r>
  <r>
    <d v="2025-06-17T00:00:00"/>
    <x v="1"/>
    <x v="19"/>
    <x v="0"/>
    <x v="1"/>
    <x v="32"/>
    <n v="219000"/>
    <n v="24"/>
    <n v="5256000"/>
    <x v="2"/>
    <x v="2"/>
    <s v="Single cylinder"/>
    <s v="liquid-cooled"/>
    <x v="22"/>
    <s v="Entry-level"/>
    <n v="4043076.923076923"/>
    <s v="CVT"/>
  </r>
  <r>
    <d v="2025-08-13T00:00:00"/>
    <x v="2"/>
    <x v="29"/>
    <x v="0"/>
    <x v="0"/>
    <x v="4"/>
    <n v="124000"/>
    <n v="6"/>
    <n v="744000"/>
    <x v="2"/>
    <x v="2"/>
    <s v="Single cylinder"/>
    <s v="liquid-cooled"/>
    <x v="4"/>
    <s v="Entry-level"/>
    <n v="572307.69230769225"/>
    <s v="CVT"/>
  </r>
  <r>
    <d v="2025-06-17T00:00:00"/>
    <x v="1"/>
    <x v="19"/>
    <x v="0"/>
    <x v="0"/>
    <x v="12"/>
    <n v="210000"/>
    <n v="48"/>
    <n v="10080000"/>
    <x v="2"/>
    <x v="2"/>
    <s v="Single cylinder"/>
    <s v="air-cooled"/>
    <x v="12"/>
    <s v="Entry-level"/>
    <n v="7753846.153846154"/>
    <s v="CVT"/>
  </r>
  <r>
    <d v="2025-08-23T00:00:00"/>
    <x v="2"/>
    <x v="10"/>
    <x v="0"/>
    <x v="0"/>
    <x v="29"/>
    <n v="349000"/>
    <n v="25"/>
    <n v="8725000"/>
    <x v="0"/>
    <x v="14"/>
    <s v="Parallel-twin"/>
    <s v="liquid-cooled"/>
    <x v="19"/>
    <s v="Mid-range"/>
    <n v="6462962.9629629627"/>
    <s v="6-speed"/>
  </r>
  <r>
    <d v="2025-08-27T00:00:00"/>
    <x v="2"/>
    <x v="7"/>
    <x v="0"/>
    <x v="1"/>
    <x v="35"/>
    <n v="199000"/>
    <n v="17"/>
    <n v="3383000"/>
    <x v="1"/>
    <x v="12"/>
    <s v="Single cylinder"/>
    <s v="air-cooled"/>
    <x v="24"/>
    <s v="Mid-range"/>
    <n v="2505925.9259259254"/>
    <s v="6-speed"/>
  </r>
  <r>
    <d v="2025-08-08T00:00:00"/>
    <x v="2"/>
    <x v="13"/>
    <x v="0"/>
    <x v="0"/>
    <x v="19"/>
    <n v="295000"/>
    <n v="31"/>
    <n v="9145000"/>
    <x v="0"/>
    <x v="11"/>
    <s v="Single cylinder"/>
    <s v="liquid-cooled"/>
    <x v="5"/>
    <s v="Mid-range"/>
    <n v="6774074.0740740737"/>
    <s v="6-speed"/>
  </r>
  <r>
    <d v="2025-07-04T00:00:00"/>
    <x v="0"/>
    <x v="24"/>
    <x v="0"/>
    <x v="1"/>
    <x v="39"/>
    <n v="151900"/>
    <n v="29"/>
    <n v="4405100"/>
    <x v="1"/>
    <x v="2"/>
    <s v="Single cylinder"/>
    <s v="liquid-cooled"/>
    <x v="4"/>
    <s v="Entry-level"/>
    <n v="3388538.4615384615"/>
    <s v="CVT"/>
  </r>
  <r>
    <d v="2025-06-06T00:00:00"/>
    <x v="1"/>
    <x v="28"/>
    <x v="0"/>
    <x v="1"/>
    <x v="37"/>
    <n v="331000"/>
    <n v="3"/>
    <n v="993000"/>
    <x v="1"/>
    <x v="5"/>
    <s v="Parallel-twin"/>
    <s v="liquid-cooled"/>
    <x v="25"/>
    <s v="Mid-range"/>
    <n v="735555.5555555555"/>
    <s v="6-speed"/>
  </r>
  <r>
    <d v="2025-07-23T00:00:00"/>
    <x v="0"/>
    <x v="10"/>
    <x v="0"/>
    <x v="0"/>
    <x v="15"/>
    <n v="345000"/>
    <n v="10"/>
    <n v="3450000"/>
    <x v="1"/>
    <x v="8"/>
    <s v="Parallel-twin"/>
    <s v="liquid-cooled"/>
    <x v="15"/>
    <s v="Premium"/>
    <n v="2464285.7142857146"/>
    <s v="6-speed"/>
  </r>
  <r>
    <d v="2025-08-05T00:00:00"/>
    <x v="2"/>
    <x v="26"/>
    <x v="0"/>
    <x v="1"/>
    <x v="21"/>
    <n v="389000"/>
    <n v="12"/>
    <n v="4668000"/>
    <x v="2"/>
    <x v="7"/>
    <s v="Parallel-twin"/>
    <s v="liquid-cooled"/>
    <x v="9"/>
    <s v="Mid-range"/>
    <n v="3457777.777777778"/>
    <s v="6-speed"/>
  </r>
  <r>
    <d v="2025-08-16T00:00:00"/>
    <x v="2"/>
    <x v="30"/>
    <x v="0"/>
    <x v="0"/>
    <x v="41"/>
    <n v="299000"/>
    <n v="29"/>
    <n v="8671000"/>
    <x v="0"/>
    <x v="12"/>
    <s v="Single cylinder"/>
    <s v="air-cooled"/>
    <x v="26"/>
    <s v="Mid-range"/>
    <n v="6422962.9629629627"/>
    <s v="5-speed"/>
  </r>
  <r>
    <d v="2025-07-13T00:00:00"/>
    <x v="0"/>
    <x v="29"/>
    <x v="0"/>
    <x v="1"/>
    <x v="15"/>
    <n v="345000"/>
    <n v="42"/>
    <n v="14490000"/>
    <x v="1"/>
    <x v="8"/>
    <s v="Parallel-twin"/>
    <s v="liquid-cooled"/>
    <x v="15"/>
    <s v="Premium"/>
    <n v="10350000"/>
    <s v="6-speed"/>
  </r>
  <r>
    <d v="2025-08-14T00:00:00"/>
    <x v="2"/>
    <x v="6"/>
    <x v="0"/>
    <x v="0"/>
    <x v="15"/>
    <n v="345000"/>
    <n v="18"/>
    <n v="6210000"/>
    <x v="2"/>
    <x v="8"/>
    <s v="Parallel-twin"/>
    <s v="liquid-cooled"/>
    <x v="15"/>
    <s v="Premium"/>
    <n v="4435714.2857142864"/>
    <s v="6-speed"/>
  </r>
  <r>
    <d v="2025-06-23T00:00:00"/>
    <x v="1"/>
    <x v="10"/>
    <x v="0"/>
    <x v="1"/>
    <x v="32"/>
    <n v="219000"/>
    <n v="17"/>
    <n v="3723000"/>
    <x v="2"/>
    <x v="2"/>
    <s v="Single cylinder"/>
    <s v="liquid-cooled"/>
    <x v="22"/>
    <s v="Entry-level"/>
    <n v="2863846.153846154"/>
    <s v="CVT"/>
  </r>
  <r>
    <d v="2025-07-25T00:00:00"/>
    <x v="0"/>
    <x v="20"/>
    <x v="0"/>
    <x v="0"/>
    <x v="36"/>
    <n v="67900"/>
    <n v="11"/>
    <n v="746900"/>
    <x v="0"/>
    <x v="13"/>
    <s v="Single cylinder"/>
    <s v="air-cooled"/>
    <x v="10"/>
    <s v="Entry-level"/>
    <n v="574538.4615384615"/>
    <s v="4-speed"/>
  </r>
  <r>
    <d v="2025-08-19T00:00:00"/>
    <x v="2"/>
    <x v="15"/>
    <x v="0"/>
    <x v="1"/>
    <x v="38"/>
    <n v="398000"/>
    <n v="8"/>
    <n v="3184000"/>
    <x v="2"/>
    <x v="14"/>
    <s v="Parallel-twin"/>
    <s v="liquid-cooled"/>
    <x v="15"/>
    <s v="Premium"/>
    <n v="2274285.7142857146"/>
    <s v="6-speed"/>
  </r>
  <r>
    <d v="2025-08-14T00:00:00"/>
    <x v="2"/>
    <x v="6"/>
    <x v="0"/>
    <x v="1"/>
    <x v="39"/>
    <n v="151900"/>
    <n v="41"/>
    <n v="6227900"/>
    <x v="2"/>
    <x v="2"/>
    <s v="Single cylinder"/>
    <s v="liquid-cooled"/>
    <x v="4"/>
    <s v="Entry-level"/>
    <n v="4790692.307692308"/>
    <s v="CVT"/>
  </r>
  <r>
    <d v="2025-06-16T00:00:00"/>
    <x v="1"/>
    <x v="30"/>
    <x v="0"/>
    <x v="0"/>
    <x v="1"/>
    <n v="99900"/>
    <n v="19"/>
    <n v="1898100"/>
    <x v="1"/>
    <x v="1"/>
    <s v="Single cylinder"/>
    <s v="air-cooled"/>
    <x v="1"/>
    <s v="Entry-level"/>
    <n v="1460076.923076923"/>
    <s v="5-speed"/>
  </r>
  <r>
    <d v="2025-06-08T00:00:00"/>
    <x v="1"/>
    <x v="13"/>
    <x v="0"/>
    <x v="0"/>
    <x v="14"/>
    <n v="80900"/>
    <n v="18"/>
    <n v="1456200"/>
    <x v="1"/>
    <x v="2"/>
    <s v="Single cylinder"/>
    <s v="air-cooled"/>
    <x v="14"/>
    <s v="Entry-level"/>
    <n v="1120153.846153846"/>
    <s v="CVT"/>
  </r>
  <r>
    <d v="2025-06-04T00:00:00"/>
    <x v="1"/>
    <x v="24"/>
    <x v="0"/>
    <x v="0"/>
    <x v="30"/>
    <n v="995000"/>
    <n v="8"/>
    <n v="7960000"/>
    <x v="2"/>
    <x v="6"/>
    <s v="Flat twin"/>
    <s v="air"/>
    <x v="20"/>
    <s v="Premium"/>
    <n v="5685714.2857142864"/>
    <n v="0"/>
  </r>
  <r>
    <d v="2025-06-04T00:00:00"/>
    <x v="1"/>
    <x v="24"/>
    <x v="0"/>
    <x v="0"/>
    <x v="27"/>
    <n v="48000"/>
    <n v="6"/>
    <n v="288000"/>
    <x v="2"/>
    <x v="13"/>
    <s v="Single cylinder"/>
    <s v="air-cooled"/>
    <x v="10"/>
    <s v="Entry-level"/>
    <n v="221538.46153846153"/>
    <s v="4-speed"/>
  </r>
  <r>
    <d v="2025-07-26T00:00:00"/>
    <x v="0"/>
    <x v="5"/>
    <x v="0"/>
    <x v="0"/>
    <x v="1"/>
    <n v="99900"/>
    <n v="6"/>
    <n v="599400"/>
    <x v="1"/>
    <x v="1"/>
    <s v="Single cylinder"/>
    <s v="air-cooled"/>
    <x v="1"/>
    <s v="Entry-level"/>
    <n v="461076.92307692306"/>
    <s v="5-speed"/>
  </r>
  <r>
    <d v="2025-06-25T00:00:00"/>
    <x v="1"/>
    <x v="20"/>
    <x v="0"/>
    <x v="0"/>
    <x v="44"/>
    <n v="165000"/>
    <n v="2"/>
    <n v="330000"/>
    <x v="2"/>
    <x v="5"/>
    <s v="Single cylinder"/>
    <s v="liquid-cooled"/>
    <x v="11"/>
    <s v="Mid-range"/>
    <n v="244444.44444444444"/>
    <s v="6-speed"/>
  </r>
  <r>
    <d v="2025-08-06T00:00:00"/>
    <x v="2"/>
    <x v="28"/>
    <x v="0"/>
    <x v="1"/>
    <x v="5"/>
    <n v="199900"/>
    <n v="24"/>
    <n v="4797600"/>
    <x v="0"/>
    <x v="4"/>
    <s v="Single cylinder"/>
    <s v="liquid-cooled"/>
    <x v="5"/>
    <s v="Mid-range"/>
    <n v="3553777.777777778"/>
    <s v="6-speed"/>
  </r>
  <r>
    <d v="2025-08-06T00:00:00"/>
    <x v="2"/>
    <x v="28"/>
    <x v="0"/>
    <x v="0"/>
    <x v="26"/>
    <n v="320000"/>
    <n v="28"/>
    <n v="8960000"/>
    <x v="1"/>
    <x v="3"/>
    <s v="Single cylinder"/>
    <s v="liquid-cooled"/>
    <x v="18"/>
    <s v="Mid-range"/>
    <n v="6637037.0370370364"/>
    <s v="6-speed"/>
  </r>
  <r>
    <d v="2025-06-27T00:00:00"/>
    <x v="1"/>
    <x v="7"/>
    <x v="0"/>
    <x v="0"/>
    <x v="11"/>
    <n v="165000"/>
    <n v="19"/>
    <n v="3135000"/>
    <x v="1"/>
    <x v="7"/>
    <s v="Single cylinder"/>
    <s v="liquid-cooled"/>
    <x v="11"/>
    <s v="Mid-range"/>
    <n v="2322222.222222222"/>
    <s v="6-speed"/>
  </r>
  <r>
    <d v="2025-07-02T00:00:00"/>
    <x v="0"/>
    <x v="11"/>
    <x v="0"/>
    <x v="1"/>
    <x v="49"/>
    <n v="250000"/>
    <n v="19"/>
    <n v="4750000"/>
    <x v="1"/>
    <x v="16"/>
    <s v="Single cylinder"/>
    <s v="air-cooled"/>
    <x v="30"/>
    <s v="Mid-range"/>
    <n v="3518518.5185185182"/>
    <s v="5-speed"/>
  </r>
  <r>
    <d v="2025-07-20T00:00:00"/>
    <x v="0"/>
    <x v="27"/>
    <x v="0"/>
    <x v="1"/>
    <x v="38"/>
    <n v="398000"/>
    <n v="28"/>
    <n v="11144000"/>
    <x v="2"/>
    <x v="14"/>
    <s v="Parallel-twin"/>
    <s v="liquid-cooled"/>
    <x v="15"/>
    <s v="Premium"/>
    <n v="7960000.0000000009"/>
    <s v="6-speed"/>
  </r>
  <r>
    <d v="2025-07-31T00:00:00"/>
    <x v="0"/>
    <x v="3"/>
    <x v="0"/>
    <x v="1"/>
    <x v="12"/>
    <n v="210000"/>
    <n v="3"/>
    <n v="630000"/>
    <x v="0"/>
    <x v="2"/>
    <s v="Single cylinder"/>
    <s v="air-cooled"/>
    <x v="12"/>
    <s v="Entry-level"/>
    <n v="484615.38461538462"/>
    <s v="CVT"/>
  </r>
  <r>
    <d v="2025-07-21T00:00:00"/>
    <x v="0"/>
    <x v="4"/>
    <x v="0"/>
    <x v="0"/>
    <x v="2"/>
    <n v="289000"/>
    <n v="46"/>
    <n v="13294000"/>
    <x v="0"/>
    <x v="2"/>
    <s v="Single cylinder"/>
    <s v="liquid-cooled"/>
    <x v="2"/>
    <s v="Entry-level"/>
    <n v="10226153.846153846"/>
    <s v="CVT"/>
  </r>
  <r>
    <d v="2025-06-19T00:00:00"/>
    <x v="1"/>
    <x v="15"/>
    <x v="0"/>
    <x v="0"/>
    <x v="0"/>
    <n v="269000"/>
    <n v="13"/>
    <n v="3497000"/>
    <x v="1"/>
    <x v="0"/>
    <s v="Single cylinder"/>
    <s v="liquid-cooled"/>
    <x v="0"/>
    <s v="Mid-range"/>
    <n v="2590370.3703703703"/>
    <s v="6-speed"/>
  </r>
  <r>
    <d v="2025-06-21T00:00:00"/>
    <x v="1"/>
    <x v="4"/>
    <x v="0"/>
    <x v="0"/>
    <x v="28"/>
    <n v="128000"/>
    <n v="20"/>
    <n v="2560000"/>
    <x v="2"/>
    <x v="2"/>
    <s v="Single cylinder"/>
    <s v="liquid-cooled"/>
    <x v="1"/>
    <s v="Entry-level"/>
    <n v="1969230.769230769"/>
    <s v="CVT"/>
  </r>
  <r>
    <d v="2025-06-05T00:00:00"/>
    <x v="1"/>
    <x v="26"/>
    <x v="0"/>
    <x v="1"/>
    <x v="4"/>
    <n v="124000"/>
    <n v="29"/>
    <n v="3596000"/>
    <x v="0"/>
    <x v="2"/>
    <s v="Single cylinder"/>
    <s v="liquid-cooled"/>
    <x v="4"/>
    <s v="Entry-level"/>
    <n v="2766153.846153846"/>
    <s v="CVT"/>
  </r>
  <r>
    <d v="2025-08-21T00:00:00"/>
    <x v="2"/>
    <x v="4"/>
    <x v="0"/>
    <x v="1"/>
    <x v="27"/>
    <n v="48000"/>
    <n v="13"/>
    <n v="624000"/>
    <x v="1"/>
    <x v="13"/>
    <s v="Single cylinder"/>
    <s v="air-cooled"/>
    <x v="10"/>
    <s v="Entry-level"/>
    <n v="480000"/>
    <s v="4-speed"/>
  </r>
  <r>
    <d v="2025-08-31T00:00:00"/>
    <x v="2"/>
    <x v="3"/>
    <x v="0"/>
    <x v="0"/>
    <x v="12"/>
    <n v="210000"/>
    <n v="6"/>
    <n v="1260000"/>
    <x v="2"/>
    <x v="2"/>
    <s v="Single cylinder"/>
    <s v="air-cooled"/>
    <x v="12"/>
    <s v="Entry-level"/>
    <n v="969230.76923076925"/>
    <s v="CVT"/>
  </r>
  <r>
    <d v="2025-07-12T00:00:00"/>
    <x v="0"/>
    <x v="17"/>
    <x v="0"/>
    <x v="0"/>
    <x v="19"/>
    <n v="295000"/>
    <n v="43"/>
    <n v="12685000"/>
    <x v="0"/>
    <x v="11"/>
    <s v="Single cylinder"/>
    <s v="liquid-cooled"/>
    <x v="5"/>
    <s v="Mid-range"/>
    <n v="9396296.2962962966"/>
    <s v="6-speed"/>
  </r>
  <r>
    <d v="2025-07-31T00:00:00"/>
    <x v="0"/>
    <x v="3"/>
    <x v="0"/>
    <x v="0"/>
    <x v="29"/>
    <n v="349000"/>
    <n v="17"/>
    <n v="5933000"/>
    <x v="2"/>
    <x v="14"/>
    <s v="Parallel-twin"/>
    <s v="liquid-cooled"/>
    <x v="19"/>
    <s v="Mid-range"/>
    <n v="4394814.8148148144"/>
    <s v="6-speed"/>
  </r>
  <r>
    <d v="2025-06-22T00:00:00"/>
    <x v="1"/>
    <x v="0"/>
    <x v="0"/>
    <x v="0"/>
    <x v="27"/>
    <n v="48000"/>
    <n v="5"/>
    <n v="240000"/>
    <x v="1"/>
    <x v="13"/>
    <s v="Single cylinder"/>
    <s v="air-cooled"/>
    <x v="10"/>
    <s v="Entry-level"/>
    <n v="184615.38461538462"/>
    <s v="4-speed"/>
  </r>
  <r>
    <d v="2025-06-21T00:00:00"/>
    <x v="1"/>
    <x v="4"/>
    <x v="0"/>
    <x v="1"/>
    <x v="13"/>
    <n v="164900"/>
    <n v="12"/>
    <n v="1978800"/>
    <x v="2"/>
    <x v="2"/>
    <s v="Single cylinder"/>
    <s v="liquid-cooled"/>
    <x v="13"/>
    <s v="Entry-level"/>
    <n v="1522153.846153846"/>
    <s v="CVT"/>
  </r>
  <r>
    <d v="2025-08-09T00:00:00"/>
    <x v="2"/>
    <x v="22"/>
    <x v="0"/>
    <x v="0"/>
    <x v="20"/>
    <n v="319000"/>
    <n v="1"/>
    <n v="319000"/>
    <x v="2"/>
    <x v="2"/>
    <s v="Single cylinder"/>
    <s v="liquid-cooled"/>
    <x v="11"/>
    <s v="Mid-range"/>
    <n v="236296.29629629629"/>
    <s v="CVT"/>
  </r>
  <r>
    <d v="2025-06-01T00:00:00"/>
    <x v="1"/>
    <x v="18"/>
    <x v="0"/>
    <x v="1"/>
    <x v="8"/>
    <n v="689000"/>
    <n v="12"/>
    <n v="8268000"/>
    <x v="2"/>
    <x v="6"/>
    <s v="V-twin"/>
    <s v="air-cooled"/>
    <x v="8"/>
    <s v="Premium"/>
    <n v="5905714.2857142854"/>
    <s v="6-speed"/>
  </r>
  <r>
    <d v="2025-06-05T00:00:00"/>
    <x v="1"/>
    <x v="26"/>
    <x v="0"/>
    <x v="1"/>
    <x v="6"/>
    <n v="599000"/>
    <n v="34"/>
    <n v="20366000"/>
    <x v="2"/>
    <x v="5"/>
    <s v="Parallel-twin"/>
    <s v="liquid-cooled"/>
    <x v="6"/>
    <s v="Premium"/>
    <n v="14547142.857142858"/>
    <s v="6-speed"/>
  </r>
  <r>
    <d v="2025-06-12T00:00:00"/>
    <x v="1"/>
    <x v="17"/>
    <x v="0"/>
    <x v="1"/>
    <x v="0"/>
    <n v="269000"/>
    <n v="17"/>
    <n v="4573000"/>
    <x v="1"/>
    <x v="0"/>
    <s v="Single cylinder"/>
    <s v="liquid-cooled"/>
    <x v="0"/>
    <s v="Mid-range"/>
    <n v="3387407.4074074072"/>
    <s v="6-speed"/>
  </r>
  <r>
    <d v="2025-08-29T00:00:00"/>
    <x v="2"/>
    <x v="16"/>
    <x v="0"/>
    <x v="0"/>
    <x v="17"/>
    <n v="125900"/>
    <n v="8"/>
    <n v="1007200"/>
    <x v="2"/>
    <x v="9"/>
    <s v="Single cylinder"/>
    <s v="liquid-cooled"/>
    <x v="4"/>
    <s v="Entry-level"/>
    <n v="774769.23076923075"/>
    <s v="6-speed"/>
  </r>
  <r>
    <d v="2025-07-16T00:00:00"/>
    <x v="0"/>
    <x v="30"/>
    <x v="0"/>
    <x v="0"/>
    <x v="24"/>
    <n v="119900"/>
    <n v="4"/>
    <n v="479600"/>
    <x v="1"/>
    <x v="9"/>
    <s v="Single cylinder"/>
    <s v="liquid-cooled"/>
    <x v="12"/>
    <s v="Entry-level"/>
    <n v="368923.07692307694"/>
    <s v="6-speed"/>
  </r>
  <r>
    <d v="2025-07-04T00:00:00"/>
    <x v="0"/>
    <x v="24"/>
    <x v="0"/>
    <x v="0"/>
    <x v="25"/>
    <n v="79900"/>
    <n v="9"/>
    <n v="719100"/>
    <x v="0"/>
    <x v="2"/>
    <s v="Single cylinder"/>
    <s v="air-cooled"/>
    <x v="14"/>
    <s v="Entry-level"/>
    <n v="553153.84615384613"/>
    <s v="CVT"/>
  </r>
  <r>
    <d v="2025-07-19T00:00:00"/>
    <x v="0"/>
    <x v="15"/>
    <x v="0"/>
    <x v="0"/>
    <x v="21"/>
    <n v="389000"/>
    <n v="16"/>
    <n v="6224000"/>
    <x v="2"/>
    <x v="7"/>
    <s v="Parallel-twin"/>
    <s v="liquid-cooled"/>
    <x v="9"/>
    <s v="Mid-range"/>
    <n v="4610370.3703703703"/>
    <s v="6-speed"/>
  </r>
  <r>
    <d v="2025-08-17T00:00:00"/>
    <x v="2"/>
    <x v="19"/>
    <x v="0"/>
    <x v="0"/>
    <x v="7"/>
    <n v="398000"/>
    <n v="17"/>
    <n v="6766000"/>
    <x v="1"/>
    <x v="2"/>
    <s v="Single cylinder"/>
    <s v="liquid-cooled"/>
    <x v="7"/>
    <s v="Mid-range"/>
    <n v="5011851.8518518507"/>
    <s v="CVT"/>
  </r>
  <r>
    <d v="2025-08-29T00:00:00"/>
    <x v="2"/>
    <x v="16"/>
    <x v="0"/>
    <x v="1"/>
    <x v="18"/>
    <n v="68900"/>
    <n v="29"/>
    <n v="1998100"/>
    <x v="0"/>
    <x v="10"/>
    <s v="Single cylinder"/>
    <s v="air-cooled"/>
    <x v="1"/>
    <s v="Entry-level"/>
    <n v="1537000"/>
    <s v="5-speed"/>
  </r>
  <r>
    <d v="2025-07-15T00:00:00"/>
    <x v="0"/>
    <x v="1"/>
    <x v="0"/>
    <x v="0"/>
    <x v="2"/>
    <n v="289000"/>
    <n v="26"/>
    <n v="7514000"/>
    <x v="0"/>
    <x v="2"/>
    <s v="Single cylinder"/>
    <s v="liquid-cooled"/>
    <x v="2"/>
    <s v="Entry-level"/>
    <n v="5780000"/>
    <s v="CVT"/>
  </r>
  <r>
    <d v="2025-06-27T00:00:00"/>
    <x v="1"/>
    <x v="7"/>
    <x v="0"/>
    <x v="0"/>
    <x v="12"/>
    <n v="210000"/>
    <n v="16"/>
    <n v="3360000"/>
    <x v="1"/>
    <x v="2"/>
    <s v="Single cylinder"/>
    <s v="air-cooled"/>
    <x v="12"/>
    <s v="Entry-level"/>
    <n v="2584615.3846153845"/>
    <s v="CVT"/>
  </r>
  <r>
    <d v="2025-08-12T00:00:00"/>
    <x v="2"/>
    <x v="17"/>
    <x v="0"/>
    <x v="0"/>
    <x v="38"/>
    <n v="398000"/>
    <n v="6"/>
    <n v="2388000"/>
    <x v="1"/>
    <x v="14"/>
    <s v="Parallel-twin"/>
    <s v="liquid-cooled"/>
    <x v="15"/>
    <s v="Premium"/>
    <n v="1705714.2857142859"/>
    <s v="6-speed"/>
  </r>
  <r>
    <d v="2025-06-26T00:00:00"/>
    <x v="1"/>
    <x v="5"/>
    <x v="0"/>
    <x v="0"/>
    <x v="30"/>
    <n v="995000"/>
    <n v="15"/>
    <n v="14925000"/>
    <x v="1"/>
    <x v="6"/>
    <s v="Flat twin"/>
    <s v="air"/>
    <x v="20"/>
    <s v="Premium"/>
    <n v="10660714.285714287"/>
    <n v="0"/>
  </r>
  <r>
    <d v="2025-07-17T00:00:00"/>
    <x v="0"/>
    <x v="19"/>
    <x v="0"/>
    <x v="0"/>
    <x v="33"/>
    <n v="369000"/>
    <n v="13"/>
    <n v="4797000"/>
    <x v="0"/>
    <x v="3"/>
    <s v="Parallel-twin"/>
    <s v="liquid-cooled"/>
    <x v="15"/>
    <s v="Premium"/>
    <n v="3426428.5714285714"/>
    <s v="6-speed"/>
  </r>
  <r>
    <d v="2025-08-25T00:00:00"/>
    <x v="2"/>
    <x v="20"/>
    <x v="0"/>
    <x v="1"/>
    <x v="22"/>
    <n v="284900"/>
    <n v="13"/>
    <n v="3703700"/>
    <x v="1"/>
    <x v="12"/>
    <s v="Single cylinder"/>
    <s v="liquid-cooled"/>
    <x v="16"/>
    <s v="Mid-range"/>
    <n v="2743481.4814814813"/>
    <s v="6-speed"/>
  </r>
  <r>
    <d v="2025-07-26T00:00:00"/>
    <x v="0"/>
    <x v="5"/>
    <x v="0"/>
    <x v="0"/>
    <x v="45"/>
    <n v="129000"/>
    <n v="7"/>
    <n v="903000"/>
    <x v="1"/>
    <x v="5"/>
    <s v="Single cylinder"/>
    <s v="oil-cooled"/>
    <x v="28"/>
    <s v="Entry-level"/>
    <n v="694615.38461538462"/>
    <s v="5-speed"/>
  </r>
  <r>
    <d v="2025-08-02T00:00:00"/>
    <x v="2"/>
    <x v="11"/>
    <x v="0"/>
    <x v="1"/>
    <x v="48"/>
    <n v="72900"/>
    <n v="13"/>
    <n v="947700"/>
    <x v="2"/>
    <x v="9"/>
    <s v="Single cylinder"/>
    <s v="air-cooled"/>
    <x v="12"/>
    <s v="Entry-level"/>
    <n v="729000"/>
    <s v="CVT"/>
  </r>
  <r>
    <d v="2025-07-18T00:00:00"/>
    <x v="0"/>
    <x v="23"/>
    <x v="0"/>
    <x v="1"/>
    <x v="29"/>
    <n v="349000"/>
    <n v="18"/>
    <n v="6282000"/>
    <x v="1"/>
    <x v="14"/>
    <s v="Parallel-twin"/>
    <s v="liquid-cooled"/>
    <x v="19"/>
    <s v="Mid-range"/>
    <n v="4653333.333333333"/>
    <s v="6-speed"/>
  </r>
  <r>
    <d v="2025-07-31T00:00:00"/>
    <x v="0"/>
    <x v="3"/>
    <x v="0"/>
    <x v="1"/>
    <x v="23"/>
    <n v="125000"/>
    <n v="19"/>
    <n v="2375000"/>
    <x v="1"/>
    <x v="5"/>
    <s v="Single cylinder"/>
    <s v="liquid-cooled"/>
    <x v="17"/>
    <s v="Entry-level"/>
    <n v="1826923.076923077"/>
    <s v="6-speed"/>
  </r>
  <r>
    <d v="2025-08-20T00:00:00"/>
    <x v="2"/>
    <x v="27"/>
    <x v="0"/>
    <x v="0"/>
    <x v="20"/>
    <n v="319000"/>
    <n v="4"/>
    <n v="1276000"/>
    <x v="2"/>
    <x v="2"/>
    <s v="Single cylinder"/>
    <s v="liquid-cooled"/>
    <x v="11"/>
    <s v="Mid-range"/>
    <n v="945185.18518518517"/>
    <s v="CVT"/>
  </r>
  <r>
    <d v="2025-06-26T00:00:00"/>
    <x v="1"/>
    <x v="5"/>
    <x v="0"/>
    <x v="0"/>
    <x v="49"/>
    <n v="250000"/>
    <n v="19"/>
    <n v="4750000"/>
    <x v="0"/>
    <x v="16"/>
    <s v="Single cylinder"/>
    <s v="air-cooled"/>
    <x v="30"/>
    <s v="Mid-range"/>
    <n v="3518518.5185185182"/>
    <s v="5-speed"/>
  </r>
  <r>
    <d v="2025-07-06T00:00:00"/>
    <x v="0"/>
    <x v="28"/>
    <x v="0"/>
    <x v="0"/>
    <x v="32"/>
    <n v="219000"/>
    <n v="28"/>
    <n v="6132000"/>
    <x v="1"/>
    <x v="2"/>
    <s v="Single cylinder"/>
    <s v="liquid-cooled"/>
    <x v="22"/>
    <s v="Entry-level"/>
    <n v="4716923.076923077"/>
    <s v="CVT"/>
  </r>
  <r>
    <d v="2025-06-01T00:00:00"/>
    <x v="1"/>
    <x v="18"/>
    <x v="0"/>
    <x v="1"/>
    <x v="4"/>
    <n v="124000"/>
    <n v="23"/>
    <n v="2852000"/>
    <x v="2"/>
    <x v="2"/>
    <s v="Single cylinder"/>
    <s v="liquid-cooled"/>
    <x v="4"/>
    <s v="Entry-level"/>
    <n v="2193846.1538461535"/>
    <s v="CVT"/>
  </r>
  <r>
    <d v="2025-06-08T00:00:00"/>
    <x v="1"/>
    <x v="13"/>
    <x v="0"/>
    <x v="0"/>
    <x v="13"/>
    <n v="164900"/>
    <n v="48"/>
    <n v="7915200"/>
    <x v="0"/>
    <x v="2"/>
    <s v="Single cylinder"/>
    <s v="liquid-cooled"/>
    <x v="13"/>
    <s v="Entry-level"/>
    <n v="6088615.384615384"/>
    <s v="CVT"/>
  </r>
  <r>
    <d v="2025-07-22T00:00:00"/>
    <x v="0"/>
    <x v="0"/>
    <x v="0"/>
    <x v="0"/>
    <x v="17"/>
    <n v="125900"/>
    <n v="33"/>
    <n v="4154700"/>
    <x v="2"/>
    <x v="9"/>
    <s v="Single cylinder"/>
    <s v="liquid-cooled"/>
    <x v="4"/>
    <s v="Entry-level"/>
    <n v="3195923.076923077"/>
    <s v="6-speed"/>
  </r>
  <r>
    <d v="2025-08-18T00:00:00"/>
    <x v="2"/>
    <x v="23"/>
    <x v="0"/>
    <x v="0"/>
    <x v="41"/>
    <n v="299000"/>
    <n v="10"/>
    <n v="2990000"/>
    <x v="2"/>
    <x v="12"/>
    <s v="Single cylinder"/>
    <s v="air-cooled"/>
    <x v="26"/>
    <s v="Mid-range"/>
    <n v="2214814.8148148144"/>
    <s v="5-speed"/>
  </r>
  <r>
    <d v="2025-07-17T00:00:00"/>
    <x v="0"/>
    <x v="19"/>
    <x v="0"/>
    <x v="1"/>
    <x v="13"/>
    <n v="164900"/>
    <n v="31"/>
    <n v="5111900"/>
    <x v="1"/>
    <x v="2"/>
    <s v="Single cylinder"/>
    <s v="liquid-cooled"/>
    <x v="13"/>
    <s v="Entry-level"/>
    <n v="3932230.769230769"/>
    <s v="CVT"/>
  </r>
  <r>
    <d v="2025-07-26T00:00:00"/>
    <x v="0"/>
    <x v="5"/>
    <x v="0"/>
    <x v="0"/>
    <x v="21"/>
    <n v="389000"/>
    <n v="19"/>
    <n v="7391000"/>
    <x v="2"/>
    <x v="7"/>
    <s v="Parallel-twin"/>
    <s v="liquid-cooled"/>
    <x v="9"/>
    <s v="Mid-range"/>
    <n v="5474814.8148148144"/>
    <s v="6-speed"/>
  </r>
  <r>
    <d v="2025-08-25T00:00:00"/>
    <x v="2"/>
    <x v="20"/>
    <x v="0"/>
    <x v="1"/>
    <x v="44"/>
    <n v="165000"/>
    <n v="14"/>
    <n v="2310000"/>
    <x v="0"/>
    <x v="5"/>
    <s v="Single cylinder"/>
    <s v="liquid-cooled"/>
    <x v="11"/>
    <s v="Mid-range"/>
    <n v="1711111.111111111"/>
    <s v="6-speed"/>
  </r>
  <r>
    <d v="2025-06-14T00:00:00"/>
    <x v="1"/>
    <x v="6"/>
    <x v="0"/>
    <x v="1"/>
    <x v="16"/>
    <n v="178000"/>
    <n v="40"/>
    <n v="7120000"/>
    <x v="1"/>
    <x v="5"/>
    <s v="Single cylinder"/>
    <s v="liquid-cooled"/>
    <x v="4"/>
    <s v="Entry-level"/>
    <n v="5476923.0769230761"/>
    <s v="6-speed"/>
  </r>
  <r>
    <d v="2025-08-29T00:00:00"/>
    <x v="2"/>
    <x v="16"/>
    <x v="0"/>
    <x v="1"/>
    <x v="33"/>
    <n v="369000"/>
    <n v="6"/>
    <n v="2214000"/>
    <x v="0"/>
    <x v="3"/>
    <s v="Parallel-twin"/>
    <s v="liquid-cooled"/>
    <x v="15"/>
    <s v="Premium"/>
    <n v="1581428.5714285714"/>
    <s v="6-speed"/>
  </r>
  <r>
    <d v="2025-06-28T00:00:00"/>
    <x v="1"/>
    <x v="14"/>
    <x v="0"/>
    <x v="1"/>
    <x v="0"/>
    <n v="269000"/>
    <n v="14"/>
    <n v="3766000"/>
    <x v="0"/>
    <x v="0"/>
    <s v="Single cylinder"/>
    <s v="liquid-cooled"/>
    <x v="0"/>
    <s v="Mid-range"/>
    <n v="2789629.6296296292"/>
    <s v="6-speed"/>
  </r>
  <r>
    <d v="2025-08-26T00:00:00"/>
    <x v="2"/>
    <x v="5"/>
    <x v="0"/>
    <x v="0"/>
    <x v="33"/>
    <n v="369000"/>
    <n v="34"/>
    <n v="12546000"/>
    <x v="2"/>
    <x v="3"/>
    <s v="Parallel-twin"/>
    <s v="liquid-cooled"/>
    <x v="15"/>
    <s v="Premium"/>
    <n v="8961428.5714285709"/>
    <s v="6-speed"/>
  </r>
  <r>
    <d v="2025-08-17T00:00:00"/>
    <x v="2"/>
    <x v="19"/>
    <x v="0"/>
    <x v="1"/>
    <x v="43"/>
    <n v="178000"/>
    <n v="11"/>
    <n v="1958000"/>
    <x v="2"/>
    <x v="5"/>
    <s v="Single cylinder"/>
    <s v="liquid-cooled"/>
    <x v="27"/>
    <s v="Entry-level"/>
    <n v="1506153.846153846"/>
    <s v="6-speed"/>
  </r>
  <r>
    <d v="2025-08-27T00:00:00"/>
    <x v="2"/>
    <x v="7"/>
    <x v="0"/>
    <x v="1"/>
    <x v="41"/>
    <n v="299000"/>
    <n v="40"/>
    <n v="11960000"/>
    <x v="2"/>
    <x v="12"/>
    <s v="Single cylinder"/>
    <s v="air-cooled"/>
    <x v="26"/>
    <s v="Mid-range"/>
    <n v="8859259.2592592575"/>
    <s v="5-speed"/>
  </r>
  <r>
    <d v="2025-06-02T00:00:00"/>
    <x v="1"/>
    <x v="11"/>
    <x v="0"/>
    <x v="0"/>
    <x v="47"/>
    <n v="182000"/>
    <n v="44"/>
    <n v="8008000"/>
    <x v="2"/>
    <x v="15"/>
    <s v="Single cylinder"/>
    <s v="liquid-cooled"/>
    <x v="4"/>
    <s v="Entry-level"/>
    <n v="6160000"/>
    <s v="6-speed"/>
  </r>
  <r>
    <d v="2025-06-26T00:00:00"/>
    <x v="1"/>
    <x v="5"/>
    <x v="0"/>
    <x v="0"/>
    <x v="24"/>
    <n v="119900"/>
    <n v="12"/>
    <n v="1438800"/>
    <x v="2"/>
    <x v="9"/>
    <s v="Single cylinder"/>
    <s v="liquid-cooled"/>
    <x v="12"/>
    <s v="Entry-level"/>
    <n v="1106769.2307692308"/>
    <s v="6-speed"/>
  </r>
  <r>
    <d v="2025-06-14T00:00:00"/>
    <x v="1"/>
    <x v="6"/>
    <x v="0"/>
    <x v="0"/>
    <x v="8"/>
    <n v="689000"/>
    <n v="21"/>
    <n v="14469000"/>
    <x v="2"/>
    <x v="6"/>
    <s v="V-twin"/>
    <s v="air-cooled"/>
    <x v="8"/>
    <s v="Premium"/>
    <n v="10335000"/>
    <s v="6-speed"/>
  </r>
  <r>
    <d v="2025-07-29T00:00:00"/>
    <x v="0"/>
    <x v="16"/>
    <x v="0"/>
    <x v="1"/>
    <x v="11"/>
    <n v="165000"/>
    <n v="14"/>
    <n v="2310000"/>
    <x v="2"/>
    <x v="7"/>
    <s v="Single cylinder"/>
    <s v="liquid-cooled"/>
    <x v="11"/>
    <s v="Mid-range"/>
    <n v="1711111.111111111"/>
    <s v="6-speed"/>
  </r>
  <r>
    <d v="2025-07-26T00:00:00"/>
    <x v="0"/>
    <x v="5"/>
    <x v="0"/>
    <x v="0"/>
    <x v="38"/>
    <n v="398000"/>
    <n v="18"/>
    <n v="7164000"/>
    <x v="2"/>
    <x v="14"/>
    <s v="Parallel-twin"/>
    <s v="liquid-cooled"/>
    <x v="15"/>
    <s v="Premium"/>
    <n v="5117142.8571428582"/>
    <s v="6-speed"/>
  </r>
  <r>
    <d v="2025-06-07T00:00:00"/>
    <x v="1"/>
    <x v="21"/>
    <x v="0"/>
    <x v="1"/>
    <x v="38"/>
    <n v="398000"/>
    <n v="8"/>
    <n v="3184000"/>
    <x v="0"/>
    <x v="14"/>
    <s v="Parallel-twin"/>
    <s v="liquid-cooled"/>
    <x v="15"/>
    <s v="Premium"/>
    <n v="2274285.7142857146"/>
    <s v="6-speed"/>
  </r>
  <r>
    <d v="2025-06-03T00:00:00"/>
    <x v="1"/>
    <x v="9"/>
    <x v="0"/>
    <x v="1"/>
    <x v="40"/>
    <n v="340000"/>
    <n v="25"/>
    <n v="8500000"/>
    <x v="2"/>
    <x v="7"/>
    <s v="Parallel-twin"/>
    <s v="liquid-cooled"/>
    <x v="25"/>
    <s v="Mid-range"/>
    <n v="6296296.2962962957"/>
    <s v="6-speed"/>
  </r>
  <r>
    <d v="2025-06-23T00:00:00"/>
    <x v="1"/>
    <x v="10"/>
    <x v="0"/>
    <x v="1"/>
    <x v="12"/>
    <n v="210000"/>
    <n v="26"/>
    <n v="5460000"/>
    <x v="0"/>
    <x v="2"/>
    <s v="Single cylinder"/>
    <s v="air-cooled"/>
    <x v="12"/>
    <s v="Entry-level"/>
    <n v="4200000"/>
    <s v="CVT"/>
  </r>
  <r>
    <d v="2025-06-18T00:00:00"/>
    <x v="1"/>
    <x v="23"/>
    <x v="0"/>
    <x v="0"/>
    <x v="40"/>
    <n v="340000"/>
    <n v="9"/>
    <n v="3060000"/>
    <x v="1"/>
    <x v="7"/>
    <s v="Parallel-twin"/>
    <s v="liquid-cooled"/>
    <x v="25"/>
    <s v="Mid-range"/>
    <n v="2266666.6666666665"/>
    <s v="6-speed"/>
  </r>
  <r>
    <d v="2025-07-08T00:00:00"/>
    <x v="0"/>
    <x v="13"/>
    <x v="0"/>
    <x v="1"/>
    <x v="39"/>
    <n v="151900"/>
    <n v="9"/>
    <n v="1367100"/>
    <x v="0"/>
    <x v="2"/>
    <s v="Single cylinder"/>
    <s v="liquid-cooled"/>
    <x v="4"/>
    <s v="Entry-level"/>
    <n v="1051615.3846153845"/>
    <s v="CVT"/>
  </r>
  <r>
    <d v="2025-06-15T00:00:00"/>
    <x v="1"/>
    <x v="1"/>
    <x v="0"/>
    <x v="0"/>
    <x v="23"/>
    <n v="125000"/>
    <n v="1"/>
    <n v="125000"/>
    <x v="0"/>
    <x v="5"/>
    <s v="Single cylinder"/>
    <s v="liquid-cooled"/>
    <x v="17"/>
    <s v="Entry-level"/>
    <n v="96153.846153846156"/>
    <s v="6-speed"/>
  </r>
  <r>
    <d v="2025-08-03T00:00:00"/>
    <x v="2"/>
    <x v="9"/>
    <x v="0"/>
    <x v="0"/>
    <x v="26"/>
    <n v="320000"/>
    <n v="46"/>
    <n v="14720000"/>
    <x v="2"/>
    <x v="3"/>
    <s v="Single cylinder"/>
    <s v="liquid-cooled"/>
    <x v="18"/>
    <s v="Mid-range"/>
    <n v="10903703.703703703"/>
    <s v="6-speed"/>
  </r>
  <r>
    <d v="2025-06-28T00:00:00"/>
    <x v="1"/>
    <x v="14"/>
    <x v="0"/>
    <x v="1"/>
    <x v="14"/>
    <n v="80900"/>
    <n v="16"/>
    <n v="1294400"/>
    <x v="2"/>
    <x v="2"/>
    <s v="Single cylinder"/>
    <s v="air-cooled"/>
    <x v="14"/>
    <s v="Entry-level"/>
    <n v="995692.30769230763"/>
    <s v="CVT"/>
  </r>
  <r>
    <d v="2025-08-13T00:00:00"/>
    <x v="2"/>
    <x v="29"/>
    <x v="0"/>
    <x v="0"/>
    <x v="29"/>
    <n v="349000"/>
    <n v="1"/>
    <n v="349000"/>
    <x v="0"/>
    <x v="14"/>
    <s v="Parallel-twin"/>
    <s v="liquid-cooled"/>
    <x v="19"/>
    <s v="Mid-range"/>
    <n v="258518.51851851851"/>
    <s v="6-speed"/>
  </r>
  <r>
    <d v="2025-07-09T00:00:00"/>
    <x v="0"/>
    <x v="22"/>
    <x v="0"/>
    <x v="0"/>
    <x v="37"/>
    <n v="331000"/>
    <n v="18"/>
    <n v="5958000"/>
    <x v="1"/>
    <x v="5"/>
    <s v="Parallel-twin"/>
    <s v="liquid-cooled"/>
    <x v="25"/>
    <s v="Mid-range"/>
    <n v="4413333.333333333"/>
    <s v="6-speed"/>
  </r>
  <r>
    <d v="2025-07-27T00:00:00"/>
    <x v="0"/>
    <x v="7"/>
    <x v="0"/>
    <x v="1"/>
    <x v="17"/>
    <n v="125900"/>
    <n v="16"/>
    <n v="2014400"/>
    <x v="2"/>
    <x v="9"/>
    <s v="Single cylinder"/>
    <s v="liquid-cooled"/>
    <x v="4"/>
    <s v="Entry-level"/>
    <n v="1549538.4615384615"/>
    <s v="6-speed"/>
  </r>
  <r>
    <d v="2025-06-17T00:00:00"/>
    <x v="1"/>
    <x v="19"/>
    <x v="0"/>
    <x v="1"/>
    <x v="48"/>
    <n v="72900"/>
    <n v="14"/>
    <n v="1020600"/>
    <x v="0"/>
    <x v="9"/>
    <s v="Single cylinder"/>
    <s v="air-cooled"/>
    <x v="12"/>
    <s v="Entry-level"/>
    <n v="785076.92307692312"/>
    <s v="CVT"/>
  </r>
  <r>
    <d v="2025-08-25T00:00:00"/>
    <x v="2"/>
    <x v="20"/>
    <x v="0"/>
    <x v="0"/>
    <x v="10"/>
    <n v="80900"/>
    <n v="19"/>
    <n v="1537100"/>
    <x v="2"/>
    <x v="2"/>
    <s v="Single cylinder"/>
    <s v="liquid-cooled"/>
    <x v="10"/>
    <s v="Entry-level"/>
    <n v="1182384.6153846153"/>
    <s v="CVT"/>
  </r>
  <r>
    <d v="2025-08-29T00:00:00"/>
    <x v="2"/>
    <x v="16"/>
    <x v="0"/>
    <x v="0"/>
    <x v="35"/>
    <n v="199000"/>
    <n v="43"/>
    <n v="8557000"/>
    <x v="2"/>
    <x v="12"/>
    <s v="Single cylinder"/>
    <s v="air-cooled"/>
    <x v="24"/>
    <s v="Mid-range"/>
    <n v="6338518.5185185177"/>
    <s v="6-speed"/>
  </r>
  <r>
    <d v="2025-07-14T00:00:00"/>
    <x v="0"/>
    <x v="6"/>
    <x v="0"/>
    <x v="1"/>
    <x v="7"/>
    <n v="398000"/>
    <n v="18"/>
    <n v="7164000"/>
    <x v="0"/>
    <x v="2"/>
    <s v="Single cylinder"/>
    <s v="liquid-cooled"/>
    <x v="7"/>
    <s v="Mid-range"/>
    <n v="5306666.666666666"/>
    <s v="CVT"/>
  </r>
  <r>
    <d v="2025-06-25T00:00:00"/>
    <x v="1"/>
    <x v="20"/>
    <x v="0"/>
    <x v="1"/>
    <x v="27"/>
    <n v="48000"/>
    <n v="40"/>
    <n v="1920000"/>
    <x v="0"/>
    <x v="13"/>
    <s v="Single cylinder"/>
    <s v="air-cooled"/>
    <x v="10"/>
    <s v="Entry-level"/>
    <n v="1476923.076923077"/>
    <s v="4-speed"/>
  </r>
  <r>
    <d v="2025-06-17T00:00:00"/>
    <x v="1"/>
    <x v="19"/>
    <x v="0"/>
    <x v="1"/>
    <x v="15"/>
    <n v="345000"/>
    <n v="19"/>
    <n v="6555000"/>
    <x v="2"/>
    <x v="8"/>
    <s v="Parallel-twin"/>
    <s v="liquid-cooled"/>
    <x v="15"/>
    <s v="Premium"/>
    <n v="4682142.8571428573"/>
    <s v="6-speed"/>
  </r>
  <r>
    <d v="2025-06-13T00:00:00"/>
    <x v="1"/>
    <x v="29"/>
    <x v="0"/>
    <x v="0"/>
    <x v="13"/>
    <n v="164900"/>
    <n v="11"/>
    <n v="1813900"/>
    <x v="0"/>
    <x v="2"/>
    <s v="Single cylinder"/>
    <s v="liquid-cooled"/>
    <x v="13"/>
    <s v="Entry-level"/>
    <n v="1395307.6923076923"/>
    <s v="CVT"/>
  </r>
  <r>
    <d v="2025-08-23T00:00:00"/>
    <x v="2"/>
    <x v="10"/>
    <x v="0"/>
    <x v="0"/>
    <x v="15"/>
    <n v="345000"/>
    <n v="21"/>
    <n v="7245000"/>
    <x v="2"/>
    <x v="8"/>
    <s v="Parallel-twin"/>
    <s v="liquid-cooled"/>
    <x v="15"/>
    <s v="Premium"/>
    <n v="5175000"/>
    <s v="6-speed"/>
  </r>
  <r>
    <d v="2025-06-25T00:00:00"/>
    <x v="1"/>
    <x v="20"/>
    <x v="0"/>
    <x v="0"/>
    <x v="45"/>
    <n v="129000"/>
    <n v="8"/>
    <n v="1032000"/>
    <x v="2"/>
    <x v="5"/>
    <s v="Single cylinder"/>
    <s v="oil-cooled"/>
    <x v="28"/>
    <s v="Entry-level"/>
    <n v="793846.15384615387"/>
    <s v="5-speed"/>
  </r>
  <r>
    <d v="2025-08-07T00:00:00"/>
    <x v="2"/>
    <x v="21"/>
    <x v="0"/>
    <x v="1"/>
    <x v="33"/>
    <n v="369000"/>
    <n v="6"/>
    <n v="2214000"/>
    <x v="2"/>
    <x v="3"/>
    <s v="Parallel-twin"/>
    <s v="liquid-cooled"/>
    <x v="15"/>
    <s v="Premium"/>
    <n v="1581428.5714285714"/>
    <s v="6-speed"/>
  </r>
  <r>
    <d v="2025-06-10T00:00:00"/>
    <x v="1"/>
    <x v="25"/>
    <x v="0"/>
    <x v="0"/>
    <x v="1"/>
    <n v="99900"/>
    <n v="5"/>
    <n v="499500"/>
    <x v="0"/>
    <x v="1"/>
    <s v="Single cylinder"/>
    <s v="air-cooled"/>
    <x v="1"/>
    <s v="Entry-level"/>
    <n v="384230.76923076925"/>
    <s v="5-speed"/>
  </r>
  <r>
    <d v="2025-08-06T00:00:00"/>
    <x v="2"/>
    <x v="28"/>
    <x v="0"/>
    <x v="1"/>
    <x v="12"/>
    <n v="210000"/>
    <n v="8"/>
    <n v="1680000"/>
    <x v="2"/>
    <x v="2"/>
    <s v="Single cylinder"/>
    <s v="air-cooled"/>
    <x v="12"/>
    <s v="Entry-level"/>
    <n v="1292307.6923076923"/>
    <s v="CVT"/>
  </r>
  <r>
    <d v="2025-07-30T00:00:00"/>
    <x v="0"/>
    <x v="12"/>
    <x v="0"/>
    <x v="0"/>
    <x v="17"/>
    <n v="125900"/>
    <n v="19"/>
    <n v="2392100"/>
    <x v="0"/>
    <x v="9"/>
    <s v="Single cylinder"/>
    <s v="liquid-cooled"/>
    <x v="4"/>
    <s v="Entry-level"/>
    <n v="1840076.923076923"/>
    <s v="6-speed"/>
  </r>
  <r>
    <d v="2025-08-25T00:00:00"/>
    <x v="2"/>
    <x v="20"/>
    <x v="0"/>
    <x v="1"/>
    <x v="16"/>
    <n v="178000"/>
    <n v="12"/>
    <n v="2136000"/>
    <x v="1"/>
    <x v="5"/>
    <s v="Single cylinder"/>
    <s v="liquid-cooled"/>
    <x v="4"/>
    <s v="Entry-level"/>
    <n v="1643076.923076923"/>
    <s v="6-speed"/>
  </r>
  <r>
    <d v="2025-07-04T00:00:00"/>
    <x v="0"/>
    <x v="24"/>
    <x v="0"/>
    <x v="0"/>
    <x v="9"/>
    <n v="328000"/>
    <n v="1"/>
    <n v="328000"/>
    <x v="1"/>
    <x v="0"/>
    <s v="Twin cylinder"/>
    <s v="air-cooled"/>
    <x v="9"/>
    <s v="Mid-range"/>
    <n v="242962.96296296295"/>
    <s v="6-speed"/>
  </r>
  <r>
    <d v="2025-06-08T00:00:00"/>
    <x v="1"/>
    <x v="13"/>
    <x v="0"/>
    <x v="1"/>
    <x v="25"/>
    <n v="79900"/>
    <n v="46"/>
    <n v="3675400"/>
    <x v="0"/>
    <x v="2"/>
    <s v="Single cylinder"/>
    <s v="air-cooled"/>
    <x v="14"/>
    <s v="Entry-level"/>
    <n v="2827230.769230769"/>
    <s v="CVT"/>
  </r>
  <r>
    <d v="2025-07-10T00:00:00"/>
    <x v="0"/>
    <x v="25"/>
    <x v="0"/>
    <x v="0"/>
    <x v="42"/>
    <n v="198000"/>
    <n v="7"/>
    <n v="1386000"/>
    <x v="1"/>
    <x v="7"/>
    <s v="Single cylinder"/>
    <s v="liquid-cooled"/>
    <x v="27"/>
    <s v="Entry-level"/>
    <n v="1066153.8461538462"/>
    <s v="6-speed"/>
  </r>
  <r>
    <d v="2025-08-22T00:00:00"/>
    <x v="2"/>
    <x v="0"/>
    <x v="0"/>
    <x v="0"/>
    <x v="35"/>
    <n v="199000"/>
    <n v="9"/>
    <n v="1791000"/>
    <x v="1"/>
    <x v="12"/>
    <s v="Single cylinder"/>
    <s v="air-cooled"/>
    <x v="24"/>
    <s v="Mid-range"/>
    <n v="1326666.6666666665"/>
    <s v="6-speed"/>
  </r>
  <r>
    <d v="2025-07-12T00:00:00"/>
    <x v="0"/>
    <x v="17"/>
    <x v="0"/>
    <x v="1"/>
    <x v="21"/>
    <n v="389000"/>
    <n v="6"/>
    <n v="2334000"/>
    <x v="0"/>
    <x v="7"/>
    <s v="Parallel-twin"/>
    <s v="liquid-cooled"/>
    <x v="9"/>
    <s v="Mid-range"/>
    <n v="1728888.888888889"/>
    <s v="6-speed"/>
  </r>
  <r>
    <d v="2025-07-11T00:00:00"/>
    <x v="0"/>
    <x v="2"/>
    <x v="0"/>
    <x v="1"/>
    <x v="7"/>
    <n v="398000"/>
    <n v="5"/>
    <n v="1990000"/>
    <x v="1"/>
    <x v="2"/>
    <s v="Single cylinder"/>
    <s v="liquid-cooled"/>
    <x v="7"/>
    <s v="Mid-range"/>
    <n v="1474074.0740740739"/>
    <s v="CVT"/>
  </r>
  <r>
    <d v="2025-06-06T00:00:00"/>
    <x v="1"/>
    <x v="28"/>
    <x v="0"/>
    <x v="0"/>
    <x v="26"/>
    <n v="320000"/>
    <n v="4"/>
    <n v="1280000"/>
    <x v="1"/>
    <x v="3"/>
    <s v="Single cylinder"/>
    <s v="liquid-cooled"/>
    <x v="18"/>
    <s v="Mid-range"/>
    <n v="948148.14814814809"/>
    <s v="6-speed"/>
  </r>
  <r>
    <d v="2025-07-22T00:00:00"/>
    <x v="0"/>
    <x v="0"/>
    <x v="0"/>
    <x v="1"/>
    <x v="9"/>
    <n v="328000"/>
    <n v="10"/>
    <n v="3280000"/>
    <x v="1"/>
    <x v="0"/>
    <s v="Twin cylinder"/>
    <s v="air-cooled"/>
    <x v="9"/>
    <s v="Mid-range"/>
    <n v="2429629.6296296297"/>
    <s v="6-speed"/>
  </r>
  <r>
    <d v="2025-06-26T00:00:00"/>
    <x v="1"/>
    <x v="5"/>
    <x v="0"/>
    <x v="1"/>
    <x v="13"/>
    <n v="164900"/>
    <n v="7"/>
    <n v="1154300"/>
    <x v="1"/>
    <x v="2"/>
    <s v="Single cylinder"/>
    <s v="liquid-cooled"/>
    <x v="13"/>
    <s v="Entry-level"/>
    <n v="887923.07692307688"/>
    <s v="CVT"/>
  </r>
  <r>
    <d v="2025-08-03T00:00:00"/>
    <x v="2"/>
    <x v="9"/>
    <x v="0"/>
    <x v="1"/>
    <x v="6"/>
    <n v="599000"/>
    <n v="6"/>
    <n v="3594000"/>
    <x v="0"/>
    <x v="5"/>
    <s v="Parallel-twin"/>
    <s v="liquid-cooled"/>
    <x v="6"/>
    <s v="Premium"/>
    <n v="2567142.8571428573"/>
    <s v="6-speed"/>
  </r>
  <r>
    <d v="2025-07-29T00:00:00"/>
    <x v="0"/>
    <x v="16"/>
    <x v="0"/>
    <x v="0"/>
    <x v="37"/>
    <n v="331000"/>
    <n v="48"/>
    <n v="15888000"/>
    <x v="0"/>
    <x v="5"/>
    <s v="Parallel-twin"/>
    <s v="liquid-cooled"/>
    <x v="25"/>
    <s v="Mid-range"/>
    <n v="11768888.888888888"/>
    <s v="6-speed"/>
  </r>
  <r>
    <d v="2025-07-26T00:00:00"/>
    <x v="0"/>
    <x v="5"/>
    <x v="0"/>
    <x v="1"/>
    <x v="25"/>
    <n v="79900"/>
    <n v="5"/>
    <n v="399500"/>
    <x v="1"/>
    <x v="2"/>
    <s v="Single cylinder"/>
    <s v="air-cooled"/>
    <x v="14"/>
    <s v="Entry-level"/>
    <n v="307307.69230769231"/>
    <s v="CVT"/>
  </r>
  <r>
    <d v="2025-07-29T00:00:00"/>
    <x v="0"/>
    <x v="16"/>
    <x v="0"/>
    <x v="1"/>
    <x v="15"/>
    <n v="345000"/>
    <n v="12"/>
    <n v="4140000"/>
    <x v="2"/>
    <x v="8"/>
    <s v="Parallel-twin"/>
    <s v="liquid-cooled"/>
    <x v="15"/>
    <s v="Premium"/>
    <n v="2957142.8571428573"/>
    <s v="6-speed"/>
  </r>
  <r>
    <d v="2025-08-09T00:00:00"/>
    <x v="2"/>
    <x v="22"/>
    <x v="0"/>
    <x v="1"/>
    <x v="40"/>
    <n v="340000"/>
    <n v="15"/>
    <n v="5100000"/>
    <x v="2"/>
    <x v="7"/>
    <s v="Parallel-twin"/>
    <s v="liquid-cooled"/>
    <x v="25"/>
    <s v="Mid-range"/>
    <n v="3777777.7777777775"/>
    <s v="6-speed"/>
  </r>
  <r>
    <d v="2025-07-03T00:00:00"/>
    <x v="0"/>
    <x v="9"/>
    <x v="0"/>
    <x v="1"/>
    <x v="10"/>
    <n v="80900"/>
    <n v="21"/>
    <n v="1698900"/>
    <x v="0"/>
    <x v="2"/>
    <s v="Single cylinder"/>
    <s v="liquid-cooled"/>
    <x v="10"/>
    <s v="Entry-level"/>
    <n v="1306846.1538461538"/>
    <s v="CVT"/>
  </r>
  <r>
    <d v="2025-07-23T00:00:00"/>
    <x v="0"/>
    <x v="10"/>
    <x v="0"/>
    <x v="0"/>
    <x v="34"/>
    <n v="78900"/>
    <n v="4"/>
    <n v="315600"/>
    <x v="1"/>
    <x v="3"/>
    <s v="Single cylinder"/>
    <s v="oil-cooled"/>
    <x v="23"/>
    <s v="Mid-range"/>
    <n v="233777.77777777775"/>
    <s v="6-speed"/>
  </r>
  <r>
    <d v="2025-06-22T00:00:00"/>
    <x v="1"/>
    <x v="0"/>
    <x v="0"/>
    <x v="0"/>
    <x v="1"/>
    <n v="99900"/>
    <n v="2"/>
    <n v="199800"/>
    <x v="0"/>
    <x v="1"/>
    <s v="Single cylinder"/>
    <s v="air-cooled"/>
    <x v="1"/>
    <s v="Entry-level"/>
    <n v="153692.30769230769"/>
    <s v="5-speed"/>
  </r>
  <r>
    <d v="2025-06-21T00:00:00"/>
    <x v="1"/>
    <x v="4"/>
    <x v="0"/>
    <x v="0"/>
    <x v="36"/>
    <n v="67900"/>
    <n v="31"/>
    <n v="2104900"/>
    <x v="1"/>
    <x v="13"/>
    <s v="Single cylinder"/>
    <s v="air-cooled"/>
    <x v="10"/>
    <s v="Entry-level"/>
    <n v="1619153.846153846"/>
    <s v="4-speed"/>
  </r>
  <r>
    <d v="2025-08-09T00:00:00"/>
    <x v="2"/>
    <x v="22"/>
    <x v="0"/>
    <x v="1"/>
    <x v="30"/>
    <n v="995000"/>
    <n v="5"/>
    <n v="4975000"/>
    <x v="1"/>
    <x v="6"/>
    <s v="Flat twin"/>
    <s v="air"/>
    <x v="20"/>
    <s v="Premium"/>
    <n v="3553571.4285714291"/>
    <n v="0"/>
  </r>
  <r>
    <d v="2025-08-09T00:00:00"/>
    <x v="2"/>
    <x v="22"/>
    <x v="0"/>
    <x v="1"/>
    <x v="40"/>
    <n v="340000"/>
    <n v="12"/>
    <n v="4080000"/>
    <x v="2"/>
    <x v="7"/>
    <s v="Parallel-twin"/>
    <s v="liquid-cooled"/>
    <x v="25"/>
    <s v="Mid-range"/>
    <n v="3022222.222222222"/>
    <s v="6-speed"/>
  </r>
  <r>
    <d v="2025-06-04T00:00:00"/>
    <x v="1"/>
    <x v="24"/>
    <x v="0"/>
    <x v="0"/>
    <x v="42"/>
    <n v="198000"/>
    <n v="2"/>
    <n v="396000"/>
    <x v="1"/>
    <x v="7"/>
    <s v="Single cylinder"/>
    <s v="liquid-cooled"/>
    <x v="27"/>
    <s v="Entry-level"/>
    <n v="304615.38461538462"/>
    <s v="6-speed"/>
  </r>
  <r>
    <d v="2025-08-14T00:00:00"/>
    <x v="2"/>
    <x v="6"/>
    <x v="0"/>
    <x v="1"/>
    <x v="34"/>
    <n v="78900"/>
    <n v="11"/>
    <n v="867900"/>
    <x v="1"/>
    <x v="3"/>
    <s v="Single cylinder"/>
    <s v="oil-cooled"/>
    <x v="23"/>
    <s v="Mid-range"/>
    <n v="642888.88888888876"/>
    <s v="6-speed"/>
  </r>
  <r>
    <d v="2025-08-01T00:00:00"/>
    <x v="2"/>
    <x v="18"/>
    <x v="0"/>
    <x v="1"/>
    <x v="35"/>
    <n v="199000"/>
    <n v="42"/>
    <n v="8358000"/>
    <x v="1"/>
    <x v="12"/>
    <s v="Single cylinder"/>
    <s v="air-cooled"/>
    <x v="24"/>
    <s v="Mid-range"/>
    <n v="6191111.1111111101"/>
    <s v="6-speed"/>
  </r>
  <r>
    <d v="2025-08-01T00:00:00"/>
    <x v="2"/>
    <x v="18"/>
    <x v="0"/>
    <x v="0"/>
    <x v="49"/>
    <n v="250000"/>
    <n v="8"/>
    <n v="2000000"/>
    <x v="1"/>
    <x v="16"/>
    <s v="Single cylinder"/>
    <s v="air-cooled"/>
    <x v="30"/>
    <s v="Mid-range"/>
    <n v="1481481.4814814813"/>
    <s v="5-speed"/>
  </r>
  <r>
    <d v="2025-06-24T00:00:00"/>
    <x v="1"/>
    <x v="8"/>
    <x v="0"/>
    <x v="1"/>
    <x v="47"/>
    <n v="182000"/>
    <n v="32"/>
    <n v="5824000"/>
    <x v="2"/>
    <x v="15"/>
    <s v="Single cylinder"/>
    <s v="liquid-cooled"/>
    <x v="4"/>
    <s v="Entry-level"/>
    <n v="4480000"/>
    <s v="6-speed"/>
  </r>
  <r>
    <d v="2025-07-25T00:00:00"/>
    <x v="0"/>
    <x v="20"/>
    <x v="0"/>
    <x v="0"/>
    <x v="44"/>
    <n v="165000"/>
    <n v="28"/>
    <n v="4620000"/>
    <x v="1"/>
    <x v="5"/>
    <s v="Single cylinder"/>
    <s v="liquid-cooled"/>
    <x v="11"/>
    <s v="Mid-range"/>
    <n v="3422222.222222222"/>
    <s v="6-speed"/>
  </r>
  <r>
    <d v="2025-06-09T00:00:00"/>
    <x v="1"/>
    <x v="22"/>
    <x v="0"/>
    <x v="0"/>
    <x v="4"/>
    <n v="124000"/>
    <n v="13"/>
    <n v="1612000"/>
    <x v="0"/>
    <x v="2"/>
    <s v="Single cylinder"/>
    <s v="liquid-cooled"/>
    <x v="4"/>
    <s v="Entry-level"/>
    <n v="1240000"/>
    <s v="CVT"/>
  </r>
  <r>
    <d v="2025-06-03T00:00:00"/>
    <x v="1"/>
    <x v="9"/>
    <x v="0"/>
    <x v="0"/>
    <x v="1"/>
    <n v="99900"/>
    <n v="17"/>
    <n v="1698300"/>
    <x v="1"/>
    <x v="1"/>
    <s v="Single cylinder"/>
    <s v="air-cooled"/>
    <x v="1"/>
    <s v="Entry-level"/>
    <n v="1306384.6153846153"/>
    <s v="5-speed"/>
  </r>
  <r>
    <d v="2025-07-01T00:00:00"/>
    <x v="0"/>
    <x v="18"/>
    <x v="0"/>
    <x v="0"/>
    <x v="23"/>
    <n v="125000"/>
    <n v="6"/>
    <n v="750000"/>
    <x v="0"/>
    <x v="5"/>
    <s v="Single cylinder"/>
    <s v="liquid-cooled"/>
    <x v="17"/>
    <s v="Entry-level"/>
    <n v="576923.07692307699"/>
    <s v="6-speed"/>
  </r>
  <r>
    <d v="2025-07-10T00:00:00"/>
    <x v="0"/>
    <x v="25"/>
    <x v="0"/>
    <x v="1"/>
    <x v="38"/>
    <n v="398000"/>
    <n v="10"/>
    <n v="3980000"/>
    <x v="0"/>
    <x v="14"/>
    <s v="Parallel-twin"/>
    <s v="liquid-cooled"/>
    <x v="15"/>
    <s v="Premium"/>
    <n v="2842857.1428571432"/>
    <s v="6-speed"/>
  </r>
  <r>
    <d v="2025-07-06T00:00:00"/>
    <x v="0"/>
    <x v="28"/>
    <x v="0"/>
    <x v="1"/>
    <x v="48"/>
    <n v="72900"/>
    <n v="29"/>
    <n v="2114100"/>
    <x v="2"/>
    <x v="9"/>
    <s v="Single cylinder"/>
    <s v="air-cooled"/>
    <x v="12"/>
    <s v="Entry-level"/>
    <n v="1626230.7692307692"/>
    <s v="CVT"/>
  </r>
  <r>
    <d v="2025-06-24T00:00:00"/>
    <x v="1"/>
    <x v="8"/>
    <x v="0"/>
    <x v="1"/>
    <x v="41"/>
    <n v="299000"/>
    <n v="8"/>
    <n v="2392000"/>
    <x v="0"/>
    <x v="12"/>
    <s v="Single cylinder"/>
    <s v="air-cooled"/>
    <x v="26"/>
    <s v="Mid-range"/>
    <n v="1771851.8518518517"/>
    <s v="5-speed"/>
  </r>
  <r>
    <d v="2025-06-06T00:00:00"/>
    <x v="1"/>
    <x v="28"/>
    <x v="0"/>
    <x v="1"/>
    <x v="34"/>
    <n v="78900"/>
    <n v="8"/>
    <n v="631200"/>
    <x v="0"/>
    <x v="3"/>
    <s v="Single cylinder"/>
    <s v="oil-cooled"/>
    <x v="23"/>
    <s v="Mid-range"/>
    <n v="467555.5555555555"/>
    <s v="6-speed"/>
  </r>
  <r>
    <d v="2025-08-05T00:00:00"/>
    <x v="2"/>
    <x v="26"/>
    <x v="0"/>
    <x v="1"/>
    <x v="33"/>
    <n v="369000"/>
    <n v="18"/>
    <n v="6642000"/>
    <x v="2"/>
    <x v="3"/>
    <s v="Parallel-twin"/>
    <s v="liquid-cooled"/>
    <x v="15"/>
    <s v="Premium"/>
    <n v="4744285.7142857146"/>
    <s v="6-speed"/>
  </r>
  <r>
    <d v="2025-08-23T00:00:00"/>
    <x v="2"/>
    <x v="10"/>
    <x v="0"/>
    <x v="1"/>
    <x v="38"/>
    <n v="398000"/>
    <n v="33"/>
    <n v="13134000"/>
    <x v="0"/>
    <x v="14"/>
    <s v="Parallel-twin"/>
    <s v="liquid-cooled"/>
    <x v="15"/>
    <s v="Premium"/>
    <n v="9381428.5714285728"/>
    <s v="6-speed"/>
  </r>
  <r>
    <d v="2025-08-31T00:00:00"/>
    <x v="2"/>
    <x v="3"/>
    <x v="0"/>
    <x v="0"/>
    <x v="36"/>
    <n v="67900"/>
    <n v="25"/>
    <n v="1697500"/>
    <x v="2"/>
    <x v="13"/>
    <s v="Single cylinder"/>
    <s v="air-cooled"/>
    <x v="10"/>
    <s v="Entry-level"/>
    <n v="1305769.2307692308"/>
    <s v="4-speed"/>
  </r>
  <r>
    <d v="2025-08-14T00:00:00"/>
    <x v="2"/>
    <x v="6"/>
    <x v="0"/>
    <x v="0"/>
    <x v="25"/>
    <n v="79900"/>
    <n v="5"/>
    <n v="399500"/>
    <x v="2"/>
    <x v="2"/>
    <s v="Single cylinder"/>
    <s v="air-cooled"/>
    <x v="14"/>
    <s v="Entry-level"/>
    <n v="307307.69230769231"/>
    <s v="CVT"/>
  </r>
  <r>
    <d v="2025-06-04T00:00:00"/>
    <x v="1"/>
    <x v="24"/>
    <x v="0"/>
    <x v="1"/>
    <x v="4"/>
    <n v="124000"/>
    <n v="14"/>
    <n v="1736000"/>
    <x v="1"/>
    <x v="2"/>
    <s v="Single cylinder"/>
    <s v="liquid-cooled"/>
    <x v="4"/>
    <s v="Entry-level"/>
    <n v="1335384.6153846153"/>
    <s v="CVT"/>
  </r>
  <r>
    <d v="2025-08-18T00:00:00"/>
    <x v="2"/>
    <x v="23"/>
    <x v="0"/>
    <x v="1"/>
    <x v="49"/>
    <n v="250000"/>
    <n v="48"/>
    <n v="12000000"/>
    <x v="1"/>
    <x v="16"/>
    <s v="Single cylinder"/>
    <s v="air-cooled"/>
    <x v="30"/>
    <s v="Mid-range"/>
    <n v="8888888.8888888881"/>
    <s v="5-speed"/>
  </r>
  <r>
    <d v="2025-06-06T00:00:00"/>
    <x v="1"/>
    <x v="28"/>
    <x v="0"/>
    <x v="0"/>
    <x v="32"/>
    <n v="219000"/>
    <n v="4"/>
    <n v="876000"/>
    <x v="0"/>
    <x v="2"/>
    <s v="Single cylinder"/>
    <s v="liquid-cooled"/>
    <x v="22"/>
    <s v="Entry-level"/>
    <n v="673846.15384615387"/>
    <s v="CVT"/>
  </r>
  <r>
    <d v="2025-07-21T00:00:00"/>
    <x v="0"/>
    <x v="4"/>
    <x v="0"/>
    <x v="1"/>
    <x v="44"/>
    <n v="165000"/>
    <n v="3"/>
    <n v="495000"/>
    <x v="0"/>
    <x v="5"/>
    <s v="Single cylinder"/>
    <s v="liquid-cooled"/>
    <x v="11"/>
    <s v="Mid-range"/>
    <n v="366666.66666666663"/>
    <s v="6-speed"/>
  </r>
  <r>
    <d v="2025-08-01T00:00:00"/>
    <x v="2"/>
    <x v="18"/>
    <x v="0"/>
    <x v="1"/>
    <x v="18"/>
    <n v="68900"/>
    <n v="5"/>
    <n v="344500"/>
    <x v="1"/>
    <x v="10"/>
    <s v="Single cylinder"/>
    <s v="air-cooled"/>
    <x v="1"/>
    <s v="Entry-level"/>
    <n v="265000"/>
    <s v="5-speed"/>
  </r>
  <r>
    <d v="2025-07-27T00:00:00"/>
    <x v="0"/>
    <x v="7"/>
    <x v="0"/>
    <x v="0"/>
    <x v="33"/>
    <n v="369000"/>
    <n v="32"/>
    <n v="11808000"/>
    <x v="2"/>
    <x v="3"/>
    <s v="Parallel-twin"/>
    <s v="liquid-cooled"/>
    <x v="15"/>
    <s v="Premium"/>
    <n v="8434285.7142857146"/>
    <s v="6-speed"/>
  </r>
  <r>
    <d v="2025-08-05T00:00:00"/>
    <x v="2"/>
    <x v="26"/>
    <x v="0"/>
    <x v="0"/>
    <x v="29"/>
    <n v="349000"/>
    <n v="3"/>
    <n v="1047000"/>
    <x v="2"/>
    <x v="14"/>
    <s v="Parallel-twin"/>
    <s v="liquid-cooled"/>
    <x v="19"/>
    <s v="Mid-range"/>
    <n v="775555.5555555555"/>
    <s v="6-speed"/>
  </r>
  <r>
    <d v="2025-08-18T00:00:00"/>
    <x v="2"/>
    <x v="23"/>
    <x v="0"/>
    <x v="0"/>
    <x v="2"/>
    <n v="289000"/>
    <n v="42"/>
    <n v="12138000"/>
    <x v="1"/>
    <x v="2"/>
    <s v="Single cylinder"/>
    <s v="liquid-cooled"/>
    <x v="2"/>
    <s v="Entry-level"/>
    <n v="9336923.0769230779"/>
    <s v="CVT"/>
  </r>
  <r>
    <d v="2025-08-14T00:00:00"/>
    <x v="2"/>
    <x v="6"/>
    <x v="0"/>
    <x v="0"/>
    <x v="41"/>
    <n v="299000"/>
    <n v="20"/>
    <n v="5980000"/>
    <x v="2"/>
    <x v="12"/>
    <s v="Single cylinder"/>
    <s v="air-cooled"/>
    <x v="26"/>
    <s v="Mid-range"/>
    <n v="4429629.6296296287"/>
    <s v="5-speed"/>
  </r>
  <r>
    <d v="2025-06-08T00:00:00"/>
    <x v="1"/>
    <x v="13"/>
    <x v="0"/>
    <x v="1"/>
    <x v="19"/>
    <n v="295000"/>
    <n v="15"/>
    <n v="4425000"/>
    <x v="1"/>
    <x v="11"/>
    <s v="Single cylinder"/>
    <s v="liquid-cooled"/>
    <x v="5"/>
    <s v="Mid-range"/>
    <n v="3277777.7777777775"/>
    <s v="6-speed"/>
  </r>
  <r>
    <d v="2025-06-26T00:00:00"/>
    <x v="1"/>
    <x v="5"/>
    <x v="0"/>
    <x v="1"/>
    <x v="9"/>
    <n v="328000"/>
    <n v="20"/>
    <n v="6560000"/>
    <x v="2"/>
    <x v="0"/>
    <s v="Twin cylinder"/>
    <s v="air-cooled"/>
    <x v="9"/>
    <s v="Mid-range"/>
    <n v="4859259.2592592593"/>
    <s v="6-speed"/>
  </r>
  <r>
    <d v="2025-07-21T00:00:00"/>
    <x v="0"/>
    <x v="4"/>
    <x v="0"/>
    <x v="1"/>
    <x v="32"/>
    <n v="219000"/>
    <n v="3"/>
    <n v="657000"/>
    <x v="1"/>
    <x v="2"/>
    <s v="Single cylinder"/>
    <s v="liquid-cooled"/>
    <x v="22"/>
    <s v="Entry-level"/>
    <n v="505384.61538461538"/>
    <s v="CVT"/>
  </r>
  <r>
    <d v="2025-07-15T00:00:00"/>
    <x v="0"/>
    <x v="1"/>
    <x v="0"/>
    <x v="1"/>
    <x v="45"/>
    <n v="129000"/>
    <n v="12"/>
    <n v="1548000"/>
    <x v="0"/>
    <x v="5"/>
    <s v="Single cylinder"/>
    <s v="oil-cooled"/>
    <x v="28"/>
    <s v="Entry-level"/>
    <n v="1190769.2307692308"/>
    <s v="5-speed"/>
  </r>
  <r>
    <d v="2025-07-14T00:00:00"/>
    <x v="0"/>
    <x v="6"/>
    <x v="0"/>
    <x v="0"/>
    <x v="24"/>
    <n v="119900"/>
    <n v="18"/>
    <n v="2158200"/>
    <x v="0"/>
    <x v="9"/>
    <s v="Single cylinder"/>
    <s v="liquid-cooled"/>
    <x v="12"/>
    <s v="Entry-level"/>
    <n v="1660153.8461538462"/>
    <s v="6-speed"/>
  </r>
  <r>
    <d v="2025-06-05T00:00:00"/>
    <x v="1"/>
    <x v="26"/>
    <x v="0"/>
    <x v="0"/>
    <x v="37"/>
    <n v="331000"/>
    <n v="35"/>
    <n v="11585000"/>
    <x v="0"/>
    <x v="5"/>
    <s v="Parallel-twin"/>
    <s v="liquid-cooled"/>
    <x v="25"/>
    <s v="Mid-range"/>
    <n v="8581481.4814814813"/>
    <s v="6-speed"/>
  </r>
  <r>
    <d v="2025-08-09T00:00:00"/>
    <x v="2"/>
    <x v="22"/>
    <x v="0"/>
    <x v="1"/>
    <x v="8"/>
    <n v="689000"/>
    <n v="10"/>
    <n v="6890000"/>
    <x v="2"/>
    <x v="6"/>
    <s v="V-twin"/>
    <s v="air-cooled"/>
    <x v="8"/>
    <s v="Premium"/>
    <n v="4921428.5714285718"/>
    <s v="6-speed"/>
  </r>
  <r>
    <d v="2025-06-26T00:00:00"/>
    <x v="1"/>
    <x v="5"/>
    <x v="0"/>
    <x v="1"/>
    <x v="29"/>
    <n v="349000"/>
    <n v="40"/>
    <n v="13960000"/>
    <x v="2"/>
    <x v="14"/>
    <s v="Parallel-twin"/>
    <s v="liquid-cooled"/>
    <x v="19"/>
    <s v="Mid-range"/>
    <n v="10340740.740740741"/>
    <s v="6-speed"/>
  </r>
  <r>
    <d v="2025-08-07T00:00:00"/>
    <x v="2"/>
    <x v="21"/>
    <x v="0"/>
    <x v="0"/>
    <x v="23"/>
    <n v="125000"/>
    <n v="8"/>
    <n v="1000000"/>
    <x v="1"/>
    <x v="5"/>
    <s v="Single cylinder"/>
    <s v="liquid-cooled"/>
    <x v="17"/>
    <s v="Entry-level"/>
    <n v="769230.76923076925"/>
    <s v="6-speed"/>
  </r>
  <r>
    <d v="2025-06-19T00:00:00"/>
    <x v="1"/>
    <x v="15"/>
    <x v="0"/>
    <x v="0"/>
    <x v="22"/>
    <n v="284900"/>
    <n v="13"/>
    <n v="3703700"/>
    <x v="2"/>
    <x v="12"/>
    <s v="Single cylinder"/>
    <s v="liquid-cooled"/>
    <x v="16"/>
    <s v="Mid-range"/>
    <n v="2743481.4814814813"/>
    <s v="6-speed"/>
  </r>
  <r>
    <d v="2025-08-23T00:00:00"/>
    <x v="2"/>
    <x v="10"/>
    <x v="0"/>
    <x v="1"/>
    <x v="2"/>
    <n v="289000"/>
    <n v="12"/>
    <n v="3468000"/>
    <x v="0"/>
    <x v="2"/>
    <s v="Single cylinder"/>
    <s v="liquid-cooled"/>
    <x v="2"/>
    <s v="Entry-level"/>
    <n v="2667692.307692308"/>
    <s v="CVT"/>
  </r>
  <r>
    <d v="2025-06-20T00:00:00"/>
    <x v="1"/>
    <x v="27"/>
    <x v="0"/>
    <x v="0"/>
    <x v="34"/>
    <n v="78900"/>
    <n v="43"/>
    <n v="3392700"/>
    <x v="2"/>
    <x v="3"/>
    <s v="Single cylinder"/>
    <s v="oil-cooled"/>
    <x v="23"/>
    <s v="Mid-range"/>
    <n v="2513111.111111111"/>
    <s v="6-speed"/>
  </r>
  <r>
    <d v="2025-06-12T00:00:00"/>
    <x v="1"/>
    <x v="17"/>
    <x v="0"/>
    <x v="0"/>
    <x v="3"/>
    <n v="248000"/>
    <n v="25"/>
    <n v="6200000"/>
    <x v="0"/>
    <x v="3"/>
    <s v="Single cylinder"/>
    <s v="liquid-cooled"/>
    <x v="3"/>
    <s v="Mid-range"/>
    <n v="4592592.5925925924"/>
    <s v="6-speed"/>
  </r>
  <r>
    <d v="2025-07-17T00:00:00"/>
    <x v="0"/>
    <x v="19"/>
    <x v="0"/>
    <x v="0"/>
    <x v="18"/>
    <n v="68900"/>
    <n v="40"/>
    <n v="2756000"/>
    <x v="0"/>
    <x v="10"/>
    <s v="Single cylinder"/>
    <s v="air-cooled"/>
    <x v="1"/>
    <s v="Entry-level"/>
    <n v="2120000"/>
    <s v="5-speed"/>
  </r>
  <r>
    <d v="2025-06-01T00:00:00"/>
    <x v="1"/>
    <x v="18"/>
    <x v="0"/>
    <x v="0"/>
    <x v="12"/>
    <n v="210000"/>
    <n v="1"/>
    <n v="210000"/>
    <x v="0"/>
    <x v="2"/>
    <s v="Single cylinder"/>
    <s v="air-cooled"/>
    <x v="12"/>
    <s v="Entry-level"/>
    <n v="161538.46153846153"/>
    <s v="CVT"/>
  </r>
  <r>
    <d v="2025-08-29T00:00:00"/>
    <x v="2"/>
    <x v="16"/>
    <x v="0"/>
    <x v="1"/>
    <x v="7"/>
    <n v="398000"/>
    <n v="16"/>
    <n v="6368000"/>
    <x v="0"/>
    <x v="2"/>
    <s v="Single cylinder"/>
    <s v="liquid-cooled"/>
    <x v="7"/>
    <s v="Mid-range"/>
    <n v="4717037.0370370364"/>
    <s v="CVT"/>
  </r>
  <r>
    <d v="2025-06-14T00:00:00"/>
    <x v="1"/>
    <x v="6"/>
    <x v="0"/>
    <x v="1"/>
    <x v="43"/>
    <n v="178000"/>
    <n v="3"/>
    <n v="534000"/>
    <x v="2"/>
    <x v="5"/>
    <s v="Single cylinder"/>
    <s v="liquid-cooled"/>
    <x v="27"/>
    <s v="Entry-level"/>
    <n v="410769.23076923075"/>
    <s v="6-speed"/>
  </r>
  <r>
    <d v="2025-08-03T00:00:00"/>
    <x v="2"/>
    <x v="9"/>
    <x v="0"/>
    <x v="1"/>
    <x v="13"/>
    <n v="164900"/>
    <n v="9"/>
    <n v="1484100"/>
    <x v="1"/>
    <x v="2"/>
    <s v="Single cylinder"/>
    <s v="liquid-cooled"/>
    <x v="13"/>
    <s v="Entry-level"/>
    <n v="1141615.3846153845"/>
    <s v="CVT"/>
  </r>
  <r>
    <d v="2025-07-08T00:00:00"/>
    <x v="0"/>
    <x v="13"/>
    <x v="0"/>
    <x v="1"/>
    <x v="28"/>
    <n v="128000"/>
    <n v="35"/>
    <n v="4480000"/>
    <x v="1"/>
    <x v="2"/>
    <s v="Single cylinder"/>
    <s v="liquid-cooled"/>
    <x v="1"/>
    <s v="Entry-level"/>
    <n v="3446153.846153846"/>
    <s v="CVT"/>
  </r>
  <r>
    <d v="2025-07-07T00:00:00"/>
    <x v="0"/>
    <x v="21"/>
    <x v="0"/>
    <x v="1"/>
    <x v="26"/>
    <n v="320000"/>
    <n v="22"/>
    <n v="7040000"/>
    <x v="1"/>
    <x v="3"/>
    <s v="Single cylinder"/>
    <s v="liquid-cooled"/>
    <x v="18"/>
    <s v="Mid-range"/>
    <n v="5214814.8148148144"/>
    <s v="6-speed"/>
  </r>
  <r>
    <d v="2025-06-11T00:00:00"/>
    <x v="1"/>
    <x v="2"/>
    <x v="0"/>
    <x v="0"/>
    <x v="19"/>
    <n v="295000"/>
    <n v="11"/>
    <n v="3245000"/>
    <x v="2"/>
    <x v="11"/>
    <s v="Single cylinder"/>
    <s v="liquid-cooled"/>
    <x v="5"/>
    <s v="Mid-range"/>
    <n v="2403703.7037037038"/>
    <s v="6-speed"/>
  </r>
  <r>
    <d v="2025-08-16T00:00:00"/>
    <x v="2"/>
    <x v="30"/>
    <x v="0"/>
    <x v="1"/>
    <x v="26"/>
    <n v="320000"/>
    <n v="8"/>
    <n v="2560000"/>
    <x v="1"/>
    <x v="3"/>
    <s v="Single cylinder"/>
    <s v="liquid-cooled"/>
    <x v="18"/>
    <s v="Mid-range"/>
    <n v="1896296.2962962962"/>
    <s v="6-speed"/>
  </r>
  <r>
    <d v="2025-06-03T00:00:00"/>
    <x v="1"/>
    <x v="9"/>
    <x v="0"/>
    <x v="1"/>
    <x v="36"/>
    <n v="67900"/>
    <n v="10"/>
    <n v="679000"/>
    <x v="0"/>
    <x v="13"/>
    <s v="Single cylinder"/>
    <s v="air-cooled"/>
    <x v="10"/>
    <s v="Entry-level"/>
    <n v="522307.69230769225"/>
    <s v="4-speed"/>
  </r>
  <r>
    <d v="2025-07-03T00:00:00"/>
    <x v="0"/>
    <x v="9"/>
    <x v="0"/>
    <x v="0"/>
    <x v="8"/>
    <n v="689000"/>
    <n v="6"/>
    <n v="4134000"/>
    <x v="2"/>
    <x v="6"/>
    <s v="V-twin"/>
    <s v="air-cooled"/>
    <x v="8"/>
    <s v="Premium"/>
    <n v="2952857.1428571427"/>
    <s v="6-speed"/>
  </r>
  <r>
    <d v="2025-06-06T00:00:00"/>
    <x v="1"/>
    <x v="28"/>
    <x v="0"/>
    <x v="0"/>
    <x v="1"/>
    <n v="99900"/>
    <n v="13"/>
    <n v="1298700"/>
    <x v="0"/>
    <x v="1"/>
    <s v="Single cylinder"/>
    <s v="air-cooled"/>
    <x v="1"/>
    <s v="Entry-level"/>
    <n v="999000"/>
    <s v="5-speed"/>
  </r>
  <r>
    <d v="2025-07-20T00:00:00"/>
    <x v="0"/>
    <x v="27"/>
    <x v="0"/>
    <x v="1"/>
    <x v="47"/>
    <n v="182000"/>
    <n v="8"/>
    <n v="1456000"/>
    <x v="2"/>
    <x v="15"/>
    <s v="Single cylinder"/>
    <s v="liquid-cooled"/>
    <x v="4"/>
    <s v="Entry-level"/>
    <n v="1120000"/>
    <s v="6-speed"/>
  </r>
  <r>
    <d v="2025-06-10T00:00:00"/>
    <x v="1"/>
    <x v="25"/>
    <x v="0"/>
    <x v="0"/>
    <x v="25"/>
    <n v="79900"/>
    <n v="43"/>
    <n v="3435700"/>
    <x v="1"/>
    <x v="2"/>
    <s v="Single cylinder"/>
    <s v="air-cooled"/>
    <x v="14"/>
    <s v="Entry-level"/>
    <n v="2642846.153846154"/>
    <s v="CVT"/>
  </r>
  <r>
    <d v="2025-06-05T00:00:00"/>
    <x v="1"/>
    <x v="26"/>
    <x v="0"/>
    <x v="1"/>
    <x v="21"/>
    <n v="389000"/>
    <n v="23"/>
    <n v="8947000"/>
    <x v="0"/>
    <x v="7"/>
    <s v="Parallel-twin"/>
    <s v="liquid-cooled"/>
    <x v="9"/>
    <s v="Mid-range"/>
    <n v="6627407.4074074076"/>
    <s v="6-speed"/>
  </r>
  <r>
    <d v="2025-06-23T00:00:00"/>
    <x v="1"/>
    <x v="10"/>
    <x v="0"/>
    <x v="0"/>
    <x v="29"/>
    <n v="349000"/>
    <n v="11"/>
    <n v="3839000"/>
    <x v="1"/>
    <x v="14"/>
    <s v="Parallel-twin"/>
    <s v="liquid-cooled"/>
    <x v="19"/>
    <s v="Mid-range"/>
    <n v="2843703.7037037038"/>
    <s v="6-speed"/>
  </r>
  <r>
    <d v="2025-06-10T00:00:00"/>
    <x v="1"/>
    <x v="25"/>
    <x v="0"/>
    <x v="1"/>
    <x v="15"/>
    <n v="345000"/>
    <n v="22"/>
    <n v="7590000"/>
    <x v="2"/>
    <x v="8"/>
    <s v="Parallel-twin"/>
    <s v="liquid-cooled"/>
    <x v="15"/>
    <s v="Premium"/>
    <n v="5421428.5714285718"/>
    <s v="6-speed"/>
  </r>
  <r>
    <d v="2025-07-14T00:00:00"/>
    <x v="0"/>
    <x v="6"/>
    <x v="0"/>
    <x v="1"/>
    <x v="8"/>
    <n v="689000"/>
    <n v="11"/>
    <n v="7579000"/>
    <x v="1"/>
    <x v="6"/>
    <s v="V-twin"/>
    <s v="air-cooled"/>
    <x v="8"/>
    <s v="Premium"/>
    <n v="5413571.4285714291"/>
    <s v="6-speed"/>
  </r>
  <r>
    <d v="2025-06-02T00:00:00"/>
    <x v="1"/>
    <x v="11"/>
    <x v="0"/>
    <x v="0"/>
    <x v="1"/>
    <n v="99900"/>
    <n v="48"/>
    <n v="4795200"/>
    <x v="0"/>
    <x v="1"/>
    <s v="Single cylinder"/>
    <s v="air-cooled"/>
    <x v="1"/>
    <s v="Entry-level"/>
    <n v="3688615.3846153845"/>
    <s v="5-speed"/>
  </r>
  <r>
    <d v="2025-06-13T00:00:00"/>
    <x v="1"/>
    <x v="29"/>
    <x v="0"/>
    <x v="0"/>
    <x v="35"/>
    <n v="199000"/>
    <n v="4"/>
    <n v="796000"/>
    <x v="1"/>
    <x v="12"/>
    <s v="Single cylinder"/>
    <s v="air-cooled"/>
    <x v="24"/>
    <s v="Mid-range"/>
    <n v="589629.62962962955"/>
    <s v="6-speed"/>
  </r>
  <r>
    <d v="2025-07-10T00:00:00"/>
    <x v="0"/>
    <x v="25"/>
    <x v="0"/>
    <x v="1"/>
    <x v="15"/>
    <n v="345000"/>
    <n v="18"/>
    <n v="6210000"/>
    <x v="2"/>
    <x v="8"/>
    <s v="Parallel-twin"/>
    <s v="liquid-cooled"/>
    <x v="15"/>
    <s v="Premium"/>
    <n v="4435714.2857142864"/>
    <s v="6-speed"/>
  </r>
  <r>
    <d v="2025-06-02T00:00:00"/>
    <x v="1"/>
    <x v="11"/>
    <x v="0"/>
    <x v="1"/>
    <x v="33"/>
    <n v="369000"/>
    <n v="23"/>
    <n v="8487000"/>
    <x v="1"/>
    <x v="3"/>
    <s v="Parallel-twin"/>
    <s v="liquid-cooled"/>
    <x v="15"/>
    <s v="Premium"/>
    <n v="6062142.8571428573"/>
    <s v="6-speed"/>
  </r>
  <r>
    <d v="2025-08-23T00:00:00"/>
    <x v="2"/>
    <x v="10"/>
    <x v="0"/>
    <x v="0"/>
    <x v="44"/>
    <n v="165000"/>
    <n v="2"/>
    <n v="330000"/>
    <x v="1"/>
    <x v="5"/>
    <s v="Single cylinder"/>
    <s v="liquid-cooled"/>
    <x v="11"/>
    <s v="Mid-range"/>
    <n v="244444.44444444444"/>
    <s v="6-speed"/>
  </r>
  <r>
    <d v="2025-08-04T00:00:00"/>
    <x v="2"/>
    <x v="24"/>
    <x v="0"/>
    <x v="0"/>
    <x v="14"/>
    <n v="80900"/>
    <n v="46"/>
    <n v="3721400"/>
    <x v="1"/>
    <x v="2"/>
    <s v="Single cylinder"/>
    <s v="air-cooled"/>
    <x v="14"/>
    <s v="Entry-level"/>
    <n v="2862615.3846153845"/>
    <s v="CVT"/>
  </r>
  <r>
    <d v="2025-08-02T00:00:00"/>
    <x v="2"/>
    <x v="11"/>
    <x v="0"/>
    <x v="1"/>
    <x v="27"/>
    <n v="48000"/>
    <n v="33"/>
    <n v="1584000"/>
    <x v="0"/>
    <x v="13"/>
    <s v="Single cylinder"/>
    <s v="air-cooled"/>
    <x v="10"/>
    <s v="Entry-level"/>
    <n v="1218461.5384615385"/>
    <s v="4-speed"/>
  </r>
  <r>
    <d v="2025-08-12T00:00:00"/>
    <x v="2"/>
    <x v="17"/>
    <x v="0"/>
    <x v="0"/>
    <x v="28"/>
    <n v="128000"/>
    <n v="1"/>
    <n v="128000"/>
    <x v="1"/>
    <x v="2"/>
    <s v="Single cylinder"/>
    <s v="liquid-cooled"/>
    <x v="1"/>
    <s v="Entry-level"/>
    <n v="98461.538461538454"/>
    <s v="CV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n v="389000"/>
    <s v="Parallel-twin"/>
    <s v="liquid-cooled"/>
    <s v="471cc"/>
    <s v="6-speed"/>
    <x v="0"/>
    <x v="0"/>
  </r>
  <r>
    <n v="2"/>
    <x v="1"/>
    <x v="1"/>
    <n v="178000"/>
    <s v="Single cylinder"/>
    <s v="liquid-cooled"/>
    <s v="155cc"/>
    <s v="6-speed"/>
    <x v="1"/>
    <x v="0"/>
  </r>
  <r>
    <n v="3"/>
    <x v="2"/>
    <x v="0"/>
    <n v="340000"/>
    <s v="Parallel-twin"/>
    <s v="liquid-cooled"/>
    <s v="399cc"/>
    <s v="6-speed"/>
    <x v="2"/>
    <x v="1"/>
  </r>
  <r>
    <n v="4"/>
    <x v="3"/>
    <x v="2"/>
    <n v="119900"/>
    <s v="Single cylinder"/>
    <s v="liquid-cooled"/>
    <s v="150cc"/>
    <s v="6-speed"/>
    <x v="3"/>
    <x v="2"/>
  </r>
  <r>
    <n v="5"/>
    <x v="4"/>
    <x v="3"/>
    <n v="250000"/>
    <s v="Single cylinder"/>
    <s v="air-cooled"/>
    <s v="349cc"/>
    <s v="5-speed"/>
    <x v="1"/>
    <x v="0"/>
  </r>
  <r>
    <n v="6"/>
    <x v="5"/>
    <x v="1"/>
    <n v="165000"/>
    <s v="Single cylinder"/>
    <s v="liquid-cooled"/>
    <s v="292cc"/>
    <s v="6-speed"/>
    <x v="0"/>
    <x v="3"/>
  </r>
  <r>
    <n v="7"/>
    <x v="6"/>
    <x v="4"/>
    <n v="328000"/>
    <s v="Twin cylinder"/>
    <s v="air-cooled"/>
    <s v="471cc"/>
    <s v="6-speed"/>
    <x v="1"/>
    <x v="0"/>
  </r>
  <r>
    <n v="8"/>
    <x v="7"/>
    <x v="1"/>
    <n v="178000"/>
    <s v="Single cylinder"/>
    <s v="liquid-cooled"/>
    <s v="199cc"/>
    <s v="6-speed"/>
    <x v="2"/>
    <x v="1"/>
  </r>
  <r>
    <n v="9"/>
    <x v="8"/>
    <x v="5"/>
    <n v="182000"/>
    <s v="Single cylinder"/>
    <s v="liquid-cooled"/>
    <s v="155cc"/>
    <s v="6-speed"/>
    <x v="1"/>
    <x v="0"/>
  </r>
  <r>
    <n v="10"/>
    <x v="9"/>
    <x v="6"/>
    <n v="199900"/>
    <s v="Single cylinder"/>
    <s v="liquid-cooled"/>
    <s v="373cc"/>
    <s v="6-speed"/>
    <x v="0"/>
    <x v="3"/>
  </r>
  <r>
    <n v="11"/>
    <x v="10"/>
    <x v="7"/>
    <n v="151900"/>
    <s v="Single cylinder"/>
    <s v="liquid-cooled"/>
    <s v="155cc"/>
    <s v="CVT"/>
    <x v="1"/>
    <x v="0"/>
  </r>
  <r>
    <n v="12"/>
    <x v="11"/>
    <x v="7"/>
    <n v="164900"/>
    <s v="Single cylinder"/>
    <s v="liquid-cooled"/>
    <s v="157cc"/>
    <s v="CVT"/>
    <x v="2"/>
    <x v="1"/>
  </r>
  <r>
    <n v="13"/>
    <x v="12"/>
    <x v="7"/>
    <n v="79900"/>
    <s v="Single cylinder"/>
    <s v="air-cooled"/>
    <s v="124cc"/>
    <s v="CVT"/>
    <x v="2"/>
    <x v="1"/>
  </r>
  <r>
    <n v="14"/>
    <x v="13"/>
    <x v="0"/>
    <n v="198000"/>
    <s v="Single cylinder"/>
    <s v="liquid-cooled"/>
    <s v="199cc"/>
    <s v="6-speed"/>
    <x v="0"/>
    <x v="3"/>
  </r>
  <r>
    <n v="15"/>
    <x v="14"/>
    <x v="8"/>
    <n v="320000"/>
    <s v="Single cylinder"/>
    <s v="liquid-cooled"/>
    <s v="313cc"/>
    <s v="6-speed"/>
    <x v="2"/>
    <x v="1"/>
  </r>
  <r>
    <n v="16"/>
    <x v="15"/>
    <x v="1"/>
    <n v="129000"/>
    <s v="Single cylinder"/>
    <s v="oil-cooled"/>
    <s v="197cc"/>
    <s v="5-speed"/>
    <x v="1"/>
    <x v="0"/>
  </r>
  <r>
    <n v="17"/>
    <x v="16"/>
    <x v="9"/>
    <n v="295000"/>
    <s v="Single cylinder"/>
    <s v="liquid-cooled"/>
    <s v="373cc"/>
    <s v="6-speed"/>
    <x v="2"/>
    <x v="1"/>
  </r>
  <r>
    <n v="18"/>
    <x v="17"/>
    <x v="7"/>
    <n v="210000"/>
    <s v="Single cylinder"/>
    <s v="air-cooled"/>
    <s v="150cc"/>
    <s v="CVT"/>
    <x v="1"/>
    <x v="0"/>
  </r>
  <r>
    <n v="19"/>
    <x v="18"/>
    <x v="1"/>
    <n v="125000"/>
    <s v="Single cylinder"/>
    <s v="liquid-cooled"/>
    <s v="147cc"/>
    <s v="6-speed"/>
    <x v="0"/>
    <x v="3"/>
  </r>
  <r>
    <n v="20"/>
    <x v="19"/>
    <x v="1"/>
    <n v="331000"/>
    <s v="Parallel-twin"/>
    <s v="liquid-cooled"/>
    <s v="399cc"/>
    <s v="6-speed"/>
    <x v="2"/>
    <x v="1"/>
  </r>
  <r>
    <n v="21"/>
    <x v="20"/>
    <x v="7"/>
    <n v="124000"/>
    <s v="Single cylinder"/>
    <s v="liquid-cooled"/>
    <s v="155cc"/>
    <s v="CVT"/>
    <x v="1"/>
    <x v="0"/>
  </r>
  <r>
    <n v="22"/>
    <x v="21"/>
    <x v="10"/>
    <n v="398000"/>
    <s v="Parallel-twin"/>
    <s v="liquid-cooled"/>
    <s v="649cc"/>
    <s v="6-speed"/>
    <x v="1"/>
    <x v="0"/>
  </r>
  <r>
    <n v="23"/>
    <x v="22"/>
    <x v="11"/>
    <n v="68900"/>
    <s v="Single cylinder"/>
    <s v="air-cooled"/>
    <s v="149cc"/>
    <s v="5-speed"/>
    <x v="0"/>
    <x v="3"/>
  </r>
  <r>
    <n v="24"/>
    <x v="23"/>
    <x v="8"/>
    <n v="78900"/>
    <s v="Single cylinder"/>
    <s v="oil-cooled"/>
    <s v="223cc"/>
    <s v="6-speed"/>
    <x v="3"/>
    <x v="2"/>
  </r>
  <r>
    <n v="25"/>
    <x v="24"/>
    <x v="12"/>
    <n v="345000"/>
    <s v="Parallel-twin"/>
    <s v="liquid-cooled"/>
    <s v="649cc"/>
    <s v="6-speed"/>
    <x v="2"/>
    <x v="1"/>
  </r>
  <r>
    <n v="26"/>
    <x v="25"/>
    <x v="7"/>
    <n v="80900"/>
    <s v="Single cylinder"/>
    <s v="liquid-cooled"/>
    <s v="125cc"/>
    <s v="CVT"/>
    <x v="1"/>
    <x v="0"/>
  </r>
  <r>
    <n v="27"/>
    <x v="26"/>
    <x v="2"/>
    <n v="125900"/>
    <s v="Single cylinder"/>
    <s v="liquid-cooled"/>
    <s v="155cc"/>
    <s v="6-speed"/>
    <x v="2"/>
    <x v="1"/>
  </r>
  <r>
    <n v="28"/>
    <x v="27"/>
    <x v="13"/>
    <n v="67900"/>
    <s v="Single cylinder"/>
    <s v="air-cooled"/>
    <s v="125cc"/>
    <s v="4-speed"/>
    <x v="0"/>
    <x v="3"/>
  </r>
  <r>
    <n v="29"/>
    <x v="28"/>
    <x v="14"/>
    <n v="284900"/>
    <s v="Single cylinder"/>
    <s v="liquid-cooled"/>
    <s v="286cc"/>
    <s v="6-speed"/>
    <x v="2"/>
    <x v="1"/>
  </r>
  <r>
    <n v="30"/>
    <x v="29"/>
    <x v="13"/>
    <n v="48000"/>
    <s v="Single cylinder"/>
    <s v="air-cooled"/>
    <s v="125cc"/>
    <s v="4-speed"/>
    <x v="3"/>
    <x v="2"/>
  </r>
  <r>
    <n v="31"/>
    <x v="30"/>
    <x v="7"/>
    <n v="128000"/>
    <s v="Single cylinder"/>
    <s v="liquid-cooled"/>
    <s v="149cc"/>
    <s v="CVT"/>
    <x v="1"/>
    <x v="0"/>
  </r>
  <r>
    <n v="32"/>
    <x v="31"/>
    <x v="10"/>
    <n v="499000"/>
    <s v="V-twin"/>
    <s v="liquid-cooled"/>
    <s v="749cc"/>
    <s v="6-speed"/>
    <x v="3"/>
    <x v="2"/>
  </r>
  <r>
    <n v="33"/>
    <x v="32"/>
    <x v="8"/>
    <n v="248000"/>
    <s v="Single cylinder"/>
    <s v="liquid-cooled"/>
    <s v="312cc"/>
    <s v="6-speed"/>
    <x v="2"/>
    <x v="1"/>
  </r>
  <r>
    <n v="34"/>
    <x v="33"/>
    <x v="7"/>
    <n v="219000"/>
    <s v="Single cylinder"/>
    <s v="liquid-cooled"/>
    <s v="174cc"/>
    <s v="CVT"/>
    <x v="2"/>
    <x v="1"/>
  </r>
  <r>
    <n v="35"/>
    <x v="34"/>
    <x v="7"/>
    <n v="319000"/>
    <s v="Single cylinder"/>
    <s v="liquid-cooled"/>
    <s v="292cc"/>
    <s v="CVT"/>
    <x v="1"/>
    <x v="0"/>
  </r>
  <r>
    <n v="36"/>
    <x v="35"/>
    <x v="10"/>
    <n v="349000"/>
    <s v="Parallel-twin"/>
    <s v="liquid-cooled"/>
    <s v="500cc"/>
    <s v="6-speed"/>
    <x v="1"/>
    <x v="0"/>
  </r>
  <r>
    <n v="37"/>
    <x v="36"/>
    <x v="8"/>
    <n v="369000"/>
    <s v="Parallel-twin"/>
    <s v="liquid-cooled"/>
    <s v="649cc"/>
    <s v="6-speed"/>
    <x v="2"/>
    <x v="1"/>
  </r>
  <r>
    <n v="38"/>
    <x v="37"/>
    <x v="15"/>
    <n v="99900"/>
    <s v="Single cylinder"/>
    <s v="air-cooled"/>
    <s v="149cc"/>
    <s v="5-speed"/>
    <x v="0"/>
    <x v="3"/>
  </r>
  <r>
    <n v="39"/>
    <x v="38"/>
    <x v="7"/>
    <n v="398000"/>
    <s v="Single cylinder"/>
    <s v="liquid-cooled"/>
    <s v="278cc"/>
    <s v="CVT"/>
    <x v="2"/>
    <x v="1"/>
  </r>
  <r>
    <n v="40"/>
    <x v="39"/>
    <x v="14"/>
    <n v="199000"/>
    <s v="Single cylinder"/>
    <s v="air-cooled"/>
    <s v="233cc"/>
    <s v="6-speed"/>
    <x v="1"/>
    <x v="0"/>
  </r>
  <r>
    <n v="41"/>
    <x v="40"/>
    <x v="16"/>
    <n v="995000"/>
    <s v="Flat twin"/>
    <s v="air"/>
    <m/>
    <m/>
    <x v="2"/>
    <x v="1"/>
  </r>
  <r>
    <n v="42"/>
    <x v="41"/>
    <x v="10"/>
    <n v="650000"/>
    <s v="Parallel-twin"/>
    <s v="liquid-cooled"/>
    <s v="1084cc"/>
    <s v="6-speed"/>
    <x v="2"/>
    <x v="1"/>
  </r>
  <r>
    <n v="43"/>
    <x v="42"/>
    <x v="1"/>
    <n v="599000"/>
    <s v="Parallel-twin"/>
    <s v="liquid-cooled"/>
    <s v="799cc"/>
    <s v="6-speed"/>
    <x v="2"/>
    <x v="1"/>
  </r>
  <r>
    <n v="44"/>
    <x v="43"/>
    <x v="0"/>
    <n v="165000"/>
    <s v="Single cylinder"/>
    <s v="liquid-cooled"/>
    <s v="292cc"/>
    <s v="6-speed"/>
    <x v="2"/>
    <x v="1"/>
  </r>
  <r>
    <n v="45"/>
    <x v="44"/>
    <x v="7"/>
    <n v="289000"/>
    <s v="Single cylinder"/>
    <s v="liquid-cooled"/>
    <s v="181cc"/>
    <s v="CVT"/>
    <x v="2"/>
    <x v="1"/>
  </r>
  <r>
    <n v="46"/>
    <x v="45"/>
    <x v="14"/>
    <n v="299000"/>
    <s v="Single cylinder"/>
    <s v="air-cooled"/>
    <s v="249cc"/>
    <s v="5-speed"/>
    <x v="3"/>
    <x v="2"/>
  </r>
  <r>
    <n v="47"/>
    <x v="46"/>
    <x v="7"/>
    <n v="80900"/>
    <s v="Single cylinder"/>
    <s v="air-cooled"/>
    <s v="124cc"/>
    <s v="CVT"/>
    <x v="2"/>
    <x v="1"/>
  </r>
  <r>
    <n v="48"/>
    <x v="47"/>
    <x v="4"/>
    <n v="269000"/>
    <s v="Single cylinder"/>
    <s v="liquid-cooled"/>
    <s v="348cc"/>
    <s v="6-speed"/>
    <x v="2"/>
    <x v="1"/>
  </r>
  <r>
    <n v="49"/>
    <x v="48"/>
    <x v="16"/>
    <n v="689000"/>
    <s v="V-twin"/>
    <s v="air-cooled"/>
    <s v="853cc"/>
    <s v="6-speed"/>
    <x v="1"/>
    <x v="0"/>
  </r>
  <r>
    <n v="50"/>
    <x v="49"/>
    <x v="2"/>
    <n v="72900"/>
    <s v="Single cylinder"/>
    <s v="air-cooled"/>
    <s v="150cc"/>
    <s v="CVT"/>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342DA6-60A1-450D-A0F1-A5C2F98B998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B32" firstHeaderRow="1" firstDataRow="1" firstDataCol="1"/>
  <pivotFields count="18">
    <pivotField numFmtId="14" showAll="0"/>
    <pivotField showAll="0">
      <items count="5">
        <item x="3"/>
        <item x="1"/>
        <item x="0"/>
        <item x="2"/>
        <item t="default"/>
      </items>
    </pivotField>
    <pivotField axis="axisRow" showAll="0">
      <items count="32">
        <item x="18"/>
        <item x="11"/>
        <item x="9"/>
        <item x="24"/>
        <item x="26"/>
        <item x="28"/>
        <item x="21"/>
        <item x="13"/>
        <item x="22"/>
        <item x="25"/>
        <item x="2"/>
        <item x="17"/>
        <item x="29"/>
        <item x="6"/>
        <item x="1"/>
        <item x="30"/>
        <item x="19"/>
        <item x="23"/>
        <item x="15"/>
        <item x="27"/>
        <item x="4"/>
        <item x="0"/>
        <item x="10"/>
        <item x="8"/>
        <item x="20"/>
        <item x="5"/>
        <item x="7"/>
        <item x="14"/>
        <item x="16"/>
        <item x="12"/>
        <item x="3"/>
        <item t="default"/>
      </items>
    </pivotField>
    <pivotField showAll="0">
      <items count="2">
        <item x="0"/>
        <item t="default"/>
      </items>
    </pivotField>
    <pivotField showAll="0">
      <items count="4">
        <item x="0"/>
        <item h="1" m="1" x="2"/>
        <item x="1"/>
        <item t="default"/>
      </items>
    </pivotField>
    <pivotField showAll="0"/>
    <pivotField numFmtId="164" showAll="0"/>
    <pivotField showAll="0"/>
    <pivotField dataField="1" numFmtId="164" showAll="0"/>
    <pivotField showAll="0">
      <items count="5">
        <item x="0"/>
        <item x="1"/>
        <item x="2"/>
        <item m="1" x="3"/>
        <item t="default"/>
      </items>
    </pivotField>
    <pivotField showAll="0"/>
    <pivotField showAll="0"/>
    <pivotField showAll="0"/>
    <pivotField showAll="0"/>
    <pivotField showAll="0"/>
    <pivotField numFmtId="164" showAll="0"/>
    <pivotField showAll="0"/>
    <pivotField dragToRow="0" dragToCol="0" dragToPage="0" showAll="0" defaultSubtota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fld="8" baseField="0" baseItem="0" numFmtId="164"/>
  </dataFields>
  <formats count="1">
    <format dxfId="10">
      <pivotArea field="2" type="button" dataOnly="0" labelOnly="1" outline="0" axis="axisRow"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2CDB0-5AE2-46FF-B708-5E7C6E83DA4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M1:AN3" firstHeaderRow="1" firstDataRow="1" firstDataCol="1"/>
  <pivotFields count="18">
    <pivotField numFmtId="14" showAll="0"/>
    <pivotField showAll="0">
      <items count="5">
        <item x="3"/>
        <item x="1"/>
        <item x="0"/>
        <item x="2"/>
        <item t="default"/>
      </items>
    </pivotField>
    <pivotField showAll="0"/>
    <pivotField showAll="0">
      <items count="2">
        <item x="0"/>
        <item t="default"/>
      </items>
    </pivotField>
    <pivotField axis="axisRow" showAll="0">
      <items count="4">
        <item x="0"/>
        <item h="1" m="1" x="2"/>
        <item x="1"/>
        <item t="default"/>
      </items>
    </pivotField>
    <pivotField showAll="0"/>
    <pivotField numFmtId="164" showAll="0"/>
    <pivotField showAll="0"/>
    <pivotField dataField="1" numFmtId="164" showAll="0"/>
    <pivotField showAll="0">
      <items count="5">
        <item x="0"/>
        <item x="1"/>
        <item x="2"/>
        <item m="1" x="3"/>
        <item t="default"/>
      </items>
    </pivotField>
    <pivotField showAll="0"/>
    <pivotField showAll="0"/>
    <pivotField showAll="0"/>
    <pivotField showAll="0"/>
    <pivotField showAll="0"/>
    <pivotField numFmtId="164" showAll="0"/>
    <pivotField showAll="0"/>
    <pivotField dragToRow="0" dragToCol="0" dragToPage="0" showAll="0" defaultSubtotal="0"/>
  </pivotFields>
  <rowFields count="1">
    <field x="4"/>
  </rowFields>
  <rowItems count="2">
    <i>
      <x/>
    </i>
    <i>
      <x v="2"/>
    </i>
  </rowItems>
  <colItems count="1">
    <i/>
  </colItems>
  <dataFields count="1">
    <dataField name="Sum of Total" fld="8" baseField="0" baseItem="0" numFmtId="164"/>
  </dataFields>
  <formats count="1">
    <format dxfId="5">
      <pivotArea field="4" type="button" dataOnly="0" labelOnly="1" outline="0" axis="axisRow"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3DA01-795E-4F03-B882-BE4382794F7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P1:S51" firstHeaderRow="0" firstDataRow="1" firstDataCol="2"/>
  <pivotFields count="18">
    <pivotField compact="0" numFmtId="14" outline="0" showAll="0"/>
    <pivotField compact="0" outline="0" showAll="0">
      <items count="5">
        <item x="3"/>
        <item x="1"/>
        <item x="0"/>
        <item x="2"/>
        <item t="default"/>
      </items>
    </pivotField>
    <pivotField compact="0" outline="0" showAll="0"/>
    <pivotField compact="0" outline="0" showAll="0">
      <items count="2">
        <item x="0"/>
        <item t="default"/>
      </items>
    </pivotField>
    <pivotField compact="0" outline="0" showAll="0">
      <items count="4">
        <item x="0"/>
        <item h="1" m="1" x="2"/>
        <item x="1"/>
        <item t="default"/>
      </items>
    </pivotField>
    <pivotField axis="axisRow" compact="0" outline="0" showAll="0" defaultSubtotal="0">
      <items count="50">
        <item x="32"/>
        <item x="36"/>
        <item x="5"/>
        <item x="29"/>
        <item x="26"/>
        <item x="30"/>
        <item x="38"/>
        <item x="9"/>
        <item x="44"/>
        <item x="11"/>
        <item x="15"/>
        <item x="31"/>
        <item x="13"/>
        <item x="21"/>
        <item x="10"/>
        <item x="22"/>
        <item x="46"/>
        <item x="19"/>
        <item x="2"/>
        <item x="35"/>
        <item x="40"/>
        <item x="37"/>
        <item x="18"/>
        <item x="6"/>
        <item x="43"/>
        <item x="42"/>
        <item x="8"/>
        <item x="33"/>
        <item x="34"/>
        <item x="49"/>
        <item x="27"/>
        <item x="25"/>
        <item x="14"/>
        <item x="23"/>
        <item x="24"/>
        <item x="48"/>
        <item x="28"/>
        <item x="45"/>
        <item x="7"/>
        <item x="12"/>
        <item x="4"/>
        <item x="1"/>
        <item x="16"/>
        <item x="39"/>
        <item x="41"/>
        <item x="17"/>
        <item x="20"/>
        <item x="47"/>
        <item x="3"/>
        <item x="0"/>
      </items>
    </pivotField>
    <pivotField compact="0" numFmtId="164" outline="0" showAll="0"/>
    <pivotField dataField="1" compact="0" outline="0" showAll="0"/>
    <pivotField dataField="1" compact="0" numFmtId="164" outline="0" showAll="0"/>
    <pivotField compact="0" outline="0" showAll="0">
      <items count="5">
        <item x="0"/>
        <item x="1"/>
        <item x="2"/>
        <item m="1" x="3"/>
        <item t="default"/>
      </items>
    </pivotField>
    <pivotField compact="0" outline="0" showAll="0"/>
    <pivotField compact="0" outline="0" showAll="0"/>
    <pivotField compact="0" outline="0" showAll="0"/>
    <pivotField axis="axisRow" compact="0" outline="0" showAll="0">
      <items count="32">
        <item x="20"/>
        <item x="29"/>
        <item x="14"/>
        <item x="10"/>
        <item x="17"/>
        <item x="1"/>
        <item x="12"/>
        <item x="4"/>
        <item x="13"/>
        <item x="22"/>
        <item x="2"/>
        <item x="28"/>
        <item x="27"/>
        <item x="23"/>
        <item x="24"/>
        <item x="26"/>
        <item x="7"/>
        <item x="16"/>
        <item x="11"/>
        <item x="3"/>
        <item x="18"/>
        <item x="0"/>
        <item x="30"/>
        <item x="5"/>
        <item x="25"/>
        <item x="9"/>
        <item x="19"/>
        <item x="15"/>
        <item x="21"/>
        <item x="6"/>
        <item x="8"/>
        <item t="default"/>
      </items>
    </pivotField>
    <pivotField compact="0" outline="0" showAll="0"/>
    <pivotField compact="0" numFmtId="164" outline="0" showAll="0"/>
    <pivotField compact="0" outline="0" showAll="0"/>
    <pivotField compact="0" outline="0" dragToRow="0" dragToCol="0" dragToPage="0" showAll="0" defaultSubtotal="0"/>
  </pivotFields>
  <rowFields count="2">
    <field x="5"/>
    <field x="13"/>
  </rowFields>
  <rowItems count="50">
    <i>
      <x/>
      <x v="9"/>
    </i>
    <i>
      <x v="1"/>
      <x v="3"/>
    </i>
    <i>
      <x v="2"/>
      <x v="23"/>
    </i>
    <i>
      <x v="3"/>
      <x v="26"/>
    </i>
    <i>
      <x v="4"/>
      <x v="20"/>
    </i>
    <i>
      <x v="5"/>
      <x/>
    </i>
    <i>
      <x v="6"/>
      <x v="27"/>
    </i>
    <i>
      <x v="7"/>
      <x v="25"/>
    </i>
    <i>
      <x v="8"/>
      <x v="18"/>
    </i>
    <i>
      <x v="9"/>
      <x v="18"/>
    </i>
    <i>
      <x v="10"/>
      <x v="27"/>
    </i>
    <i>
      <x v="11"/>
      <x v="28"/>
    </i>
    <i>
      <x v="12"/>
      <x v="8"/>
    </i>
    <i>
      <x v="13"/>
      <x v="25"/>
    </i>
    <i>
      <x v="14"/>
      <x v="3"/>
    </i>
    <i>
      <x v="15"/>
      <x v="17"/>
    </i>
    <i>
      <x v="16"/>
      <x v="1"/>
    </i>
    <i>
      <x v="17"/>
      <x v="23"/>
    </i>
    <i>
      <x v="18"/>
      <x v="10"/>
    </i>
    <i>
      <x v="19"/>
      <x v="14"/>
    </i>
    <i>
      <x v="20"/>
      <x v="24"/>
    </i>
    <i>
      <x v="21"/>
      <x v="24"/>
    </i>
    <i>
      <x v="22"/>
      <x v="5"/>
    </i>
    <i>
      <x v="23"/>
      <x v="29"/>
    </i>
    <i>
      <x v="24"/>
      <x v="12"/>
    </i>
    <i>
      <x v="25"/>
      <x v="12"/>
    </i>
    <i>
      <x v="26"/>
      <x v="30"/>
    </i>
    <i>
      <x v="27"/>
      <x v="27"/>
    </i>
    <i>
      <x v="28"/>
      <x v="13"/>
    </i>
    <i>
      <x v="29"/>
      <x v="22"/>
    </i>
    <i>
      <x v="30"/>
      <x v="3"/>
    </i>
    <i>
      <x v="31"/>
      <x v="2"/>
    </i>
    <i>
      <x v="32"/>
      <x v="2"/>
    </i>
    <i>
      <x v="33"/>
      <x v="4"/>
    </i>
    <i>
      <x v="34"/>
      <x v="6"/>
    </i>
    <i>
      <x v="35"/>
      <x v="6"/>
    </i>
    <i>
      <x v="36"/>
      <x v="5"/>
    </i>
    <i>
      <x v="37"/>
      <x v="11"/>
    </i>
    <i>
      <x v="38"/>
      <x v="16"/>
    </i>
    <i>
      <x v="39"/>
      <x v="6"/>
    </i>
    <i>
      <x v="40"/>
      <x v="7"/>
    </i>
    <i>
      <x v="41"/>
      <x v="5"/>
    </i>
    <i>
      <x v="42"/>
      <x v="7"/>
    </i>
    <i>
      <x v="43"/>
      <x v="7"/>
    </i>
    <i>
      <x v="44"/>
      <x v="15"/>
    </i>
    <i>
      <x v="45"/>
      <x v="7"/>
    </i>
    <i>
      <x v="46"/>
      <x v="18"/>
    </i>
    <i>
      <x v="47"/>
      <x v="7"/>
    </i>
    <i>
      <x v="48"/>
      <x v="19"/>
    </i>
    <i>
      <x v="49"/>
      <x v="21"/>
    </i>
  </rowItems>
  <colFields count="1">
    <field x="-2"/>
  </colFields>
  <colItems count="2">
    <i>
      <x/>
    </i>
    <i i="1">
      <x v="1"/>
    </i>
  </colItems>
  <dataFields count="2">
    <dataField name="Sum of Total" fld="8" baseField="0" baseItem="0" numFmtId="164"/>
    <dataField name="Sum of Quantity" fld="7" baseField="0" baseItem="0"/>
  </dataFields>
  <formats count="2">
    <format dxfId="8">
      <pivotArea field="5" type="button" dataOnly="0" labelOnly="1" outline="0" axis="axisRow" fieldPosition="0"/>
    </format>
    <format dxfId="7">
      <pivotArea field="13" type="button" dataOnly="0" labelOnly="1" outline="0" axis="axisRow" fieldPosition="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2B1112-8A07-42BC-B0EE-39F30573D66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F1:AG18" firstHeaderRow="1" firstDataRow="1" firstDataCol="1"/>
  <pivotFields count="18">
    <pivotField numFmtId="14" showAll="0"/>
    <pivotField showAll="0">
      <items count="5">
        <item x="3"/>
        <item x="1"/>
        <item x="0"/>
        <item x="2"/>
        <item t="default"/>
      </items>
    </pivotField>
    <pivotField showAll="0"/>
    <pivotField showAll="0">
      <items count="2">
        <item x="0"/>
        <item t="default"/>
      </items>
    </pivotField>
    <pivotField showAll="0">
      <items count="4">
        <item x="0"/>
        <item h="1" m="1" x="2"/>
        <item x="1"/>
        <item t="default"/>
      </items>
    </pivotField>
    <pivotField showAll="0"/>
    <pivotField numFmtId="164" showAll="0"/>
    <pivotField showAll="0"/>
    <pivotField dataField="1" numFmtId="164" showAll="0"/>
    <pivotField showAll="0">
      <items count="5">
        <item x="0"/>
        <item x="1"/>
        <item x="2"/>
        <item m="1" x="3"/>
        <item t="default"/>
      </items>
    </pivotField>
    <pivotField axis="axisRow" showAll="0">
      <items count="18">
        <item x="3"/>
        <item x="0"/>
        <item x="16"/>
        <item x="13"/>
        <item x="14"/>
        <item x="12"/>
        <item x="6"/>
        <item x="5"/>
        <item x="15"/>
        <item x="2"/>
        <item x="11"/>
        <item x="7"/>
        <item x="4"/>
        <item x="10"/>
        <item x="1"/>
        <item x="8"/>
        <item x="9"/>
        <item t="default"/>
      </items>
    </pivotField>
    <pivotField showAll="0"/>
    <pivotField showAll="0"/>
    <pivotField showAll="0"/>
    <pivotField showAll="0"/>
    <pivotField numFmtId="164" showAll="0"/>
    <pivotField showAll="0"/>
    <pivotField dragToRow="0" dragToCol="0" dragToPage="0" showAll="0" defaultSubtotal="0"/>
  </pivotFields>
  <rowFields count="1">
    <field x="10"/>
  </rowFields>
  <rowItems count="17">
    <i>
      <x/>
    </i>
    <i>
      <x v="1"/>
    </i>
    <i>
      <x v="2"/>
    </i>
    <i>
      <x v="3"/>
    </i>
    <i>
      <x v="4"/>
    </i>
    <i>
      <x v="5"/>
    </i>
    <i>
      <x v="6"/>
    </i>
    <i>
      <x v="7"/>
    </i>
    <i>
      <x v="8"/>
    </i>
    <i>
      <x v="9"/>
    </i>
    <i>
      <x v="10"/>
    </i>
    <i>
      <x v="11"/>
    </i>
    <i>
      <x v="12"/>
    </i>
    <i>
      <x v="13"/>
    </i>
    <i>
      <x v="14"/>
    </i>
    <i>
      <x v="15"/>
    </i>
    <i>
      <x v="16"/>
    </i>
  </rowItems>
  <colItems count="1">
    <i/>
  </colItems>
  <dataFields count="1">
    <dataField name="Sum of Total" fld="8" baseField="0" baseItem="0" numFmtId="164"/>
  </dataFields>
  <formats count="1">
    <format dxfId="6">
      <pivotArea field="1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86EC0A-3BBA-443A-BEF1-FF9C747D057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5" firstHeaderRow="0" firstDataRow="1" firstDataCol="1"/>
  <pivotFields count="18">
    <pivotField numFmtId="14" showAll="0"/>
    <pivotField axis="axisRow" showAll="0">
      <items count="5">
        <item x="3"/>
        <item x="1"/>
        <item x="0"/>
        <item x="2"/>
        <item t="default"/>
      </items>
    </pivotField>
    <pivotField showAll="0"/>
    <pivotField showAll="0">
      <items count="2">
        <item x="0"/>
        <item t="default"/>
      </items>
    </pivotField>
    <pivotField showAll="0">
      <items count="4">
        <item x="0"/>
        <item h="1" m="1" x="2"/>
        <item x="1"/>
        <item t="default"/>
      </items>
    </pivotField>
    <pivotField showAll="0"/>
    <pivotField numFmtId="164" showAll="0"/>
    <pivotField showAll="0"/>
    <pivotField dataField="1" numFmtId="164" showAll="0"/>
    <pivotField showAll="0">
      <items count="5">
        <item x="0"/>
        <item x="1"/>
        <item x="2"/>
        <item m="1" x="3"/>
        <item t="default"/>
      </items>
    </pivotField>
    <pivotField showAll="0"/>
    <pivotField showAll="0"/>
    <pivotField showAll="0"/>
    <pivotField showAll="0"/>
    <pivotField showAll="0"/>
    <pivotField dataField="1" numFmtId="164" showAll="0"/>
    <pivotField showAll="0"/>
    <pivotField dragToRow="0" dragToCol="0" dragToPage="0" showAll="0" defaultSubtotal="0"/>
  </pivotFields>
  <rowFields count="1">
    <field x="1"/>
  </rowFields>
  <rowItems count="4">
    <i>
      <x/>
    </i>
    <i>
      <x v="1"/>
    </i>
    <i>
      <x v="2"/>
    </i>
    <i>
      <x v="3"/>
    </i>
  </rowItems>
  <colFields count="1">
    <field x="-2"/>
  </colFields>
  <colItems count="2">
    <i>
      <x/>
    </i>
    <i i="1">
      <x v="1"/>
    </i>
  </colItems>
  <dataFields count="2">
    <dataField name="Sum of Mark up Rate" fld="15" baseField="0" baseItem="0" numFmtId="164"/>
    <dataField name="Sum of Total" fld="8" baseField="0" baseItem="0" numFmtId="164"/>
  </dataFields>
  <formats count="1">
    <format dxfId="9">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318F9E-618F-413B-AE3D-3473F45509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8">
    <pivotField numFmtId="14" showAll="0"/>
    <pivotField showAll="0">
      <items count="5">
        <item x="3"/>
        <item x="1"/>
        <item x="0"/>
        <item x="2"/>
        <item t="default"/>
      </items>
    </pivotField>
    <pivotField showAll="0"/>
    <pivotField showAll="0">
      <items count="2">
        <item x="0"/>
        <item t="default"/>
      </items>
    </pivotField>
    <pivotField showAll="0">
      <items count="4">
        <item x="0"/>
        <item h="1" m="1" x="2"/>
        <item x="1"/>
        <item t="default"/>
      </items>
    </pivotField>
    <pivotField showAll="0"/>
    <pivotField numFmtId="164" showAll="0"/>
    <pivotField showAll="0"/>
    <pivotField dataField="1" numFmtId="164" showAll="0"/>
    <pivotField showAll="0">
      <items count="5">
        <item x="0"/>
        <item x="1"/>
        <item x="2"/>
        <item m="1" x="3"/>
        <item t="default"/>
      </items>
    </pivotField>
    <pivotField showAll="0"/>
    <pivotField showAll="0"/>
    <pivotField showAll="0"/>
    <pivotField showAll="0"/>
    <pivotField showAll="0"/>
    <pivotField dataField="1" numFmtId="164" showAll="0"/>
    <pivotField showAll="0"/>
    <pivotField dragToRow="0" dragToCol="0" dragToPage="0" showAll="0" defaultSubtotal="0"/>
  </pivotFields>
  <rowItems count="1">
    <i/>
  </rowItems>
  <colFields count="1">
    <field x="-2"/>
  </colFields>
  <colItems count="2">
    <i>
      <x/>
    </i>
    <i i="1">
      <x v="1"/>
    </i>
  </colItems>
  <dataFields count="2">
    <dataField name="Sum of Mark up Rate" fld="15" baseField="0" baseItem="0" numFmtId="164"/>
    <dataField name="Sum of Total"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AF148B-4EFD-457A-9589-9B0DCB98418C}"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P1:AQ4" firstHeaderRow="1" firstDataRow="1" firstDataCol="1"/>
  <pivotFields count="18">
    <pivotField numFmtId="14" showAll="0"/>
    <pivotField showAll="0">
      <items count="5">
        <item x="3"/>
        <item x="1"/>
        <item x="0"/>
        <item x="2"/>
        <item t="default"/>
      </items>
    </pivotField>
    <pivotField showAll="0"/>
    <pivotField showAll="0">
      <items count="2">
        <item x="0"/>
        <item t="default"/>
      </items>
    </pivotField>
    <pivotField showAll="0">
      <items count="4">
        <item x="0"/>
        <item h="1" m="1" x="2"/>
        <item x="1"/>
        <item t="default"/>
      </items>
    </pivotField>
    <pivotField showAll="0"/>
    <pivotField numFmtId="164" showAll="0"/>
    <pivotField showAll="0"/>
    <pivotField dataField="1" numFmtId="164" showAll="0"/>
    <pivotField axis="axisRow" showAll="0">
      <items count="5">
        <item x="0"/>
        <item x="1"/>
        <item x="2"/>
        <item m="1" x="3"/>
        <item t="default"/>
      </items>
    </pivotField>
    <pivotField showAll="0"/>
    <pivotField showAll="0"/>
    <pivotField showAll="0"/>
    <pivotField showAll="0"/>
    <pivotField showAll="0"/>
    <pivotField numFmtId="164" showAll="0"/>
    <pivotField showAll="0"/>
    <pivotField dragToRow="0" dragToCol="0" dragToPage="0" showAll="0" defaultSubtotal="0"/>
  </pivotFields>
  <rowFields count="1">
    <field x="9"/>
  </rowFields>
  <rowItems count="3">
    <i>
      <x/>
    </i>
    <i>
      <x v="1"/>
    </i>
    <i>
      <x v="2"/>
    </i>
  </rowItems>
  <colItems count="1">
    <i/>
  </colItems>
  <dataFields count="1">
    <dataField name="Sum of Total" fld="8" baseField="0" baseItem="0" numFmtId="164"/>
  </dataFields>
  <formats count="1">
    <format dxfId="4">
      <pivotArea field="9" type="button" dataOnly="0" labelOnly="1" outline="0" axis="axisRow" fieldPosition="0"/>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024921-7778-42E8-9F4F-B817CEAE71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H3:I8" firstHeaderRow="1" firstDataRow="1" firstDataCol="1"/>
  <pivotFields count="10">
    <pivotField showAll="0"/>
    <pivotField showAll="0"/>
    <pivotField dataField="1" showAll="0"/>
    <pivotField numFmtId="164" showAll="0"/>
    <pivotField showAll="0"/>
    <pivotField showAll="0"/>
    <pivotField showAll="0"/>
    <pivotField showAll="0"/>
    <pivotField axis="axisRow" showAll="0">
      <items count="5">
        <item x="3"/>
        <item x="0"/>
        <item x="1"/>
        <item x="2"/>
        <item t="default"/>
      </items>
    </pivotField>
    <pivotField showAll="0"/>
  </pivotFields>
  <rowFields count="1">
    <field x="8"/>
  </rowFields>
  <rowItems count="5">
    <i>
      <x/>
    </i>
    <i>
      <x v="1"/>
    </i>
    <i>
      <x v="2"/>
    </i>
    <i>
      <x v="3"/>
    </i>
    <i t="grand">
      <x/>
    </i>
  </rowItems>
  <colItems count="1">
    <i/>
  </colItems>
  <dataFields count="1">
    <dataField name="Manufactured" fld="2" subtotal="count" baseField="0" baseItem="0"/>
  </dataFields>
  <formats count="2">
    <format dxfId="30">
      <pivotArea outline="0" collapsedLevelsAreSubtotals="1" fieldPosition="0"/>
    </format>
    <format dxfId="3">
      <pivotArea field="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2C7258-FCA1-4A4E-B0CA-BE1FAACE7170}"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Year">
  <location ref="Q3:S54" firstHeaderRow="1" firstDataRow="1" firstDataCol="2"/>
  <pivotFields count="10">
    <pivotField compact="0" outline="0" showAll="0"/>
    <pivotField axis="axisRow" compact="0" outline="0" showAll="0" sortType="descending">
      <items count="51">
        <item x="33"/>
        <item x="27"/>
        <item x="9"/>
        <item x="35"/>
        <item x="14"/>
        <item x="40"/>
        <item x="21"/>
        <item x="6"/>
        <item x="5"/>
        <item x="43"/>
        <item x="24"/>
        <item x="31"/>
        <item x="11"/>
        <item x="0"/>
        <item x="25"/>
        <item x="28"/>
        <item x="41"/>
        <item x="16"/>
        <item x="44"/>
        <item x="39"/>
        <item x="2"/>
        <item x="19"/>
        <item x="22"/>
        <item x="42"/>
        <item x="7"/>
        <item x="13"/>
        <item x="48"/>
        <item x="36"/>
        <item x="23"/>
        <item x="4"/>
        <item x="29"/>
        <item x="12"/>
        <item x="46"/>
        <item x="18"/>
        <item x="3"/>
        <item x="49"/>
        <item x="30"/>
        <item x="15"/>
        <item x="38"/>
        <item x="17"/>
        <item x="20"/>
        <item x="37"/>
        <item x="1"/>
        <item x="10"/>
        <item x="45"/>
        <item x="26"/>
        <item x="34"/>
        <item x="8"/>
        <item x="32"/>
        <item x="47"/>
        <item t="default"/>
      </items>
      <autoSortScope>
        <pivotArea dataOnly="0" outline="0" fieldPosition="0">
          <references count="1">
            <reference field="4294967294" count="1" selected="0">
              <x v="0"/>
            </reference>
          </references>
        </pivotArea>
      </autoSortScope>
    </pivotField>
    <pivotField axis="axisRow" compact="0" outline="0" showAll="0" sortType="descending" defaultSubtotal="0">
      <items count="17">
        <item x="8"/>
        <item x="4"/>
        <item x="3"/>
        <item x="13"/>
        <item x="10"/>
        <item x="14"/>
        <item x="16"/>
        <item x="1"/>
        <item x="5"/>
        <item x="7"/>
        <item x="9"/>
        <item x="0"/>
        <item x="6"/>
        <item x="11"/>
        <item x="15"/>
        <item x="12"/>
        <item x="2"/>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1"/>
  </rowFields>
  <rowItems count="51">
    <i>
      <x v="9"/>
      <x v="38"/>
    </i>
    <i r="1">
      <x v="46"/>
    </i>
    <i r="1">
      <x v="18"/>
    </i>
    <i r="1">
      <x/>
    </i>
    <i r="1">
      <x v="39"/>
    </i>
    <i r="1">
      <x v="12"/>
    </i>
    <i r="1">
      <x v="43"/>
    </i>
    <i r="1">
      <x v="36"/>
    </i>
    <i r="1">
      <x v="40"/>
    </i>
    <i r="1">
      <x v="14"/>
    </i>
    <i r="1">
      <x v="32"/>
    </i>
    <i r="1">
      <x v="31"/>
    </i>
    <i>
      <x v="4"/>
      <x v="16"/>
    </i>
    <i r="1">
      <x v="11"/>
    </i>
    <i r="1">
      <x v="6"/>
    </i>
    <i r="1">
      <x v="3"/>
    </i>
    <i>
      <x v="7"/>
      <x v="23"/>
    </i>
    <i r="1">
      <x v="21"/>
    </i>
    <i r="1">
      <x v="42"/>
    </i>
    <i r="1">
      <x v="24"/>
    </i>
    <i r="1">
      <x v="8"/>
    </i>
    <i r="1">
      <x v="37"/>
    </i>
    <i r="1">
      <x v="33"/>
    </i>
    <i>
      <x v="6"/>
      <x v="5"/>
    </i>
    <i r="1">
      <x v="26"/>
    </i>
    <i>
      <x v="11"/>
      <x v="13"/>
    </i>
    <i r="1">
      <x v="20"/>
    </i>
    <i r="1">
      <x v="25"/>
    </i>
    <i r="1">
      <x v="9"/>
    </i>
    <i>
      <x/>
      <x v="27"/>
    </i>
    <i r="1">
      <x v="4"/>
    </i>
    <i r="1">
      <x v="48"/>
    </i>
    <i r="1">
      <x v="28"/>
    </i>
    <i>
      <x v="5"/>
      <x v="44"/>
    </i>
    <i r="1">
      <x v="15"/>
    </i>
    <i r="1">
      <x v="19"/>
    </i>
    <i>
      <x v="1"/>
      <x v="7"/>
    </i>
    <i r="1">
      <x v="49"/>
    </i>
    <i>
      <x v="15"/>
      <x v="10"/>
    </i>
    <i>
      <x v="16"/>
      <x v="45"/>
    </i>
    <i r="1">
      <x v="34"/>
    </i>
    <i r="1">
      <x v="35"/>
    </i>
    <i>
      <x v="10"/>
      <x v="17"/>
    </i>
    <i>
      <x v="2"/>
      <x v="29"/>
    </i>
    <i>
      <x v="12"/>
      <x v="2"/>
    </i>
    <i>
      <x v="8"/>
      <x v="47"/>
    </i>
    <i>
      <x v="3"/>
      <x v="1"/>
    </i>
    <i r="1">
      <x v="30"/>
    </i>
    <i>
      <x v="14"/>
      <x v="41"/>
    </i>
    <i>
      <x v="13"/>
      <x v="22"/>
    </i>
    <i t="grand">
      <x/>
    </i>
  </rowItems>
  <colItems count="1">
    <i/>
  </colItems>
  <dataFields count="1">
    <dataField name="Total Unit Price (PHP)" fld="3" baseField="0" baseItem="0" numFmtId="164"/>
  </dataFields>
  <formats count="4">
    <format dxfId="33">
      <pivotArea outline="0" collapsedLevelsAreSubtotals="1" fieldPosition="0"/>
    </format>
    <format dxfId="32">
      <pivotArea dataOnly="0" labelOnly="1" outline="0" fieldPosition="0">
        <references count="1">
          <reference field="4294967294" count="1">
            <x v="0"/>
          </reference>
        </references>
      </pivotArea>
    </format>
    <format dxfId="31">
      <pivotArea dataOnly="0" labelOnly="1" outline="0" fieldPosition="0">
        <references count="1">
          <reference field="4294967294" count="1">
            <x v="0"/>
          </reference>
        </references>
      </pivotArea>
    </format>
    <format dxfId="0">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B32B80-12BC-42E4-B5C9-96213A13718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L3:O21" firstHeaderRow="0" firstDataRow="1" firstDataCol="1"/>
  <pivotFields count="10">
    <pivotField showAll="0"/>
    <pivotField dataField="1" showAll="0"/>
    <pivotField axis="axisRow" showAll="0" sortType="descending">
      <items count="18">
        <item x="8"/>
        <item x="4"/>
        <item x="3"/>
        <item x="13"/>
        <item x="10"/>
        <item x="14"/>
        <item x="16"/>
        <item x="1"/>
        <item x="5"/>
        <item x="7"/>
        <item x="9"/>
        <item x="0"/>
        <item x="6"/>
        <item x="11"/>
        <item x="15"/>
        <item x="12"/>
        <item x="2"/>
        <item t="default"/>
      </items>
      <autoSortScope>
        <pivotArea dataOnly="0" outline="0" fieldPosition="0">
          <references count="1">
            <reference field="4294967294" count="1" selected="0">
              <x v="1"/>
            </reference>
          </references>
        </pivotArea>
      </autoSortScope>
    </pivotField>
    <pivotField dataField="1" numFmtId="164" showAll="0"/>
    <pivotField showAll="0"/>
    <pivotField showAll="0"/>
    <pivotField showAll="0"/>
    <pivotField showAll="0"/>
    <pivotField showAll="0"/>
    <pivotField showAll="0"/>
  </pivotFields>
  <rowFields count="1">
    <field x="2"/>
  </rowFields>
  <rowItems count="18">
    <i>
      <x v="9"/>
    </i>
    <i>
      <x v="4"/>
    </i>
    <i>
      <x v="7"/>
    </i>
    <i>
      <x v="6"/>
    </i>
    <i>
      <x v="11"/>
    </i>
    <i>
      <x/>
    </i>
    <i>
      <x v="5"/>
    </i>
    <i>
      <x v="1"/>
    </i>
    <i>
      <x v="15"/>
    </i>
    <i>
      <x v="16"/>
    </i>
    <i>
      <x v="10"/>
    </i>
    <i>
      <x v="2"/>
    </i>
    <i>
      <x v="12"/>
    </i>
    <i>
      <x v="8"/>
    </i>
    <i>
      <x v="3"/>
    </i>
    <i>
      <x v="14"/>
    </i>
    <i>
      <x v="13"/>
    </i>
    <i t="grand">
      <x/>
    </i>
  </rowItems>
  <colFields count="1">
    <field x="-2"/>
  </colFields>
  <colItems count="3">
    <i>
      <x/>
    </i>
    <i i="1">
      <x v="1"/>
    </i>
    <i i="2">
      <x v="2"/>
    </i>
  </colItems>
  <dataFields count="3">
    <dataField name="Product Count" fld="1" subtotal="count" baseField="0" baseItem="0"/>
    <dataField name="Total Unit Price (PHP)" fld="3" baseField="0" baseItem="0" numFmtId="164"/>
    <dataField name="Average Unit Price (PHP)" fld="3" subtotal="average" baseField="2" baseItem="0" numFmtId="164"/>
  </dataFields>
  <formats count="6">
    <format dxfId="38">
      <pivotArea outline="0" collapsedLevelsAreSubtotals="1" fieldPosition="0"/>
    </format>
    <format dxfId="37">
      <pivotArea dataOnly="0" labelOnly="1" outline="0" fieldPosition="0">
        <references count="1">
          <reference field="4294967294" count="1">
            <x v="2"/>
          </reference>
        </references>
      </pivotArea>
    </format>
    <format dxfId="36">
      <pivotArea dataOnly="0" labelOnly="1" outline="0" fieldPosition="0">
        <references count="1">
          <reference field="4294967294" count="1">
            <x v="1"/>
          </reference>
        </references>
      </pivotArea>
    </format>
    <format dxfId="35">
      <pivotArea dataOnly="0" labelOnly="1" outline="0" fieldPosition="0">
        <references count="1">
          <reference field="4294967294" count="1">
            <x v="1"/>
          </reference>
        </references>
      </pivotArea>
    </format>
    <format dxfId="34">
      <pivotArea dataOnly="0" labelOnly="1" outline="0" fieldPosition="0">
        <references count="1">
          <reference field="4294967294" count="1">
            <x v="0"/>
          </reference>
        </references>
      </pivotArea>
    </format>
    <format dxfId="1">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9DBC54-BF35-4A20-9327-767E77FD97C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H10:I15" firstHeaderRow="1" firstDataRow="1" firstDataCol="1"/>
  <pivotFields count="10">
    <pivotField showAll="0"/>
    <pivotField showAll="0"/>
    <pivotField dataField="1" showAll="0"/>
    <pivotField numFmtId="164" showAll="0"/>
    <pivotField showAll="0"/>
    <pivotField showAll="0"/>
    <pivotField showAll="0"/>
    <pivotField showAll="0"/>
    <pivotField showAll="0"/>
    <pivotField axis="axisRow" showAll="0">
      <items count="5">
        <item x="2"/>
        <item x="3"/>
        <item x="0"/>
        <item x="1"/>
        <item t="default"/>
      </items>
    </pivotField>
  </pivotFields>
  <rowFields count="1">
    <field x="9"/>
  </rowFields>
  <rowItems count="5">
    <i>
      <x/>
    </i>
    <i>
      <x v="1"/>
    </i>
    <i>
      <x v="2"/>
    </i>
    <i>
      <x v="3"/>
    </i>
    <i t="grand">
      <x/>
    </i>
  </rowItems>
  <colItems count="1">
    <i/>
  </colItems>
  <dataFields count="1">
    <dataField name="Acquisition" fld="2" subtotal="count" baseField="0" baseItem="0"/>
  </dataFields>
  <formats count="3">
    <format dxfId="40">
      <pivotArea outline="0" collapsedLevelsAreSubtotals="1" fieldPosition="0"/>
    </format>
    <format dxfId="39">
      <pivotArea dataOnly="0" labelOnly="1" outline="0" axis="axisValues" fieldPosition="0"/>
    </format>
    <format dxfId="2">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30A52CC-33DD-4E9A-B92F-E08A14D06ED9}" sourceName="Month">
  <pivotTables>
    <pivotTable tabId="5" name="PivotTable2"/>
    <pivotTable tabId="5" name="PivotTable3"/>
    <pivotTable tabId="5" name="PivotTable4"/>
    <pivotTable tabId="5" name="PivotTable6"/>
    <pivotTable tabId="5" name="PivotTable7"/>
    <pivotTable tabId="5" name="PivotTable8"/>
    <pivotTable tabId="5" name="PivotTable9"/>
  </pivotTables>
  <data>
    <tabular pivotCacheId="18365698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EE7EBEE-F700-461E-B0FB-CAF13B16A047}" sourceName="Year">
  <pivotTables>
    <pivotTable tabId="5" name="PivotTable2"/>
    <pivotTable tabId="5" name="PivotTable3"/>
    <pivotTable tabId="5" name="PivotTable4"/>
    <pivotTable tabId="5" name="PivotTable6"/>
    <pivotTable tabId="5" name="PivotTable7"/>
    <pivotTable tabId="5" name="PivotTable8"/>
    <pivotTable tabId="5" name="PivotTable9"/>
  </pivotTables>
  <data>
    <tabular pivotCacheId="1836569847">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Type" xr10:uid="{B9ABB498-EDBC-438E-967A-41B3C156B7AA}" sourceName="Client_Type">
  <pivotTables>
    <pivotTable tabId="5" name="PivotTable2"/>
    <pivotTable tabId="5" name="PivotTable3"/>
    <pivotTable tabId="5" name="PivotTable4"/>
    <pivotTable tabId="5" name="PivotTable6"/>
    <pivotTable tabId="5" name="PivotTable7"/>
    <pivotTable tabId="5" name="PivotTable8"/>
    <pivotTable tabId="5" name="PivotTable9"/>
  </pivotTables>
  <data>
    <tabular pivotCacheId="1836569847">
      <items count="3">
        <i x="0" s="1"/>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F6B0821E-648A-47B0-A88C-59C906622689}" sourceName="Payment">
  <pivotTables>
    <pivotTable tabId="5" name="PivotTable2"/>
    <pivotTable tabId="5" name="PivotTable3"/>
    <pivotTable tabId="5" name="PivotTable4"/>
    <pivotTable tabId="5" name="PivotTable6"/>
    <pivotTable tabId="5" name="PivotTable7"/>
    <pivotTable tabId="5" name="PivotTable8"/>
    <pivotTable tabId="5" name="PivotTable9"/>
  </pivotTables>
  <data>
    <tabular pivotCacheId="1836569847">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D37D96F-023F-4609-9A79-1B68055C5726}" cache="Slicer_Month" caption="Month" rowHeight="225425"/>
  <slicer name="Year" xr10:uid="{DAB39A80-5141-41A1-ADC0-75573784A6A9}" cache="Slicer_Year" caption="Year" rowHeight="225425"/>
  <slicer name="Client_Type" xr10:uid="{98190E10-EA3F-47D4-9F6C-E98447B24368}" cache="Slicer_Client_Type" caption="Client_Type" columnCount="2" rowHeight="225425"/>
  <slicer name="Payment" xr10:uid="{0549F3B2-8B35-427C-AD78-59228A7609AD}" cache="Slicer_Payment" caption="Payment" columnCount="3"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018DF-FDC4-46FA-8FD9-E986DD6CD677}" name="MotorPHSales" displayName="MotorPHSales" ref="A1:Q991" totalsRowShown="0" headerRowDxfId="29" dataDxfId="28" headerRowCellStyle="Normal 2" dataCellStyle="Normal 2">
  <tableColumns count="17">
    <tableColumn id="1" xr3:uid="{B4A5AC38-CB2E-46DF-B92C-5CC88BA23968}" name="Date" dataDxfId="27" dataCellStyle="Normal 2"/>
    <tableColumn id="13" xr3:uid="{371301DF-F92D-4BEC-BADD-BD275278C0F2}" name="Month" dataDxfId="26" dataCellStyle="Normal 2">
      <calculatedColumnFormula>TEXT(MotorPHSales[[#This Row],[Date]],"mmmm")</calculatedColumnFormula>
    </tableColumn>
    <tableColumn id="16" xr3:uid="{2E842406-1102-42CF-AB82-983C725B1C00}" name="Day" dataDxfId="25" dataCellStyle="Normal 2">
      <calculatedColumnFormula>DAY(MotorPHSales[[#This Row],[Date]])</calculatedColumnFormula>
    </tableColumn>
    <tableColumn id="15" xr3:uid="{D71EC098-3CB0-45A8-9A7A-46750DBCC387}" name="Year" dataDxfId="24" dataCellStyle="Normal 2">
      <calculatedColumnFormula>YEAR(MotorPHSales[[#This Row],[Date]])</calculatedColumnFormula>
    </tableColumn>
    <tableColumn id="2" xr3:uid="{EC71D550-5B8E-4AD9-BD15-44D2596DC5E4}" name="Client_Type" dataDxfId="23" dataCellStyle="Normal 2"/>
    <tableColumn id="3" xr3:uid="{6AD3BE34-5EB7-440D-B12C-67AED6FDE41C}" name="Product" dataDxfId="22" dataCellStyle="Normal 2"/>
    <tableColumn id="4" xr3:uid="{F96D5325-F7F6-4902-BF49-249F9AC20E2D}" name="UnitPrice" dataDxfId="21" dataCellStyle="Normal 2"/>
    <tableColumn id="5" xr3:uid="{B9C57CF3-5F4A-4A4F-9C1C-ACD3FDD2D8F8}" name="Quantity" dataDxfId="20" dataCellStyle="Normal 2"/>
    <tableColumn id="6" xr3:uid="{3814E0E7-CE12-4B1F-A13E-553C9BE3D759}" name="Total" dataDxfId="19" dataCellStyle="Normal 2"/>
    <tableColumn id="7" xr3:uid="{FDB96717-7299-4D23-BB86-C9748B3D11CE}" name="Payment" dataDxfId="18" dataCellStyle="Normal 2"/>
    <tableColumn id="8" xr3:uid="{98E6D457-29C5-4F65-A880-D80F628F7112}" name="Product Type" dataDxfId="17" dataCellStyle="Normal 2">
      <calculatedColumnFormula>INDEX(CLEANED_MotorPH_Products_List_2!C:C,MATCH(MotorPHSales[[#This Row],[Product]],CLEANED_MotorPH_Products_List_2!$B:$B,0))</calculatedColumnFormula>
    </tableColumn>
    <tableColumn id="9" xr3:uid="{F956162A-1E3C-44A8-B9A6-688440E752EC}" name="Engine Type" dataDxfId="16" dataCellStyle="Normal 2">
      <calculatedColumnFormula>INDEX(CLEANED_MotorPH_Products_List_2!E:E,MATCH(MotorPHSales[[#This Row],[Product]],CLEANED_MotorPH_Products_List_2!$B:$B,0))</calculatedColumnFormula>
    </tableColumn>
    <tableColumn id="10" xr3:uid="{2CAAE38E-969B-4261-9A50-2FBD2CFB7CAA}" name="Cooling System" dataDxfId="15" dataCellStyle="Normal 2">
      <calculatedColumnFormula>INDEX(CLEANED_MotorPH_Products_List_2!F:F,MATCH(MotorPHSales[[#This Row],[Product]],CLEANED_MotorPH_Products_List_2!$B:$B,0))</calculatedColumnFormula>
    </tableColumn>
    <tableColumn id="11" xr3:uid="{52514042-B9FB-4E1F-8613-A8F055A32016}" name="Displacement (cc)" dataDxfId="14" dataCellStyle="Normal 2">
      <calculatedColumnFormula>INDEX(CLEANED_MotorPH_Products_List_2!G:G,MATCH(MotorPHSales[[#This Row],[Product]],CLEANED_MotorPH_Products_List_2!$B:$B,0))</calculatedColumnFormula>
    </tableColumn>
    <tableColumn id="17" xr3:uid="{9D86888E-DC57-4C0D-AFE8-A7AAEEE92C8D}" name="Segment" dataDxfId="13" dataCellStyle="Normal 2">
      <calculatedColumnFormula>INDEX(CLEANED_MotorPH_Products_List_2!K:K,MATCH(MotorPHSales[[#This Row],[Product]],CLEANED_MotorPH_Products_List_2!B:B,0))</calculatedColumnFormula>
    </tableColumn>
    <tableColumn id="18" xr3:uid="{CF4CF0D6-2675-4435-8E39-2BA451D17DA3}" name="Mark up Rate" dataDxfId="12" dataCellStyle="Normal 2">
      <calculatedColumnFormula>IF(MotorPHSales[[#This Row],[Segment]]="Entry-level",MotorPHSales[[#This Row],[UnitPrice]]/(1+30%),IF(MotorPHSales[[#This Row],[Segment]]="Mid-range",MotorPHSales[[#This Row],[UnitPrice]]/(1+35%),MotorPHSales[[#This Row],[UnitPrice]]/(1+40%)))*MotorPHSales[[#This Row],[Quantity]]</calculatedColumnFormula>
    </tableColumn>
    <tableColumn id="12" xr3:uid="{5EDC3A82-7789-4585-9A06-D7AB23D16CB9}" name="Transmission" dataDxfId="11" dataCellStyle="Normal 2">
      <calculatedColumnFormula>INDEX(CLEANED_MotorPH_Products_List_2!H:H,MATCH(MotorPHSales[[#This Row],[Product]],CLEANED_MotorPH_Products_List_2!$B:$B,0))</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workbookViewId="0"/>
  </sheetViews>
  <sheetFormatPr defaultColWidth="12.5703125" defaultRowHeight="15.75" customHeight="1" x14ac:dyDescent="0.2"/>
  <cols>
    <col min="2" max="2" width="29.5703125" customWidth="1"/>
    <col min="3" max="3" width="59.42578125" customWidth="1"/>
    <col min="4" max="4" width="19.42578125" customWidth="1"/>
  </cols>
  <sheetData>
    <row r="1" spans="1:7" x14ac:dyDescent="0.2">
      <c r="A1" s="1" t="s">
        <v>0</v>
      </c>
      <c r="B1" s="1" t="s">
        <v>1</v>
      </c>
      <c r="C1" s="1" t="s">
        <v>2</v>
      </c>
      <c r="D1" s="1" t="s">
        <v>3</v>
      </c>
      <c r="E1" s="1" t="s">
        <v>4</v>
      </c>
      <c r="F1" s="1" t="s">
        <v>5</v>
      </c>
      <c r="G1" s="1"/>
    </row>
    <row r="2" spans="1:7" x14ac:dyDescent="0.2">
      <c r="A2" s="1">
        <v>1</v>
      </c>
      <c r="B2" s="1" t="s">
        <v>6</v>
      </c>
      <c r="C2" s="1" t="s">
        <v>7</v>
      </c>
      <c r="D2" s="1">
        <v>2021</v>
      </c>
      <c r="E2" s="1">
        <v>2023</v>
      </c>
      <c r="F2" s="1">
        <v>389000</v>
      </c>
      <c r="G2" s="1"/>
    </row>
    <row r="3" spans="1:7" x14ac:dyDescent="0.2">
      <c r="A3" s="1">
        <v>2</v>
      </c>
      <c r="B3" s="1" t="s">
        <v>8</v>
      </c>
      <c r="C3" s="1" t="s">
        <v>9</v>
      </c>
      <c r="D3" s="1">
        <v>2022</v>
      </c>
      <c r="E3" s="1">
        <v>2023</v>
      </c>
      <c r="F3" s="1">
        <v>178000</v>
      </c>
      <c r="G3" s="1"/>
    </row>
    <row r="4" spans="1:7" x14ac:dyDescent="0.2">
      <c r="A4" s="1">
        <v>3</v>
      </c>
      <c r="B4" s="1" t="s">
        <v>10</v>
      </c>
      <c r="C4" s="1" t="s">
        <v>11</v>
      </c>
      <c r="D4" s="1">
        <v>2023</v>
      </c>
      <c r="E4" s="1">
        <v>2024</v>
      </c>
      <c r="F4" s="1">
        <v>340000</v>
      </c>
      <c r="G4" s="1"/>
    </row>
    <row r="5" spans="1:7" x14ac:dyDescent="0.2">
      <c r="A5" s="1">
        <v>4</v>
      </c>
      <c r="B5" s="1" t="s">
        <v>12</v>
      </c>
      <c r="C5" s="1" t="s">
        <v>13</v>
      </c>
      <c r="D5" s="1">
        <v>2020</v>
      </c>
      <c r="E5" s="1">
        <v>2021</v>
      </c>
      <c r="F5" s="1">
        <v>119900</v>
      </c>
      <c r="G5" s="1"/>
    </row>
    <row r="6" spans="1:7" x14ac:dyDescent="0.2">
      <c r="A6" s="1">
        <v>5</v>
      </c>
      <c r="B6" s="1" t="s">
        <v>14</v>
      </c>
      <c r="C6" s="1" t="s">
        <v>15</v>
      </c>
      <c r="D6" s="1">
        <v>2022</v>
      </c>
      <c r="E6" s="1">
        <v>2023</v>
      </c>
      <c r="F6" s="1">
        <v>250000</v>
      </c>
      <c r="G6" s="1"/>
    </row>
    <row r="7" spans="1:7" x14ac:dyDescent="0.2">
      <c r="A7" s="1">
        <v>6</v>
      </c>
      <c r="B7" s="1" t="s">
        <v>16</v>
      </c>
      <c r="C7" s="1" t="s">
        <v>17</v>
      </c>
      <c r="D7" s="1">
        <v>2021</v>
      </c>
      <c r="E7" s="1">
        <v>2022</v>
      </c>
      <c r="F7" s="1">
        <v>165000</v>
      </c>
      <c r="G7" s="1"/>
    </row>
    <row r="8" spans="1:7" x14ac:dyDescent="0.2">
      <c r="A8" s="1">
        <v>7</v>
      </c>
      <c r="B8" s="1" t="s">
        <v>18</v>
      </c>
      <c r="C8" s="1" t="s">
        <v>19</v>
      </c>
      <c r="D8" s="1">
        <v>2022</v>
      </c>
      <c r="E8" s="1">
        <v>2023</v>
      </c>
      <c r="F8" s="1">
        <v>328000</v>
      </c>
      <c r="G8" s="1"/>
    </row>
    <row r="9" spans="1:7" x14ac:dyDescent="0.2">
      <c r="A9" s="1">
        <v>8</v>
      </c>
      <c r="B9" s="1" t="s">
        <v>20</v>
      </c>
      <c r="C9" s="1" t="s">
        <v>21</v>
      </c>
      <c r="D9" s="1">
        <v>2023</v>
      </c>
      <c r="E9" s="1">
        <v>2024</v>
      </c>
      <c r="F9" s="1">
        <v>178000</v>
      </c>
      <c r="G9" s="1"/>
    </row>
    <row r="10" spans="1:7" x14ac:dyDescent="0.2">
      <c r="A10" s="1">
        <v>9</v>
      </c>
      <c r="B10" s="1" t="s">
        <v>22</v>
      </c>
      <c r="C10" s="1" t="s">
        <v>23</v>
      </c>
      <c r="D10" s="1">
        <v>2022</v>
      </c>
      <c r="E10" s="1">
        <v>2023</v>
      </c>
      <c r="F10" s="1">
        <v>182000</v>
      </c>
      <c r="G10" s="1"/>
    </row>
    <row r="11" spans="1:7" x14ac:dyDescent="0.2">
      <c r="A11" s="1">
        <v>10</v>
      </c>
      <c r="B11" s="1" t="s">
        <v>24</v>
      </c>
      <c r="C11" s="1" t="s">
        <v>25</v>
      </c>
      <c r="D11" s="1">
        <v>2021</v>
      </c>
      <c r="E11" s="1">
        <v>2022</v>
      </c>
      <c r="F11" s="1">
        <v>199900</v>
      </c>
      <c r="G11" s="1"/>
    </row>
    <row r="12" spans="1:7" x14ac:dyDescent="0.2">
      <c r="A12" s="1">
        <v>11</v>
      </c>
      <c r="B12" s="1" t="s">
        <v>26</v>
      </c>
      <c r="C12" s="1" t="s">
        <v>27</v>
      </c>
      <c r="D12" s="1">
        <v>2022</v>
      </c>
      <c r="E12" s="1">
        <v>2023</v>
      </c>
      <c r="F12" s="1">
        <v>151900</v>
      </c>
      <c r="G12" s="1"/>
    </row>
    <row r="13" spans="1:7" x14ac:dyDescent="0.2">
      <c r="A13" s="1">
        <v>12</v>
      </c>
      <c r="B13" s="1" t="s">
        <v>28</v>
      </c>
      <c r="C13" s="1" t="s">
        <v>29</v>
      </c>
      <c r="D13" s="1">
        <v>2023</v>
      </c>
      <c r="E13" s="1">
        <v>2024</v>
      </c>
      <c r="F13" s="1">
        <v>164900</v>
      </c>
      <c r="G13" s="1"/>
    </row>
    <row r="14" spans="1:7" x14ac:dyDescent="0.2">
      <c r="A14" s="1">
        <v>13</v>
      </c>
      <c r="B14" s="1" t="s">
        <v>30</v>
      </c>
      <c r="C14" s="1" t="s">
        <v>31</v>
      </c>
      <c r="D14" s="1">
        <v>2023</v>
      </c>
      <c r="E14" s="1">
        <v>2024</v>
      </c>
      <c r="F14" s="1">
        <v>79900</v>
      </c>
      <c r="G14" s="1"/>
    </row>
    <row r="15" spans="1:7" x14ac:dyDescent="0.2">
      <c r="A15" s="1">
        <v>14</v>
      </c>
      <c r="B15" s="1" t="s">
        <v>32</v>
      </c>
      <c r="C15" s="1" t="s">
        <v>33</v>
      </c>
      <c r="D15" s="1">
        <v>2021</v>
      </c>
      <c r="E15" s="1">
        <v>2022</v>
      </c>
      <c r="F15" s="1">
        <v>198000</v>
      </c>
      <c r="G15" s="1"/>
    </row>
    <row r="16" spans="1:7" x14ac:dyDescent="0.2">
      <c r="A16" s="1">
        <v>15</v>
      </c>
      <c r="B16" s="1" t="s">
        <v>34</v>
      </c>
      <c r="C16" s="1" t="s">
        <v>35</v>
      </c>
      <c r="D16" s="1">
        <v>2023</v>
      </c>
      <c r="E16" s="1">
        <v>2024</v>
      </c>
      <c r="F16" s="1">
        <v>320000</v>
      </c>
      <c r="G16" s="1"/>
    </row>
    <row r="17" spans="1:7" x14ac:dyDescent="0.2">
      <c r="A17" s="1">
        <v>16</v>
      </c>
      <c r="B17" s="1" t="s">
        <v>36</v>
      </c>
      <c r="C17" s="1" t="s">
        <v>37</v>
      </c>
      <c r="D17" s="1">
        <v>2022</v>
      </c>
      <c r="E17" s="1">
        <v>2023</v>
      </c>
      <c r="F17" s="1">
        <v>129000</v>
      </c>
      <c r="G17" s="1"/>
    </row>
    <row r="18" spans="1:7" x14ac:dyDescent="0.2">
      <c r="A18" s="1">
        <v>17</v>
      </c>
      <c r="B18" s="1" t="s">
        <v>38</v>
      </c>
      <c r="C18" s="1" t="s">
        <v>39</v>
      </c>
      <c r="D18" s="1">
        <v>2023</v>
      </c>
      <c r="E18" s="1">
        <v>2024</v>
      </c>
      <c r="F18" s="1">
        <v>295000</v>
      </c>
      <c r="G18" s="1"/>
    </row>
    <row r="19" spans="1:7" x14ac:dyDescent="0.2">
      <c r="A19" s="1">
        <v>18</v>
      </c>
      <c r="B19" s="1" t="s">
        <v>40</v>
      </c>
      <c r="C19" s="1" t="s">
        <v>41</v>
      </c>
      <c r="D19" s="1">
        <v>2022</v>
      </c>
      <c r="E19" s="1">
        <v>2023</v>
      </c>
      <c r="F19" s="1">
        <v>210000</v>
      </c>
      <c r="G19" s="1"/>
    </row>
    <row r="20" spans="1:7" x14ac:dyDescent="0.2">
      <c r="A20" s="1">
        <v>19</v>
      </c>
      <c r="B20" s="1" t="s">
        <v>42</v>
      </c>
      <c r="C20" s="1" t="s">
        <v>43</v>
      </c>
      <c r="D20" s="1">
        <v>2021</v>
      </c>
      <c r="E20" s="1">
        <v>2022</v>
      </c>
      <c r="F20" s="1">
        <v>125000</v>
      </c>
      <c r="G20" s="1"/>
    </row>
    <row r="21" spans="1:7" x14ac:dyDescent="0.2">
      <c r="A21" s="1">
        <v>20</v>
      </c>
      <c r="B21" s="1" t="s">
        <v>44</v>
      </c>
      <c r="C21" s="1" t="s">
        <v>45</v>
      </c>
      <c r="D21" s="1">
        <v>2023</v>
      </c>
      <c r="E21" s="1">
        <v>2024</v>
      </c>
      <c r="F21" s="1">
        <v>331000</v>
      </c>
      <c r="G21" s="1"/>
    </row>
    <row r="22" spans="1:7" x14ac:dyDescent="0.2">
      <c r="A22" s="1">
        <v>21</v>
      </c>
      <c r="B22" s="1" t="s">
        <v>46</v>
      </c>
      <c r="C22" s="1" t="s">
        <v>27</v>
      </c>
      <c r="D22" s="1">
        <v>2022</v>
      </c>
      <c r="E22" s="1">
        <v>2023</v>
      </c>
      <c r="F22" s="1">
        <v>124000</v>
      </c>
      <c r="G22" s="1"/>
    </row>
    <row r="23" spans="1:7" x14ac:dyDescent="0.2">
      <c r="A23" s="1">
        <v>22</v>
      </c>
      <c r="B23" s="1" t="s">
        <v>47</v>
      </c>
      <c r="C23" s="1" t="s">
        <v>48</v>
      </c>
      <c r="D23" s="1">
        <v>2022</v>
      </c>
      <c r="E23" s="1">
        <v>2023</v>
      </c>
      <c r="F23" s="1">
        <v>398000</v>
      </c>
      <c r="G23" s="1"/>
    </row>
    <row r="24" spans="1:7" x14ac:dyDescent="0.2">
      <c r="A24" s="1">
        <v>23</v>
      </c>
      <c r="B24" s="1" t="s">
        <v>49</v>
      </c>
      <c r="C24" s="1" t="s">
        <v>50</v>
      </c>
      <c r="D24" s="1">
        <v>2021</v>
      </c>
      <c r="E24" s="1">
        <v>2022</v>
      </c>
      <c r="F24" s="1">
        <v>68900</v>
      </c>
      <c r="G24" s="1"/>
    </row>
    <row r="25" spans="1:7" x14ac:dyDescent="0.2">
      <c r="A25" s="1">
        <v>24</v>
      </c>
      <c r="B25" s="1" t="s">
        <v>51</v>
      </c>
      <c r="C25" s="1" t="s">
        <v>52</v>
      </c>
      <c r="D25" s="1">
        <v>2020</v>
      </c>
      <c r="E25" s="1">
        <v>2021</v>
      </c>
      <c r="F25" s="1">
        <v>78900</v>
      </c>
      <c r="G25" s="1"/>
    </row>
    <row r="26" spans="1:7" x14ac:dyDescent="0.2">
      <c r="A26" s="1">
        <v>25</v>
      </c>
      <c r="B26" s="1" t="s">
        <v>53</v>
      </c>
      <c r="C26" s="1" t="s">
        <v>54</v>
      </c>
      <c r="D26" s="1">
        <v>2023</v>
      </c>
      <c r="E26" s="1">
        <v>2024</v>
      </c>
      <c r="F26" s="1">
        <v>345000</v>
      </c>
      <c r="G26" s="1"/>
    </row>
    <row r="27" spans="1:7" x14ac:dyDescent="0.2">
      <c r="A27" s="1">
        <v>26</v>
      </c>
      <c r="B27" s="1" t="s">
        <v>55</v>
      </c>
      <c r="C27" s="1" t="s">
        <v>56</v>
      </c>
      <c r="D27" s="1">
        <v>2022</v>
      </c>
      <c r="E27" s="1">
        <v>2023</v>
      </c>
      <c r="F27" s="1">
        <v>80900</v>
      </c>
      <c r="G27" s="1"/>
    </row>
    <row r="28" spans="1:7" x14ac:dyDescent="0.2">
      <c r="A28" s="1">
        <v>27</v>
      </c>
      <c r="B28" s="1" t="s">
        <v>57</v>
      </c>
      <c r="C28" s="1" t="s">
        <v>58</v>
      </c>
      <c r="D28" s="1">
        <v>2023</v>
      </c>
      <c r="E28" s="1">
        <v>2024</v>
      </c>
      <c r="F28" s="1">
        <v>125900</v>
      </c>
      <c r="G28" s="1"/>
    </row>
    <row r="29" spans="1:7" x14ac:dyDescent="0.2">
      <c r="A29" s="1">
        <v>28</v>
      </c>
      <c r="B29" s="1" t="s">
        <v>59</v>
      </c>
      <c r="C29" s="1" t="s">
        <v>60</v>
      </c>
      <c r="D29" s="1">
        <v>2021</v>
      </c>
      <c r="E29" s="1">
        <v>2022</v>
      </c>
      <c r="F29" s="1">
        <v>67900</v>
      </c>
      <c r="G29" s="1"/>
    </row>
    <row r="30" spans="1:7" x14ac:dyDescent="0.2">
      <c r="A30" s="1">
        <v>29</v>
      </c>
      <c r="B30" s="1" t="s">
        <v>61</v>
      </c>
      <c r="C30" s="1" t="s">
        <v>62</v>
      </c>
      <c r="D30" s="1">
        <v>2023</v>
      </c>
      <c r="E30" s="1">
        <v>2024</v>
      </c>
      <c r="F30" s="1">
        <v>284900</v>
      </c>
      <c r="G30" s="1"/>
    </row>
    <row r="31" spans="1:7" x14ac:dyDescent="0.2">
      <c r="A31" s="1">
        <v>30</v>
      </c>
      <c r="B31" s="1" t="s">
        <v>63</v>
      </c>
      <c r="C31" s="1" t="s">
        <v>60</v>
      </c>
      <c r="D31" s="1">
        <v>2020</v>
      </c>
      <c r="E31" s="1">
        <v>2021</v>
      </c>
      <c r="F31" s="1">
        <v>48000</v>
      </c>
      <c r="G31" s="1"/>
    </row>
    <row r="32" spans="1:7" x14ac:dyDescent="0.2">
      <c r="A32" s="1">
        <v>31</v>
      </c>
      <c r="B32" s="1" t="s">
        <v>64</v>
      </c>
      <c r="C32" s="1" t="s">
        <v>65</v>
      </c>
      <c r="D32" s="1">
        <v>2022</v>
      </c>
      <c r="E32" s="1">
        <v>2023</v>
      </c>
      <c r="F32" s="1">
        <v>128000</v>
      </c>
      <c r="G32" s="1"/>
    </row>
    <row r="33" spans="1:7" x14ac:dyDescent="0.2">
      <c r="A33" s="1">
        <v>32</v>
      </c>
      <c r="B33" s="1" t="s">
        <v>66</v>
      </c>
      <c r="C33" s="1" t="s">
        <v>67</v>
      </c>
      <c r="D33" s="1">
        <v>2020</v>
      </c>
      <c r="E33" s="1">
        <v>2021</v>
      </c>
      <c r="F33" s="1">
        <v>499000</v>
      </c>
      <c r="G33" s="1"/>
    </row>
    <row r="34" spans="1:7" x14ac:dyDescent="0.2">
      <c r="A34" s="1">
        <v>33</v>
      </c>
      <c r="B34" s="1" t="s">
        <v>68</v>
      </c>
      <c r="C34" s="1" t="s">
        <v>69</v>
      </c>
      <c r="D34" s="1">
        <v>2023</v>
      </c>
      <c r="E34" s="1">
        <v>2024</v>
      </c>
      <c r="F34" s="1">
        <v>248000</v>
      </c>
      <c r="G34" s="1"/>
    </row>
    <row r="35" spans="1:7" x14ac:dyDescent="0.2">
      <c r="A35" s="1">
        <v>34</v>
      </c>
      <c r="B35" s="1" t="s">
        <v>70</v>
      </c>
      <c r="C35" s="1" t="s">
        <v>71</v>
      </c>
      <c r="D35" s="1">
        <v>2023</v>
      </c>
      <c r="E35" s="1">
        <v>2024</v>
      </c>
      <c r="F35" s="1">
        <v>219000</v>
      </c>
      <c r="G35" s="1"/>
    </row>
    <row r="36" spans="1:7" x14ac:dyDescent="0.2">
      <c r="A36" s="1">
        <v>35</v>
      </c>
      <c r="B36" s="1" t="s">
        <v>72</v>
      </c>
      <c r="C36" s="1" t="s">
        <v>73</v>
      </c>
      <c r="D36" s="1">
        <v>2022</v>
      </c>
      <c r="E36" s="1">
        <v>2023</v>
      </c>
      <c r="F36" s="1">
        <v>319000</v>
      </c>
      <c r="G36" s="1"/>
    </row>
    <row r="37" spans="1:7" x14ac:dyDescent="0.2">
      <c r="A37" s="1">
        <v>36</v>
      </c>
      <c r="B37" s="1" t="s">
        <v>74</v>
      </c>
      <c r="C37" s="1" t="s">
        <v>75</v>
      </c>
      <c r="D37" s="1">
        <v>2022</v>
      </c>
      <c r="E37" s="1">
        <v>2023</v>
      </c>
      <c r="F37" s="1">
        <v>349000</v>
      </c>
      <c r="G37" s="1"/>
    </row>
    <row r="38" spans="1:7" x14ac:dyDescent="0.2">
      <c r="A38" s="1">
        <v>37</v>
      </c>
      <c r="B38" s="1" t="s">
        <v>76</v>
      </c>
      <c r="C38" s="1" t="s">
        <v>77</v>
      </c>
      <c r="D38" s="1">
        <v>2023</v>
      </c>
      <c r="E38" s="1">
        <v>2024</v>
      </c>
      <c r="F38" s="1">
        <v>369000</v>
      </c>
      <c r="G38" s="1"/>
    </row>
    <row r="39" spans="1:7" x14ac:dyDescent="0.2">
      <c r="A39" s="1">
        <v>38</v>
      </c>
      <c r="B39" s="1" t="s">
        <v>78</v>
      </c>
      <c r="C39" s="1" t="s">
        <v>79</v>
      </c>
      <c r="D39" s="1">
        <v>2021</v>
      </c>
      <c r="E39" s="1">
        <v>2022</v>
      </c>
      <c r="F39" s="1">
        <v>99900</v>
      </c>
      <c r="G39" s="1"/>
    </row>
    <row r="40" spans="1:7" x14ac:dyDescent="0.2">
      <c r="A40" s="1">
        <v>39</v>
      </c>
      <c r="B40" s="1" t="s">
        <v>80</v>
      </c>
      <c r="C40" s="1" t="s">
        <v>81</v>
      </c>
      <c r="D40" s="1">
        <v>2023</v>
      </c>
      <c r="E40" s="1">
        <v>2024</v>
      </c>
      <c r="F40" s="1">
        <v>398000</v>
      </c>
      <c r="G40" s="1"/>
    </row>
    <row r="41" spans="1:7" x14ac:dyDescent="0.2">
      <c r="A41" s="1">
        <v>40</v>
      </c>
      <c r="B41" s="1" t="s">
        <v>82</v>
      </c>
      <c r="C41" s="1" t="s">
        <v>83</v>
      </c>
      <c r="D41" s="1">
        <v>2022</v>
      </c>
      <c r="E41" s="1">
        <v>2023</v>
      </c>
      <c r="F41" s="1">
        <v>199000</v>
      </c>
      <c r="G41" s="1"/>
    </row>
    <row r="42" spans="1:7" x14ac:dyDescent="0.2">
      <c r="A42" s="1">
        <v>41</v>
      </c>
      <c r="B42" s="1" t="s">
        <v>84</v>
      </c>
      <c r="C42" s="1" t="s">
        <v>85</v>
      </c>
      <c r="D42" s="1">
        <v>2023</v>
      </c>
      <c r="E42" s="1">
        <v>2024</v>
      </c>
      <c r="F42" s="1">
        <v>995000</v>
      </c>
      <c r="G42" s="1"/>
    </row>
    <row r="43" spans="1:7" x14ac:dyDescent="0.2">
      <c r="A43" s="1">
        <v>42</v>
      </c>
      <c r="B43" s="1" t="s">
        <v>86</v>
      </c>
      <c r="C43" s="1" t="s">
        <v>87</v>
      </c>
      <c r="D43" s="1">
        <v>2023</v>
      </c>
      <c r="E43" s="1">
        <v>2024</v>
      </c>
      <c r="F43" s="1">
        <v>650000</v>
      </c>
      <c r="G43" s="1"/>
    </row>
    <row r="44" spans="1:7" x14ac:dyDescent="0.2">
      <c r="A44" s="1">
        <v>43</v>
      </c>
      <c r="B44" s="1" t="s">
        <v>88</v>
      </c>
      <c r="C44" s="1" t="s">
        <v>89</v>
      </c>
      <c r="D44" s="1">
        <v>2023</v>
      </c>
      <c r="E44" s="1">
        <v>2024</v>
      </c>
      <c r="F44" s="1">
        <v>599000</v>
      </c>
      <c r="G44" s="1"/>
    </row>
    <row r="45" spans="1:7" x14ac:dyDescent="0.2">
      <c r="A45" s="1">
        <v>44</v>
      </c>
      <c r="B45" s="1" t="s">
        <v>90</v>
      </c>
      <c r="C45" s="1" t="s">
        <v>91</v>
      </c>
      <c r="D45" s="1">
        <v>2023</v>
      </c>
      <c r="E45" s="1">
        <v>2024</v>
      </c>
      <c r="F45" s="1">
        <v>165000</v>
      </c>
      <c r="G45" s="1"/>
    </row>
    <row r="46" spans="1:7" x14ac:dyDescent="0.2">
      <c r="A46" s="1">
        <v>45</v>
      </c>
      <c r="B46" s="1" t="s">
        <v>92</v>
      </c>
      <c r="C46" s="1" t="s">
        <v>93</v>
      </c>
      <c r="D46" s="1">
        <v>2023</v>
      </c>
      <c r="E46" s="1">
        <v>2024</v>
      </c>
      <c r="F46" s="1">
        <v>289000</v>
      </c>
      <c r="G46" s="1"/>
    </row>
    <row r="47" spans="1:7" x14ac:dyDescent="0.2">
      <c r="A47" s="1">
        <v>46</v>
      </c>
      <c r="B47" s="1" t="s">
        <v>94</v>
      </c>
      <c r="C47" s="1" t="s">
        <v>95</v>
      </c>
      <c r="D47" s="1">
        <v>2020</v>
      </c>
      <c r="E47" s="1">
        <v>2021</v>
      </c>
      <c r="F47" s="1">
        <v>299000</v>
      </c>
      <c r="G47" s="1"/>
    </row>
    <row r="48" spans="1:7" x14ac:dyDescent="0.2">
      <c r="A48" s="1">
        <v>47</v>
      </c>
      <c r="B48" s="1" t="s">
        <v>96</v>
      </c>
      <c r="C48" s="1" t="s">
        <v>31</v>
      </c>
      <c r="D48" s="1">
        <v>2023</v>
      </c>
      <c r="E48" s="1">
        <v>2024</v>
      </c>
      <c r="F48" s="1">
        <v>80900</v>
      </c>
      <c r="G48" s="1"/>
    </row>
    <row r="49" spans="1:7" x14ac:dyDescent="0.2">
      <c r="A49" s="1">
        <v>48</v>
      </c>
      <c r="B49" s="1" t="s">
        <v>97</v>
      </c>
      <c r="C49" s="1" t="s">
        <v>98</v>
      </c>
      <c r="D49" s="1">
        <v>2023</v>
      </c>
      <c r="E49" s="1">
        <v>2024</v>
      </c>
      <c r="F49" s="1">
        <v>269000</v>
      </c>
      <c r="G49" s="1"/>
    </row>
    <row r="50" spans="1:7" x14ac:dyDescent="0.2">
      <c r="A50" s="1">
        <v>49</v>
      </c>
      <c r="B50" s="1" t="s">
        <v>99</v>
      </c>
      <c r="C50" s="1" t="s">
        <v>100</v>
      </c>
      <c r="D50" s="1">
        <v>2022</v>
      </c>
      <c r="E50" s="1">
        <v>2023</v>
      </c>
      <c r="F50" s="1">
        <v>689000</v>
      </c>
      <c r="G50" s="1"/>
    </row>
    <row r="51" spans="1:7" x14ac:dyDescent="0.2">
      <c r="A51" s="1">
        <v>50</v>
      </c>
      <c r="B51" s="1" t="s">
        <v>101</v>
      </c>
      <c r="C51" s="1" t="s">
        <v>102</v>
      </c>
      <c r="D51" s="1">
        <v>2022</v>
      </c>
      <c r="E51" s="1">
        <v>2023</v>
      </c>
      <c r="F51" s="1">
        <v>72900</v>
      </c>
      <c r="G51" s="1"/>
    </row>
    <row r="52" spans="1:7" x14ac:dyDescent="0.2">
      <c r="A52" s="1"/>
      <c r="B52" s="1"/>
      <c r="C52" s="1"/>
      <c r="D52" s="1"/>
      <c r="E52" s="1"/>
      <c r="F52" s="1"/>
      <c r="G52" s="1"/>
    </row>
    <row r="53" spans="1:7" x14ac:dyDescent="0.2">
      <c r="A53" s="1"/>
      <c r="B53" s="1"/>
      <c r="C53" s="1"/>
      <c r="D53" s="1"/>
      <c r="E53" s="1"/>
      <c r="F53" s="1"/>
      <c r="G53" s="1"/>
    </row>
    <row r="54" spans="1:7" x14ac:dyDescent="0.2">
      <c r="A54" s="1"/>
      <c r="B54" s="1"/>
      <c r="C54" s="1"/>
      <c r="D54" s="1"/>
      <c r="E54" s="1"/>
      <c r="F54" s="1"/>
      <c r="G54" s="1"/>
    </row>
    <row r="55" spans="1:7" x14ac:dyDescent="0.2">
      <c r="A55" s="1"/>
      <c r="B55" s="1"/>
      <c r="C55" s="1"/>
      <c r="D55" s="1"/>
      <c r="E55" s="1"/>
      <c r="F55" s="1"/>
      <c r="G55" s="1"/>
    </row>
    <row r="56" spans="1:7" x14ac:dyDescent="0.2">
      <c r="A56" s="1"/>
      <c r="B56" s="1"/>
      <c r="C56" s="1"/>
      <c r="D56" s="1"/>
      <c r="E56" s="1"/>
      <c r="F56" s="1"/>
      <c r="G56" s="1"/>
    </row>
    <row r="57" spans="1:7" x14ac:dyDescent="0.2">
      <c r="A57" s="1"/>
      <c r="B57" s="1"/>
      <c r="C57" s="1"/>
      <c r="D57" s="1"/>
      <c r="E57" s="1"/>
      <c r="F57" s="1"/>
      <c r="G57" s="1"/>
    </row>
    <row r="58" spans="1:7" x14ac:dyDescent="0.2">
      <c r="A58" s="1"/>
      <c r="B58" s="1"/>
      <c r="C58" s="1"/>
      <c r="D58" s="1"/>
      <c r="E58" s="1"/>
      <c r="F58" s="1"/>
      <c r="G58" s="1"/>
    </row>
    <row r="59" spans="1:7" x14ac:dyDescent="0.2">
      <c r="A59" s="1"/>
      <c r="B59" s="1"/>
      <c r="C59" s="1"/>
      <c r="D59" s="1"/>
      <c r="E59" s="1"/>
      <c r="F59" s="1"/>
      <c r="G59" s="1"/>
    </row>
    <row r="60" spans="1:7" x14ac:dyDescent="0.2">
      <c r="A60" s="1"/>
      <c r="B60" s="1"/>
      <c r="C60" s="1"/>
      <c r="D60" s="1"/>
      <c r="E60" s="1"/>
      <c r="F60" s="1"/>
      <c r="G60" s="1"/>
    </row>
    <row r="61" spans="1:7" x14ac:dyDescent="0.2">
      <c r="A61" s="1"/>
      <c r="B61" s="1"/>
      <c r="C61" s="1"/>
      <c r="D61" s="1"/>
      <c r="E61" s="1"/>
      <c r="F61" s="1"/>
      <c r="G61" s="1"/>
    </row>
    <row r="62" spans="1:7" x14ac:dyDescent="0.2">
      <c r="A62" s="1"/>
      <c r="B62" s="1"/>
      <c r="C62" s="1"/>
      <c r="D62" s="1"/>
      <c r="E62" s="1"/>
      <c r="F62" s="1"/>
      <c r="G62" s="1"/>
    </row>
    <row r="63" spans="1:7" x14ac:dyDescent="0.2">
      <c r="A63" s="1"/>
      <c r="B63" s="1"/>
      <c r="C63" s="1"/>
      <c r="D63" s="1"/>
      <c r="E63" s="1"/>
      <c r="F63" s="1"/>
      <c r="G63" s="1"/>
    </row>
    <row r="64" spans="1:7" x14ac:dyDescent="0.2">
      <c r="A64" s="1"/>
      <c r="B64" s="1"/>
      <c r="C64" s="1"/>
      <c r="D64" s="1"/>
      <c r="E64" s="1"/>
      <c r="F64" s="1"/>
      <c r="G64" s="1"/>
    </row>
    <row r="65" spans="1:7" x14ac:dyDescent="0.2">
      <c r="A65" s="1"/>
      <c r="B65" s="1"/>
      <c r="C65" s="1"/>
      <c r="D65" s="1"/>
      <c r="E65" s="1"/>
      <c r="F65" s="1"/>
      <c r="G65" s="1"/>
    </row>
    <row r="66" spans="1:7" x14ac:dyDescent="0.2">
      <c r="A66" s="1"/>
      <c r="B66" s="1"/>
      <c r="C66" s="1"/>
      <c r="D66" s="1"/>
      <c r="E66" s="1"/>
      <c r="F66" s="1"/>
      <c r="G66" s="1"/>
    </row>
    <row r="67" spans="1:7" x14ac:dyDescent="0.2">
      <c r="A67" s="1"/>
      <c r="B67" s="1"/>
      <c r="C67" s="1"/>
      <c r="D67" s="1"/>
      <c r="E67" s="1"/>
      <c r="F67" s="1"/>
      <c r="G67" s="1"/>
    </row>
    <row r="68" spans="1:7" x14ac:dyDescent="0.2">
      <c r="A68" s="1"/>
      <c r="B68" s="1"/>
      <c r="C68" s="1"/>
      <c r="D68" s="1"/>
      <c r="E68" s="1"/>
      <c r="F68" s="1"/>
      <c r="G68" s="1"/>
    </row>
    <row r="69" spans="1:7" x14ac:dyDescent="0.2">
      <c r="A69" s="1"/>
      <c r="B69" s="1"/>
      <c r="C69" s="1"/>
      <c r="D69" s="1"/>
      <c r="E69" s="1"/>
      <c r="F69" s="1"/>
      <c r="G69" s="1"/>
    </row>
    <row r="70" spans="1:7" x14ac:dyDescent="0.2">
      <c r="A70" s="1"/>
      <c r="B70" s="1"/>
      <c r="C70" s="1"/>
      <c r="D70" s="1"/>
      <c r="E70" s="1"/>
      <c r="F70" s="1"/>
      <c r="G70" s="1"/>
    </row>
    <row r="71" spans="1:7" x14ac:dyDescent="0.2">
      <c r="A71" s="1"/>
      <c r="B71" s="1"/>
      <c r="C71" s="1"/>
      <c r="D71" s="1"/>
      <c r="E71" s="1"/>
      <c r="F71" s="1"/>
      <c r="G71" s="1"/>
    </row>
    <row r="72" spans="1:7" x14ac:dyDescent="0.2">
      <c r="A72" s="1"/>
      <c r="B72" s="1"/>
      <c r="C72" s="1"/>
      <c r="D72" s="1"/>
      <c r="E72" s="1"/>
      <c r="F72" s="1"/>
      <c r="G72" s="1"/>
    </row>
    <row r="73" spans="1:7" x14ac:dyDescent="0.2">
      <c r="A73" s="1"/>
      <c r="B73" s="1"/>
      <c r="C73" s="1"/>
      <c r="D73" s="1"/>
      <c r="E73" s="1"/>
      <c r="F73" s="1"/>
      <c r="G73" s="1"/>
    </row>
    <row r="74" spans="1:7" x14ac:dyDescent="0.2">
      <c r="A74" s="1"/>
      <c r="B74" s="1"/>
      <c r="C74" s="1"/>
      <c r="D74" s="1"/>
      <c r="E74" s="1"/>
      <c r="F74" s="1"/>
      <c r="G74" s="1"/>
    </row>
    <row r="75" spans="1:7" x14ac:dyDescent="0.2">
      <c r="A75" s="1"/>
      <c r="B75" s="1"/>
      <c r="C75" s="1"/>
      <c r="D75" s="1"/>
      <c r="E75" s="1"/>
      <c r="F75" s="1"/>
      <c r="G75" s="1"/>
    </row>
    <row r="76" spans="1:7" x14ac:dyDescent="0.2">
      <c r="A76" s="1"/>
      <c r="B76" s="1"/>
      <c r="C76" s="1"/>
      <c r="D76" s="1"/>
      <c r="E76" s="1"/>
      <c r="F76" s="1"/>
      <c r="G76" s="1"/>
    </row>
    <row r="77" spans="1:7" x14ac:dyDescent="0.2">
      <c r="A77" s="1"/>
      <c r="B77" s="1"/>
      <c r="C77" s="1"/>
      <c r="D77" s="1"/>
      <c r="E77" s="1"/>
      <c r="F77" s="1"/>
      <c r="G77" s="1"/>
    </row>
    <row r="78" spans="1:7" x14ac:dyDescent="0.2">
      <c r="A78" s="1"/>
      <c r="B78" s="1"/>
      <c r="C78" s="1"/>
      <c r="D78" s="1"/>
      <c r="E78" s="1"/>
      <c r="F78" s="1"/>
      <c r="G78" s="1"/>
    </row>
    <row r="79" spans="1:7" x14ac:dyDescent="0.2">
      <c r="A79" s="1"/>
      <c r="B79" s="1"/>
      <c r="C79" s="1"/>
      <c r="D79" s="1"/>
      <c r="E79" s="1"/>
      <c r="F79" s="1"/>
      <c r="G79" s="1"/>
    </row>
    <row r="80" spans="1:7" x14ac:dyDescent="0.2">
      <c r="A80" s="1"/>
      <c r="B80" s="1"/>
      <c r="C80" s="1"/>
      <c r="D80" s="1"/>
      <c r="E80" s="1"/>
      <c r="F80" s="1"/>
      <c r="G80" s="1"/>
    </row>
    <row r="81" spans="1:7" x14ac:dyDescent="0.2">
      <c r="A81" s="1"/>
      <c r="B81" s="1"/>
      <c r="C81" s="1"/>
      <c r="D81" s="1"/>
      <c r="E81" s="1"/>
      <c r="F81" s="1"/>
      <c r="G81" s="1"/>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1"/>
      <c r="G102" s="1"/>
    </row>
    <row r="103" spans="1:7" x14ac:dyDescent="0.2">
      <c r="A103" s="1"/>
      <c r="B103" s="1"/>
      <c r="C103" s="1"/>
      <c r="D103" s="1"/>
      <c r="E103" s="1"/>
      <c r="F103" s="1"/>
      <c r="G103" s="1"/>
    </row>
    <row r="104" spans="1:7" x14ac:dyDescent="0.2">
      <c r="A104" s="1"/>
      <c r="B104" s="1"/>
      <c r="C104" s="1"/>
      <c r="D104" s="1"/>
      <c r="E104" s="1"/>
      <c r="F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F113" s="1"/>
      <c r="G113" s="1"/>
    </row>
    <row r="114" spans="1:7" x14ac:dyDescent="0.2">
      <c r="A114" s="1"/>
      <c r="B114" s="1"/>
      <c r="C114" s="1"/>
      <c r="D114" s="1"/>
      <c r="E114" s="1"/>
      <c r="F114" s="1"/>
      <c r="G114" s="1"/>
    </row>
    <row r="115" spans="1:7" x14ac:dyDescent="0.2">
      <c r="A115" s="1"/>
      <c r="B115" s="1"/>
      <c r="C115" s="1"/>
      <c r="D115" s="1"/>
      <c r="E115" s="1"/>
      <c r="F115" s="1"/>
      <c r="G115" s="1"/>
    </row>
    <row r="116" spans="1:7" x14ac:dyDescent="0.2">
      <c r="A116" s="1"/>
      <c r="B116" s="1"/>
      <c r="C116" s="1"/>
      <c r="D116" s="1"/>
      <c r="E116" s="1"/>
      <c r="F116" s="1"/>
      <c r="G116" s="1"/>
    </row>
    <row r="117" spans="1:7" x14ac:dyDescent="0.2">
      <c r="A117" s="1"/>
      <c r="B117" s="1"/>
      <c r="C117" s="1"/>
      <c r="D117" s="1"/>
      <c r="E117" s="1"/>
      <c r="F117" s="1"/>
      <c r="G117" s="1"/>
    </row>
    <row r="118" spans="1:7" x14ac:dyDescent="0.2">
      <c r="A118" s="1"/>
      <c r="B118" s="1"/>
      <c r="C118" s="1"/>
      <c r="D118" s="1"/>
      <c r="E118" s="1"/>
      <c r="F118" s="1"/>
      <c r="G118" s="1"/>
    </row>
    <row r="119" spans="1:7" x14ac:dyDescent="0.2">
      <c r="A119" s="1"/>
      <c r="B119" s="1"/>
      <c r="C119" s="1"/>
      <c r="D119" s="1"/>
      <c r="E119" s="1"/>
      <c r="F119" s="1"/>
      <c r="G119" s="1"/>
    </row>
    <row r="120" spans="1:7" x14ac:dyDescent="0.2">
      <c r="A120" s="1"/>
      <c r="B120" s="1"/>
      <c r="C120" s="1"/>
      <c r="D120" s="1"/>
      <c r="E120" s="1"/>
      <c r="F120" s="1"/>
      <c r="G120" s="1"/>
    </row>
    <row r="121" spans="1:7" x14ac:dyDescent="0.2">
      <c r="A121" s="1"/>
      <c r="B121" s="1"/>
      <c r="C121" s="1"/>
      <c r="D121" s="1"/>
      <c r="E121" s="1"/>
      <c r="F121" s="1"/>
      <c r="G121" s="1"/>
    </row>
    <row r="122" spans="1:7" x14ac:dyDescent="0.2">
      <c r="A122" s="1"/>
      <c r="B122" s="1"/>
      <c r="C122" s="1"/>
      <c r="D122" s="1"/>
      <c r="E122" s="1"/>
      <c r="F122" s="1"/>
      <c r="G122" s="1"/>
    </row>
    <row r="123" spans="1:7" x14ac:dyDescent="0.2">
      <c r="A123" s="1"/>
      <c r="B123" s="1"/>
      <c r="C123" s="1"/>
      <c r="D123" s="1"/>
      <c r="E123" s="1"/>
      <c r="F123" s="1"/>
      <c r="G123" s="1"/>
    </row>
    <row r="124" spans="1:7" x14ac:dyDescent="0.2">
      <c r="A124" s="1"/>
      <c r="B124" s="1"/>
      <c r="C124" s="1"/>
      <c r="D124" s="1"/>
      <c r="E124" s="1"/>
      <c r="F124" s="1"/>
      <c r="G124" s="1"/>
    </row>
    <row r="125" spans="1:7" x14ac:dyDescent="0.2">
      <c r="A125" s="1"/>
      <c r="B125" s="1"/>
      <c r="C125" s="1"/>
      <c r="D125" s="1"/>
      <c r="E125" s="1"/>
      <c r="F125" s="1"/>
      <c r="G125" s="1"/>
    </row>
    <row r="126" spans="1:7" x14ac:dyDescent="0.2">
      <c r="A126" s="1"/>
      <c r="B126" s="1"/>
      <c r="C126" s="1"/>
      <c r="D126" s="1"/>
      <c r="E126" s="1"/>
      <c r="F126" s="1"/>
      <c r="G126" s="1"/>
    </row>
    <row r="127" spans="1:7" x14ac:dyDescent="0.2">
      <c r="A127" s="1"/>
      <c r="B127" s="1"/>
      <c r="C127" s="1"/>
      <c r="D127" s="1"/>
      <c r="E127" s="1"/>
      <c r="F127" s="1"/>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F133" s="1"/>
      <c r="G133" s="1"/>
    </row>
    <row r="134" spans="1:7" x14ac:dyDescent="0.2">
      <c r="A134" s="1"/>
      <c r="B134" s="1"/>
      <c r="C134" s="1"/>
      <c r="D134" s="1"/>
      <c r="E134" s="1"/>
      <c r="F134" s="1"/>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row r="139" spans="1:7" x14ac:dyDescent="0.2">
      <c r="A139" s="1"/>
      <c r="B139" s="1"/>
      <c r="C139" s="1"/>
      <c r="D139" s="1"/>
      <c r="E139" s="1"/>
      <c r="F139" s="1"/>
      <c r="G139" s="1"/>
    </row>
    <row r="140" spans="1:7" x14ac:dyDescent="0.2">
      <c r="A140" s="1"/>
      <c r="B140" s="1"/>
      <c r="C140" s="1"/>
      <c r="D140" s="1"/>
      <c r="E140" s="1"/>
      <c r="F140" s="1"/>
      <c r="G140" s="1"/>
    </row>
    <row r="141" spans="1:7" x14ac:dyDescent="0.2">
      <c r="A141" s="1"/>
      <c r="B141" s="1"/>
      <c r="C141" s="1"/>
      <c r="D141" s="1"/>
      <c r="E141" s="1"/>
      <c r="F141" s="1"/>
      <c r="G141" s="1"/>
    </row>
    <row r="142" spans="1:7" x14ac:dyDescent="0.2">
      <c r="A142" s="1"/>
      <c r="B142" s="1"/>
      <c r="C142" s="1"/>
      <c r="D142" s="1"/>
      <c r="E142" s="1"/>
      <c r="F142" s="1"/>
      <c r="G142" s="1"/>
    </row>
    <row r="143" spans="1:7" x14ac:dyDescent="0.2">
      <c r="A143" s="1"/>
      <c r="B143" s="1"/>
      <c r="C143" s="1"/>
      <c r="D143" s="1"/>
      <c r="E143" s="1"/>
      <c r="F143" s="1"/>
      <c r="G143" s="1"/>
    </row>
    <row r="144" spans="1:7" x14ac:dyDescent="0.2">
      <c r="A144" s="1"/>
      <c r="B144" s="1"/>
      <c r="C144" s="1"/>
      <c r="D144" s="1"/>
      <c r="E144" s="1"/>
      <c r="F144" s="1"/>
      <c r="G144" s="1"/>
    </row>
    <row r="145" spans="1:7" x14ac:dyDescent="0.2">
      <c r="A145" s="1"/>
      <c r="B145" s="1"/>
      <c r="C145" s="1"/>
      <c r="D145" s="1"/>
      <c r="E145" s="1"/>
      <c r="F145" s="1"/>
      <c r="G145" s="1"/>
    </row>
    <row r="146" spans="1:7" x14ac:dyDescent="0.2">
      <c r="A146" s="1"/>
      <c r="B146" s="1"/>
      <c r="C146" s="1"/>
      <c r="D146" s="1"/>
      <c r="E146" s="1"/>
      <c r="F146" s="1"/>
      <c r="G146" s="1"/>
    </row>
    <row r="147" spans="1:7" x14ac:dyDescent="0.2">
      <c r="A147" s="1"/>
      <c r="B147" s="1"/>
      <c r="C147" s="1"/>
      <c r="D147" s="1"/>
      <c r="E147" s="1"/>
      <c r="F147" s="1"/>
      <c r="G147" s="1"/>
    </row>
    <row r="148" spans="1:7" x14ac:dyDescent="0.2">
      <c r="A148" s="1"/>
      <c r="B148" s="1"/>
      <c r="C148" s="1"/>
      <c r="D148" s="1"/>
      <c r="E148" s="1"/>
      <c r="F148" s="1"/>
      <c r="G148" s="1"/>
    </row>
    <row r="149" spans="1:7" x14ac:dyDescent="0.2">
      <c r="A149" s="1"/>
      <c r="B149" s="1"/>
      <c r="C149" s="1"/>
      <c r="D149" s="1"/>
      <c r="E149" s="1"/>
      <c r="F149" s="1"/>
      <c r="G149" s="1"/>
    </row>
    <row r="150" spans="1:7" x14ac:dyDescent="0.2">
      <c r="A150" s="1"/>
      <c r="B150" s="1"/>
      <c r="C150" s="1"/>
      <c r="D150" s="1"/>
      <c r="E150" s="1"/>
      <c r="F150" s="1"/>
      <c r="G150" s="1"/>
    </row>
    <row r="151" spans="1:7" x14ac:dyDescent="0.2">
      <c r="A151" s="1"/>
      <c r="B151" s="1"/>
      <c r="C151" s="1"/>
      <c r="D151" s="1"/>
      <c r="E151" s="1"/>
      <c r="F151" s="1"/>
      <c r="G151" s="1"/>
    </row>
    <row r="152" spans="1:7" x14ac:dyDescent="0.2">
      <c r="A152" s="1"/>
      <c r="B152" s="1"/>
      <c r="C152" s="1"/>
      <c r="D152" s="1"/>
      <c r="E152" s="1"/>
      <c r="F152" s="1"/>
      <c r="G152" s="1"/>
    </row>
    <row r="153" spans="1:7" x14ac:dyDescent="0.2">
      <c r="A153" s="1"/>
      <c r="B153" s="1"/>
      <c r="C153" s="1"/>
      <c r="D153" s="1"/>
      <c r="E153" s="1"/>
      <c r="F153" s="1"/>
      <c r="G153" s="1"/>
    </row>
    <row r="154" spans="1:7" x14ac:dyDescent="0.2">
      <c r="A154" s="1"/>
      <c r="B154" s="1"/>
      <c r="C154" s="1"/>
      <c r="D154" s="1"/>
      <c r="E154" s="1"/>
      <c r="F154" s="1"/>
      <c r="G154" s="1"/>
    </row>
    <row r="155" spans="1:7" x14ac:dyDescent="0.2">
      <c r="A155" s="1"/>
      <c r="B155" s="1"/>
      <c r="C155" s="1"/>
      <c r="D155" s="1"/>
      <c r="E155" s="1"/>
      <c r="F155" s="1"/>
      <c r="G155" s="1"/>
    </row>
    <row r="156" spans="1:7" x14ac:dyDescent="0.2">
      <c r="A156" s="1"/>
      <c r="B156" s="1"/>
      <c r="C156" s="1"/>
      <c r="D156" s="1"/>
      <c r="E156" s="1"/>
      <c r="F156" s="1"/>
      <c r="G156" s="1"/>
    </row>
    <row r="157" spans="1:7" x14ac:dyDescent="0.2">
      <c r="A157" s="1"/>
      <c r="B157" s="1"/>
      <c r="C157" s="1"/>
      <c r="D157" s="1"/>
      <c r="E157" s="1"/>
      <c r="F157" s="1"/>
      <c r="G157" s="1"/>
    </row>
    <row r="158" spans="1:7" x14ac:dyDescent="0.2">
      <c r="A158" s="1"/>
      <c r="B158" s="1"/>
      <c r="C158" s="1"/>
      <c r="D158" s="1"/>
      <c r="E158" s="1"/>
      <c r="F158" s="1"/>
      <c r="G158" s="1"/>
    </row>
    <row r="159" spans="1:7" x14ac:dyDescent="0.2">
      <c r="A159" s="1"/>
      <c r="B159" s="1"/>
      <c r="C159" s="1"/>
      <c r="D159" s="1"/>
      <c r="E159" s="1"/>
      <c r="F159" s="1"/>
      <c r="G159" s="1"/>
    </row>
    <row r="160" spans="1:7" x14ac:dyDescent="0.2">
      <c r="A160" s="1"/>
      <c r="B160" s="1"/>
      <c r="C160" s="1"/>
      <c r="D160" s="1"/>
      <c r="E160" s="1"/>
      <c r="F160" s="1"/>
      <c r="G160" s="1"/>
    </row>
    <row r="161" spans="1:7" x14ac:dyDescent="0.2">
      <c r="A161" s="1"/>
      <c r="B161" s="1"/>
      <c r="C161" s="1"/>
      <c r="D161" s="1"/>
      <c r="E161" s="1"/>
      <c r="F161" s="1"/>
      <c r="G161" s="1"/>
    </row>
    <row r="162" spans="1:7" x14ac:dyDescent="0.2">
      <c r="A162" s="1"/>
      <c r="B162" s="1"/>
      <c r="C162" s="1"/>
      <c r="D162" s="1"/>
      <c r="E162" s="1"/>
      <c r="F162" s="1"/>
      <c r="G162" s="1"/>
    </row>
    <row r="163" spans="1:7" x14ac:dyDescent="0.2">
      <c r="A163" s="1"/>
      <c r="B163" s="1"/>
      <c r="C163" s="1"/>
      <c r="D163" s="1"/>
      <c r="E163" s="1"/>
      <c r="F163" s="1"/>
      <c r="G163" s="1"/>
    </row>
    <row r="164" spans="1:7" x14ac:dyDescent="0.2">
      <c r="A164" s="1"/>
      <c r="B164" s="1"/>
      <c r="C164" s="1"/>
      <c r="D164" s="1"/>
      <c r="E164" s="1"/>
      <c r="F164" s="1"/>
      <c r="G164" s="1"/>
    </row>
    <row r="165" spans="1:7" x14ac:dyDescent="0.2">
      <c r="A165" s="1"/>
      <c r="B165" s="1"/>
      <c r="C165" s="1"/>
      <c r="D165" s="1"/>
      <c r="E165" s="1"/>
      <c r="F165" s="1"/>
      <c r="G165" s="1"/>
    </row>
    <row r="166" spans="1:7" x14ac:dyDescent="0.2">
      <c r="A166" s="1"/>
      <c r="B166" s="1"/>
      <c r="C166" s="1"/>
      <c r="D166" s="1"/>
      <c r="E166" s="1"/>
      <c r="F166" s="1"/>
      <c r="G166" s="1"/>
    </row>
    <row r="167" spans="1:7" x14ac:dyDescent="0.2">
      <c r="A167" s="1"/>
      <c r="B167" s="1"/>
      <c r="C167" s="1"/>
      <c r="D167" s="1"/>
      <c r="E167" s="1"/>
      <c r="F167" s="1"/>
      <c r="G167" s="1"/>
    </row>
    <row r="168" spans="1:7" x14ac:dyDescent="0.2">
      <c r="A168" s="1"/>
      <c r="B168" s="1"/>
      <c r="C168" s="1"/>
      <c r="D168" s="1"/>
      <c r="E168" s="1"/>
      <c r="F168" s="1"/>
      <c r="G168" s="1"/>
    </row>
    <row r="169" spans="1:7" x14ac:dyDescent="0.2">
      <c r="A169" s="1"/>
      <c r="B169" s="1"/>
      <c r="C169" s="1"/>
      <c r="D169" s="1"/>
      <c r="E169" s="1"/>
      <c r="F169" s="1"/>
      <c r="G169" s="1"/>
    </row>
    <row r="170" spans="1:7" x14ac:dyDescent="0.2">
      <c r="A170" s="1"/>
      <c r="B170" s="1"/>
      <c r="C170" s="1"/>
      <c r="D170" s="1"/>
      <c r="E170" s="1"/>
      <c r="F170" s="1"/>
      <c r="G170" s="1"/>
    </row>
    <row r="171" spans="1:7" x14ac:dyDescent="0.2">
      <c r="A171" s="1"/>
      <c r="B171" s="1"/>
      <c r="C171" s="1"/>
      <c r="D171" s="1"/>
      <c r="E171" s="1"/>
      <c r="F171" s="1"/>
      <c r="G171" s="1"/>
    </row>
    <row r="172" spans="1:7" x14ac:dyDescent="0.2">
      <c r="A172" s="1"/>
      <c r="B172" s="1"/>
      <c r="C172" s="1"/>
      <c r="D172" s="1"/>
      <c r="E172" s="1"/>
      <c r="F172" s="1"/>
      <c r="G172" s="1"/>
    </row>
    <row r="173" spans="1:7" x14ac:dyDescent="0.2">
      <c r="A173" s="1"/>
      <c r="B173" s="1"/>
      <c r="C173" s="1"/>
      <c r="D173" s="1"/>
      <c r="E173" s="1"/>
      <c r="F173" s="1"/>
      <c r="G173" s="1"/>
    </row>
    <row r="174" spans="1:7" x14ac:dyDescent="0.2">
      <c r="A174" s="1"/>
      <c r="B174" s="1"/>
      <c r="C174" s="1"/>
      <c r="D174" s="1"/>
      <c r="E174" s="1"/>
      <c r="F174" s="1"/>
      <c r="G174" s="1"/>
    </row>
    <row r="175" spans="1:7" x14ac:dyDescent="0.2">
      <c r="A175" s="1"/>
      <c r="B175" s="1"/>
      <c r="C175" s="1"/>
      <c r="D175" s="1"/>
      <c r="E175" s="1"/>
      <c r="F175" s="1"/>
      <c r="G175" s="1"/>
    </row>
    <row r="176" spans="1:7" x14ac:dyDescent="0.2">
      <c r="A176" s="1"/>
      <c r="B176" s="1"/>
      <c r="C176" s="1"/>
      <c r="D176" s="1"/>
      <c r="E176" s="1"/>
      <c r="F176" s="1"/>
      <c r="G176" s="1"/>
    </row>
    <row r="177" spans="1:7" x14ac:dyDescent="0.2">
      <c r="A177" s="1"/>
      <c r="B177" s="1"/>
      <c r="C177" s="1"/>
      <c r="D177" s="1"/>
      <c r="E177" s="1"/>
      <c r="F177" s="1"/>
      <c r="G177" s="1"/>
    </row>
    <row r="178" spans="1:7" x14ac:dyDescent="0.2">
      <c r="A178" s="1"/>
      <c r="B178" s="1"/>
      <c r="C178" s="1"/>
      <c r="D178" s="1"/>
      <c r="E178" s="1"/>
      <c r="F178" s="1"/>
      <c r="G178" s="1"/>
    </row>
    <row r="179" spans="1:7" x14ac:dyDescent="0.2">
      <c r="A179" s="1"/>
      <c r="B179" s="1"/>
      <c r="C179" s="1"/>
      <c r="D179" s="1"/>
      <c r="E179" s="1"/>
      <c r="F179" s="1"/>
      <c r="G179" s="1"/>
    </row>
    <row r="180" spans="1:7" x14ac:dyDescent="0.2">
      <c r="A180" s="1"/>
      <c r="B180" s="1"/>
      <c r="C180" s="1"/>
      <c r="D180" s="1"/>
      <c r="E180" s="1"/>
      <c r="F180" s="1"/>
      <c r="G180" s="1"/>
    </row>
    <row r="181" spans="1:7" x14ac:dyDescent="0.2">
      <c r="A181" s="1"/>
      <c r="B181" s="1"/>
      <c r="C181" s="1"/>
      <c r="D181" s="1"/>
      <c r="E181" s="1"/>
      <c r="F181" s="1"/>
      <c r="G181" s="1"/>
    </row>
    <row r="182" spans="1:7" x14ac:dyDescent="0.2">
      <c r="A182" s="1"/>
      <c r="B182" s="1"/>
      <c r="C182" s="1"/>
      <c r="D182" s="1"/>
      <c r="E182" s="1"/>
      <c r="F182" s="1"/>
      <c r="G182" s="1"/>
    </row>
    <row r="183" spans="1:7" x14ac:dyDescent="0.2">
      <c r="A183" s="1"/>
      <c r="B183" s="1"/>
      <c r="C183" s="1"/>
      <c r="D183" s="1"/>
      <c r="E183" s="1"/>
      <c r="F183" s="1"/>
      <c r="G183" s="1"/>
    </row>
    <row r="184" spans="1:7" x14ac:dyDescent="0.2">
      <c r="A184" s="1"/>
      <c r="B184" s="1"/>
      <c r="C184" s="1"/>
      <c r="D184" s="1"/>
      <c r="E184" s="1"/>
      <c r="F184" s="1"/>
      <c r="G184" s="1"/>
    </row>
    <row r="185" spans="1:7" x14ac:dyDescent="0.2">
      <c r="A185" s="1"/>
      <c r="B185" s="1"/>
      <c r="C185" s="1"/>
      <c r="D185" s="1"/>
      <c r="E185" s="1"/>
      <c r="F185" s="1"/>
      <c r="G185" s="1"/>
    </row>
    <row r="186" spans="1:7" x14ac:dyDescent="0.2">
      <c r="A186" s="1"/>
      <c r="B186" s="1"/>
      <c r="C186" s="1"/>
      <c r="D186" s="1"/>
      <c r="E186" s="1"/>
      <c r="F186" s="1"/>
      <c r="G186" s="1"/>
    </row>
    <row r="187" spans="1:7" x14ac:dyDescent="0.2">
      <c r="A187" s="1"/>
      <c r="B187" s="1"/>
      <c r="C187" s="1"/>
      <c r="D187" s="1"/>
      <c r="E187" s="1"/>
      <c r="F187" s="1"/>
      <c r="G187" s="1"/>
    </row>
    <row r="188" spans="1:7" x14ac:dyDescent="0.2">
      <c r="A188" s="1"/>
      <c r="B188" s="1"/>
      <c r="C188" s="1"/>
      <c r="D188" s="1"/>
      <c r="E188" s="1"/>
      <c r="F188" s="1"/>
      <c r="G188" s="1"/>
    </row>
    <row r="189" spans="1:7" x14ac:dyDescent="0.2">
      <c r="A189" s="1"/>
      <c r="B189" s="1"/>
      <c r="C189" s="1"/>
      <c r="D189" s="1"/>
      <c r="E189" s="1"/>
      <c r="F189" s="1"/>
      <c r="G189" s="1"/>
    </row>
    <row r="190" spans="1:7" x14ac:dyDescent="0.2">
      <c r="A190" s="1"/>
      <c r="B190" s="1"/>
      <c r="C190" s="1"/>
      <c r="D190" s="1"/>
      <c r="E190" s="1"/>
      <c r="F190" s="1"/>
      <c r="G190" s="1"/>
    </row>
    <row r="191" spans="1:7" x14ac:dyDescent="0.2">
      <c r="A191" s="1"/>
      <c r="B191" s="1"/>
      <c r="C191" s="1"/>
      <c r="D191" s="1"/>
      <c r="E191" s="1"/>
      <c r="F191" s="1"/>
      <c r="G191" s="1"/>
    </row>
    <row r="192" spans="1:7" x14ac:dyDescent="0.2">
      <c r="A192" s="1"/>
      <c r="B192" s="1"/>
      <c r="C192" s="1"/>
      <c r="D192" s="1"/>
      <c r="E192" s="1"/>
      <c r="F192" s="1"/>
      <c r="G192" s="1"/>
    </row>
    <row r="193" spans="1:7" x14ac:dyDescent="0.2">
      <c r="A193" s="1"/>
      <c r="B193" s="1"/>
      <c r="C193" s="1"/>
      <c r="D193" s="1"/>
      <c r="E193" s="1"/>
      <c r="F193" s="1"/>
      <c r="G193" s="1"/>
    </row>
    <row r="194" spans="1:7" x14ac:dyDescent="0.2">
      <c r="A194" s="1"/>
      <c r="B194" s="1"/>
      <c r="C194" s="1"/>
      <c r="D194" s="1"/>
      <c r="E194" s="1"/>
      <c r="F194" s="1"/>
      <c r="G194" s="1"/>
    </row>
    <row r="195" spans="1:7" x14ac:dyDescent="0.2">
      <c r="A195" s="1"/>
      <c r="B195" s="1"/>
      <c r="C195" s="1"/>
      <c r="D195" s="1"/>
      <c r="E195" s="1"/>
      <c r="F195" s="1"/>
      <c r="G195" s="1"/>
    </row>
    <row r="196" spans="1:7" x14ac:dyDescent="0.2">
      <c r="A196" s="1"/>
      <c r="B196" s="1"/>
      <c r="C196" s="1"/>
      <c r="D196" s="1"/>
      <c r="E196" s="1"/>
      <c r="F196" s="1"/>
      <c r="G196" s="1"/>
    </row>
    <row r="197" spans="1:7" x14ac:dyDescent="0.2">
      <c r="A197" s="1"/>
      <c r="B197" s="1"/>
      <c r="C197" s="1"/>
      <c r="D197" s="1"/>
      <c r="E197" s="1"/>
      <c r="F197" s="1"/>
      <c r="G197" s="1"/>
    </row>
    <row r="198" spans="1:7" x14ac:dyDescent="0.2">
      <c r="A198" s="1"/>
      <c r="B198" s="1"/>
      <c r="C198" s="1"/>
      <c r="D198" s="1"/>
      <c r="E198" s="1"/>
      <c r="F198" s="1"/>
      <c r="G198" s="1"/>
    </row>
    <row r="199" spans="1:7" x14ac:dyDescent="0.2">
      <c r="A199" s="1"/>
      <c r="B199" s="1"/>
      <c r="C199" s="1"/>
      <c r="D199" s="1"/>
      <c r="E199" s="1"/>
      <c r="F199" s="1"/>
      <c r="G199" s="1"/>
    </row>
    <row r="200" spans="1:7" x14ac:dyDescent="0.2">
      <c r="A200" s="1"/>
      <c r="B200" s="1"/>
      <c r="C200" s="1"/>
      <c r="D200" s="1"/>
      <c r="E200" s="1"/>
      <c r="F200" s="1"/>
      <c r="G200" s="1"/>
    </row>
    <row r="201" spans="1:7" x14ac:dyDescent="0.2">
      <c r="A201" s="1"/>
      <c r="B201" s="1"/>
      <c r="C201" s="1"/>
      <c r="D201" s="1"/>
      <c r="E201" s="1"/>
      <c r="F201" s="1"/>
      <c r="G201" s="1"/>
    </row>
    <row r="202" spans="1:7" x14ac:dyDescent="0.2">
      <c r="A202" s="1"/>
      <c r="B202" s="1"/>
      <c r="C202" s="1"/>
      <c r="D202" s="1"/>
      <c r="E202" s="1"/>
      <c r="F202" s="1"/>
      <c r="G202" s="1"/>
    </row>
    <row r="203" spans="1:7" x14ac:dyDescent="0.2">
      <c r="A203" s="1"/>
      <c r="B203" s="1"/>
      <c r="C203" s="1"/>
      <c r="D203" s="1"/>
      <c r="E203" s="1"/>
      <c r="F203" s="1"/>
      <c r="G203" s="1"/>
    </row>
    <row r="204" spans="1:7" x14ac:dyDescent="0.2">
      <c r="A204" s="1"/>
      <c r="B204" s="1"/>
      <c r="C204" s="1"/>
      <c r="D204" s="1"/>
      <c r="E204" s="1"/>
      <c r="F204" s="1"/>
      <c r="G204" s="1"/>
    </row>
    <row r="205" spans="1:7" x14ac:dyDescent="0.2">
      <c r="A205" s="1"/>
      <c r="B205" s="1"/>
      <c r="C205" s="1"/>
      <c r="D205" s="1"/>
      <c r="E205" s="1"/>
      <c r="F205" s="1"/>
      <c r="G205" s="1"/>
    </row>
    <row r="206" spans="1:7" x14ac:dyDescent="0.2">
      <c r="A206" s="1"/>
      <c r="B206" s="1"/>
      <c r="C206" s="1"/>
      <c r="D206" s="1"/>
      <c r="E206" s="1"/>
      <c r="F206" s="1"/>
      <c r="G206" s="1"/>
    </row>
    <row r="207" spans="1:7" x14ac:dyDescent="0.2">
      <c r="A207" s="1"/>
      <c r="B207" s="1"/>
      <c r="C207" s="1"/>
      <c r="D207" s="1"/>
      <c r="E207" s="1"/>
      <c r="F207" s="1"/>
      <c r="G207" s="1"/>
    </row>
    <row r="208" spans="1:7" x14ac:dyDescent="0.2">
      <c r="A208" s="1"/>
      <c r="B208" s="1"/>
      <c r="C208" s="1"/>
      <c r="D208" s="1"/>
      <c r="E208" s="1"/>
      <c r="F208" s="1"/>
      <c r="G208" s="1"/>
    </row>
    <row r="209" spans="1:7" x14ac:dyDescent="0.2">
      <c r="A209" s="1"/>
      <c r="B209" s="1"/>
      <c r="C209" s="1"/>
      <c r="D209" s="1"/>
      <c r="E209" s="1"/>
      <c r="F209" s="1"/>
      <c r="G209" s="1"/>
    </row>
    <row r="210" spans="1:7" x14ac:dyDescent="0.2">
      <c r="A210" s="1"/>
      <c r="B210" s="1"/>
      <c r="C210" s="1"/>
      <c r="D210" s="1"/>
      <c r="E210" s="1"/>
      <c r="F210" s="1"/>
      <c r="G210" s="1"/>
    </row>
    <row r="211" spans="1:7" x14ac:dyDescent="0.2">
      <c r="A211" s="1"/>
      <c r="B211" s="1"/>
      <c r="C211" s="1"/>
      <c r="D211" s="1"/>
      <c r="E211" s="1"/>
      <c r="F211" s="1"/>
      <c r="G211" s="1"/>
    </row>
    <row r="212" spans="1:7" x14ac:dyDescent="0.2">
      <c r="A212" s="1"/>
      <c r="B212" s="1"/>
      <c r="C212" s="1"/>
      <c r="D212" s="1"/>
      <c r="E212" s="1"/>
      <c r="F212" s="1"/>
      <c r="G212" s="1"/>
    </row>
    <row r="213" spans="1:7" x14ac:dyDescent="0.2">
      <c r="A213" s="1"/>
      <c r="B213" s="1"/>
      <c r="C213" s="1"/>
      <c r="D213" s="1"/>
      <c r="E213" s="1"/>
      <c r="F213" s="1"/>
      <c r="G213" s="1"/>
    </row>
    <row r="214" spans="1:7" x14ac:dyDescent="0.2">
      <c r="A214" s="1"/>
      <c r="B214" s="1"/>
      <c r="C214" s="1"/>
      <c r="D214" s="1"/>
      <c r="E214" s="1"/>
      <c r="F214" s="1"/>
      <c r="G214" s="1"/>
    </row>
    <row r="215" spans="1:7" x14ac:dyDescent="0.2">
      <c r="A215" s="1"/>
      <c r="B215" s="1"/>
      <c r="C215" s="1"/>
      <c r="D215" s="1"/>
      <c r="E215" s="1"/>
      <c r="F215" s="1"/>
      <c r="G215" s="1"/>
    </row>
    <row r="216" spans="1:7" x14ac:dyDescent="0.2">
      <c r="A216" s="1"/>
      <c r="B216" s="1"/>
      <c r="C216" s="1"/>
      <c r="D216" s="1"/>
      <c r="E216" s="1"/>
      <c r="F216" s="1"/>
      <c r="G216" s="1"/>
    </row>
    <row r="217" spans="1:7" x14ac:dyDescent="0.2">
      <c r="A217" s="1"/>
      <c r="B217" s="1"/>
      <c r="C217" s="1"/>
      <c r="D217" s="1"/>
      <c r="E217" s="1"/>
      <c r="F217" s="1"/>
      <c r="G217" s="1"/>
    </row>
    <row r="218" spans="1:7" x14ac:dyDescent="0.2">
      <c r="A218" s="1"/>
      <c r="B218" s="1"/>
      <c r="C218" s="1"/>
      <c r="D218" s="1"/>
      <c r="E218" s="1"/>
      <c r="F218" s="1"/>
      <c r="G218" s="1"/>
    </row>
    <row r="219" spans="1:7" x14ac:dyDescent="0.2">
      <c r="A219" s="1"/>
      <c r="B219" s="1"/>
      <c r="C219" s="1"/>
      <c r="D219" s="1"/>
      <c r="E219" s="1"/>
      <c r="F219" s="1"/>
      <c r="G219" s="1"/>
    </row>
    <row r="220" spans="1:7" x14ac:dyDescent="0.2">
      <c r="A220" s="1"/>
      <c r="B220" s="1"/>
      <c r="C220" s="1"/>
      <c r="D220" s="1"/>
      <c r="E220" s="1"/>
      <c r="F220" s="1"/>
      <c r="G220" s="1"/>
    </row>
    <row r="221" spans="1:7" x14ac:dyDescent="0.2">
      <c r="A221" s="1"/>
      <c r="B221" s="1"/>
      <c r="C221" s="1"/>
      <c r="D221" s="1"/>
      <c r="E221" s="1"/>
      <c r="F221" s="1"/>
      <c r="G221" s="1"/>
    </row>
    <row r="222" spans="1:7" x14ac:dyDescent="0.2">
      <c r="A222" s="1"/>
      <c r="B222" s="1"/>
      <c r="C222" s="1"/>
      <c r="D222" s="1"/>
      <c r="E222" s="1"/>
      <c r="F222" s="1"/>
      <c r="G222" s="1"/>
    </row>
    <row r="223" spans="1:7" x14ac:dyDescent="0.2">
      <c r="A223" s="1"/>
      <c r="B223" s="1"/>
      <c r="C223" s="1"/>
      <c r="D223" s="1"/>
      <c r="E223" s="1"/>
      <c r="F223" s="1"/>
      <c r="G223" s="1"/>
    </row>
    <row r="224" spans="1:7" x14ac:dyDescent="0.2">
      <c r="A224" s="1"/>
      <c r="B224" s="1"/>
      <c r="C224" s="1"/>
      <c r="D224" s="1"/>
      <c r="E224" s="1"/>
      <c r="F224" s="1"/>
      <c r="G224" s="1"/>
    </row>
    <row r="225" spans="1:7" x14ac:dyDescent="0.2">
      <c r="A225" s="1"/>
      <c r="B225" s="1"/>
      <c r="C225" s="1"/>
      <c r="D225" s="1"/>
      <c r="E225" s="1"/>
      <c r="F225" s="1"/>
      <c r="G225" s="1"/>
    </row>
    <row r="226" spans="1:7" x14ac:dyDescent="0.2">
      <c r="A226" s="1"/>
      <c r="B226" s="1"/>
      <c r="C226" s="1"/>
      <c r="D226" s="1"/>
      <c r="E226" s="1"/>
      <c r="F226" s="1"/>
      <c r="G226" s="1"/>
    </row>
    <row r="227" spans="1:7" x14ac:dyDescent="0.2">
      <c r="A227" s="1"/>
      <c r="B227" s="1"/>
      <c r="C227" s="1"/>
      <c r="D227" s="1"/>
      <c r="E227" s="1"/>
      <c r="F227" s="1"/>
      <c r="G227" s="1"/>
    </row>
    <row r="228" spans="1:7" x14ac:dyDescent="0.2">
      <c r="A228" s="1"/>
      <c r="B228" s="1"/>
      <c r="C228" s="1"/>
      <c r="D228" s="1"/>
      <c r="E228" s="1"/>
      <c r="F228" s="1"/>
      <c r="G228" s="1"/>
    </row>
    <row r="229" spans="1:7" x14ac:dyDescent="0.2">
      <c r="A229" s="1"/>
      <c r="B229" s="1"/>
      <c r="C229" s="1"/>
      <c r="D229" s="1"/>
      <c r="E229" s="1"/>
      <c r="F229" s="1"/>
      <c r="G229" s="1"/>
    </row>
    <row r="230" spans="1:7" x14ac:dyDescent="0.2">
      <c r="A230" s="1"/>
      <c r="B230" s="1"/>
      <c r="C230" s="1"/>
      <c r="D230" s="1"/>
      <c r="E230" s="1"/>
      <c r="F230" s="1"/>
      <c r="G230" s="1"/>
    </row>
    <row r="231" spans="1:7" x14ac:dyDescent="0.2">
      <c r="A231" s="1"/>
      <c r="B231" s="1"/>
      <c r="C231" s="1"/>
      <c r="D231" s="1"/>
      <c r="E231" s="1"/>
      <c r="F231" s="1"/>
      <c r="G231" s="1"/>
    </row>
    <row r="232" spans="1:7" x14ac:dyDescent="0.2">
      <c r="A232" s="1"/>
      <c r="B232" s="1"/>
      <c r="C232" s="1"/>
      <c r="D232" s="1"/>
      <c r="E232" s="1"/>
      <c r="F232" s="1"/>
      <c r="G232" s="1"/>
    </row>
    <row r="233" spans="1:7" x14ac:dyDescent="0.2">
      <c r="A233" s="1"/>
      <c r="B233" s="1"/>
      <c r="C233" s="1"/>
      <c r="D233" s="1"/>
      <c r="E233" s="1"/>
      <c r="F233" s="1"/>
      <c r="G233" s="1"/>
    </row>
    <row r="234" spans="1:7" x14ac:dyDescent="0.2">
      <c r="A234" s="1"/>
      <c r="B234" s="1"/>
      <c r="C234" s="1"/>
      <c r="D234" s="1"/>
      <c r="E234" s="1"/>
      <c r="F234" s="1"/>
      <c r="G234" s="1"/>
    </row>
    <row r="235" spans="1:7" x14ac:dyDescent="0.2">
      <c r="A235" s="1"/>
      <c r="B235" s="1"/>
      <c r="C235" s="1"/>
      <c r="D235" s="1"/>
      <c r="E235" s="1"/>
      <c r="F235" s="1"/>
      <c r="G235" s="1"/>
    </row>
    <row r="236" spans="1:7" x14ac:dyDescent="0.2">
      <c r="A236" s="1"/>
      <c r="B236" s="1"/>
      <c r="C236" s="1"/>
      <c r="D236" s="1"/>
      <c r="E236" s="1"/>
      <c r="F236" s="1"/>
      <c r="G236" s="1"/>
    </row>
    <row r="237" spans="1:7" x14ac:dyDescent="0.2">
      <c r="A237" s="1"/>
      <c r="B237" s="1"/>
      <c r="C237" s="1"/>
      <c r="D237" s="1"/>
      <c r="E237" s="1"/>
      <c r="F237" s="1"/>
      <c r="G237" s="1"/>
    </row>
    <row r="238" spans="1:7" x14ac:dyDescent="0.2">
      <c r="A238" s="1"/>
      <c r="B238" s="1"/>
      <c r="C238" s="1"/>
      <c r="D238" s="1"/>
      <c r="E238" s="1"/>
      <c r="F238" s="1"/>
      <c r="G238" s="1"/>
    </row>
    <row r="239" spans="1:7" x14ac:dyDescent="0.2">
      <c r="A239" s="1"/>
      <c r="B239" s="1"/>
      <c r="C239" s="1"/>
      <c r="D239" s="1"/>
      <c r="E239" s="1"/>
      <c r="F239" s="1"/>
      <c r="G239" s="1"/>
    </row>
    <row r="240" spans="1:7" x14ac:dyDescent="0.2">
      <c r="A240" s="1"/>
      <c r="B240" s="1"/>
      <c r="C240" s="1"/>
      <c r="D240" s="1"/>
      <c r="E240" s="1"/>
      <c r="F240" s="1"/>
      <c r="G240" s="1"/>
    </row>
    <row r="241" spans="1:7" x14ac:dyDescent="0.2">
      <c r="A241" s="1"/>
      <c r="B241" s="1"/>
      <c r="C241" s="1"/>
      <c r="D241" s="1"/>
      <c r="E241" s="1"/>
      <c r="F241" s="1"/>
      <c r="G241" s="1"/>
    </row>
    <row r="242" spans="1:7" x14ac:dyDescent="0.2">
      <c r="A242" s="1"/>
      <c r="B242" s="1"/>
      <c r="C242" s="1"/>
      <c r="D242" s="1"/>
      <c r="E242" s="1"/>
      <c r="F242" s="1"/>
      <c r="G242" s="1"/>
    </row>
    <row r="243" spans="1:7" x14ac:dyDescent="0.2">
      <c r="A243" s="1"/>
      <c r="B243" s="1"/>
      <c r="C243" s="1"/>
      <c r="D243" s="1"/>
      <c r="E243" s="1"/>
      <c r="F243" s="1"/>
      <c r="G243" s="1"/>
    </row>
    <row r="244" spans="1:7" x14ac:dyDescent="0.2">
      <c r="A244" s="1"/>
      <c r="B244" s="1"/>
      <c r="C244" s="1"/>
      <c r="D244" s="1"/>
      <c r="E244" s="1"/>
      <c r="F244" s="1"/>
      <c r="G244" s="1"/>
    </row>
    <row r="245" spans="1:7" x14ac:dyDescent="0.2">
      <c r="A245" s="1"/>
      <c r="B245" s="1"/>
      <c r="C245" s="1"/>
      <c r="D245" s="1"/>
      <c r="E245" s="1"/>
      <c r="F245" s="1"/>
      <c r="G245" s="1"/>
    </row>
    <row r="246" spans="1:7" x14ac:dyDescent="0.2">
      <c r="A246" s="1"/>
      <c r="B246" s="1"/>
      <c r="C246" s="1"/>
      <c r="D246" s="1"/>
      <c r="E246" s="1"/>
      <c r="F246" s="1"/>
      <c r="G246" s="1"/>
    </row>
    <row r="247" spans="1:7" x14ac:dyDescent="0.2">
      <c r="A247" s="1"/>
      <c r="B247" s="1"/>
      <c r="C247" s="1"/>
      <c r="D247" s="1"/>
      <c r="E247" s="1"/>
      <c r="F247" s="1"/>
      <c r="G247" s="1"/>
    </row>
    <row r="248" spans="1:7" x14ac:dyDescent="0.2">
      <c r="A248" s="1"/>
      <c r="B248" s="1"/>
      <c r="C248" s="1"/>
      <c r="D248" s="1"/>
      <c r="E248" s="1"/>
      <c r="F248" s="1"/>
      <c r="G248" s="1"/>
    </row>
    <row r="249" spans="1:7" x14ac:dyDescent="0.2">
      <c r="A249" s="1"/>
      <c r="B249" s="1"/>
      <c r="C249" s="1"/>
      <c r="D249" s="1"/>
      <c r="E249" s="1"/>
      <c r="F249" s="1"/>
      <c r="G249" s="1"/>
    </row>
    <row r="250" spans="1:7" x14ac:dyDescent="0.2">
      <c r="A250" s="1"/>
      <c r="B250" s="1"/>
      <c r="C250" s="1"/>
      <c r="D250" s="1"/>
      <c r="E250" s="1"/>
      <c r="F250" s="1"/>
      <c r="G250" s="1"/>
    </row>
    <row r="251" spans="1:7" x14ac:dyDescent="0.2">
      <c r="A251" s="1"/>
      <c r="B251" s="1"/>
      <c r="C251" s="1"/>
      <c r="D251" s="1"/>
      <c r="E251" s="1"/>
      <c r="F251" s="1"/>
      <c r="G251" s="1"/>
    </row>
    <row r="252" spans="1:7" x14ac:dyDescent="0.2">
      <c r="A252" s="1"/>
      <c r="B252" s="1"/>
      <c r="C252" s="1"/>
      <c r="D252" s="1"/>
      <c r="E252" s="1"/>
      <c r="F252" s="1"/>
      <c r="G252" s="1"/>
    </row>
    <row r="253" spans="1:7" x14ac:dyDescent="0.2">
      <c r="A253" s="1"/>
      <c r="B253" s="1"/>
      <c r="C253" s="1"/>
      <c r="D253" s="1"/>
      <c r="E253" s="1"/>
      <c r="F253" s="1"/>
      <c r="G253" s="1"/>
    </row>
    <row r="254" spans="1:7" x14ac:dyDescent="0.2">
      <c r="A254" s="1"/>
      <c r="B254" s="1"/>
      <c r="C254" s="1"/>
      <c r="D254" s="1"/>
      <c r="E254" s="1"/>
      <c r="F254" s="1"/>
      <c r="G254" s="1"/>
    </row>
    <row r="255" spans="1:7" x14ac:dyDescent="0.2">
      <c r="A255" s="1"/>
      <c r="B255" s="1"/>
      <c r="C255" s="1"/>
      <c r="D255" s="1"/>
      <c r="E255" s="1"/>
      <c r="F255" s="1"/>
      <c r="G255" s="1"/>
    </row>
    <row r="256" spans="1:7" x14ac:dyDescent="0.2">
      <c r="A256" s="1"/>
      <c r="B256" s="1"/>
      <c r="C256" s="1"/>
      <c r="D256" s="1"/>
      <c r="E256" s="1"/>
      <c r="F256" s="1"/>
      <c r="G256" s="1"/>
    </row>
    <row r="257" spans="1:7" x14ac:dyDescent="0.2">
      <c r="A257" s="1"/>
      <c r="B257" s="1"/>
      <c r="C257" s="1"/>
      <c r="D257" s="1"/>
      <c r="E257" s="1"/>
      <c r="F257" s="1"/>
      <c r="G257" s="1"/>
    </row>
    <row r="258" spans="1:7" x14ac:dyDescent="0.2">
      <c r="A258" s="1"/>
      <c r="B258" s="1"/>
      <c r="C258" s="1"/>
      <c r="D258" s="1"/>
      <c r="E258" s="1"/>
      <c r="F258" s="1"/>
      <c r="G258" s="1"/>
    </row>
    <row r="259" spans="1:7" x14ac:dyDescent="0.2">
      <c r="A259" s="1"/>
      <c r="B259" s="1"/>
      <c r="C259" s="1"/>
      <c r="D259" s="1"/>
      <c r="E259" s="1"/>
      <c r="F259" s="1"/>
      <c r="G259" s="1"/>
    </row>
    <row r="260" spans="1:7" x14ac:dyDescent="0.2">
      <c r="A260" s="1"/>
      <c r="B260" s="1"/>
      <c r="C260" s="1"/>
      <c r="D260" s="1"/>
      <c r="E260" s="1"/>
      <c r="F260" s="1"/>
      <c r="G260" s="1"/>
    </row>
    <row r="261" spans="1:7" x14ac:dyDescent="0.2">
      <c r="A261" s="1"/>
      <c r="B261" s="1"/>
      <c r="C261" s="1"/>
      <c r="D261" s="1"/>
      <c r="E261" s="1"/>
      <c r="F261" s="1"/>
      <c r="G261" s="1"/>
    </row>
    <row r="262" spans="1:7" x14ac:dyDescent="0.2">
      <c r="A262" s="1"/>
      <c r="B262" s="1"/>
      <c r="C262" s="1"/>
      <c r="D262" s="1"/>
      <c r="E262" s="1"/>
      <c r="F262" s="1"/>
      <c r="G262" s="1"/>
    </row>
    <row r="263" spans="1:7" x14ac:dyDescent="0.2">
      <c r="A263" s="1"/>
      <c r="B263" s="1"/>
      <c r="C263" s="1"/>
      <c r="D263" s="1"/>
      <c r="E263" s="1"/>
      <c r="F263" s="1"/>
      <c r="G263" s="1"/>
    </row>
    <row r="264" spans="1:7" x14ac:dyDescent="0.2">
      <c r="A264" s="1"/>
      <c r="B264" s="1"/>
      <c r="C264" s="1"/>
      <c r="D264" s="1"/>
      <c r="E264" s="1"/>
      <c r="F264" s="1"/>
      <c r="G264" s="1"/>
    </row>
    <row r="265" spans="1:7" x14ac:dyDescent="0.2">
      <c r="A265" s="1"/>
      <c r="B265" s="1"/>
      <c r="C265" s="1"/>
      <c r="D265" s="1"/>
      <c r="E265" s="1"/>
      <c r="F265" s="1"/>
      <c r="G265" s="1"/>
    </row>
    <row r="266" spans="1:7" x14ac:dyDescent="0.2">
      <c r="A266" s="1"/>
      <c r="B266" s="1"/>
      <c r="C266" s="1"/>
      <c r="D266" s="1"/>
      <c r="E266" s="1"/>
      <c r="F266" s="1"/>
      <c r="G266" s="1"/>
    </row>
    <row r="267" spans="1:7" x14ac:dyDescent="0.2">
      <c r="A267" s="1"/>
      <c r="B267" s="1"/>
      <c r="C267" s="1"/>
      <c r="D267" s="1"/>
      <c r="E267" s="1"/>
      <c r="F267" s="1"/>
      <c r="G267" s="1"/>
    </row>
    <row r="268" spans="1:7" x14ac:dyDescent="0.2">
      <c r="A268" s="1"/>
      <c r="B268" s="1"/>
      <c r="C268" s="1"/>
      <c r="D268" s="1"/>
      <c r="E268" s="1"/>
      <c r="F268" s="1"/>
      <c r="G268" s="1"/>
    </row>
    <row r="269" spans="1:7" x14ac:dyDescent="0.2">
      <c r="A269" s="1"/>
      <c r="B269" s="1"/>
      <c r="C269" s="1"/>
      <c r="D269" s="1"/>
      <c r="E269" s="1"/>
      <c r="F269" s="1"/>
      <c r="G269" s="1"/>
    </row>
    <row r="270" spans="1:7" x14ac:dyDescent="0.2">
      <c r="A270" s="1"/>
      <c r="B270" s="1"/>
      <c r="C270" s="1"/>
      <c r="D270" s="1"/>
      <c r="E270" s="1"/>
      <c r="F270" s="1"/>
      <c r="G270" s="1"/>
    </row>
    <row r="271" spans="1:7" x14ac:dyDescent="0.2">
      <c r="A271" s="1"/>
      <c r="B271" s="1"/>
      <c r="C271" s="1"/>
      <c r="D271" s="1"/>
      <c r="E271" s="1"/>
      <c r="F271" s="1"/>
      <c r="G271" s="1"/>
    </row>
    <row r="272" spans="1:7" x14ac:dyDescent="0.2">
      <c r="A272" s="1"/>
      <c r="B272" s="1"/>
      <c r="C272" s="1"/>
      <c r="D272" s="1"/>
      <c r="E272" s="1"/>
      <c r="F272" s="1"/>
      <c r="G272" s="1"/>
    </row>
    <row r="273" spans="1:7" x14ac:dyDescent="0.2">
      <c r="A273" s="1"/>
      <c r="B273" s="1"/>
      <c r="C273" s="1"/>
      <c r="D273" s="1"/>
      <c r="E273" s="1"/>
      <c r="F273" s="1"/>
      <c r="G273" s="1"/>
    </row>
    <row r="274" spans="1:7" x14ac:dyDescent="0.2">
      <c r="A274" s="1"/>
      <c r="B274" s="1"/>
      <c r="C274" s="1"/>
      <c r="D274" s="1"/>
      <c r="E274" s="1"/>
      <c r="F274" s="1"/>
      <c r="G274" s="1"/>
    </row>
    <row r="275" spans="1:7" x14ac:dyDescent="0.2">
      <c r="A275" s="1"/>
      <c r="B275" s="1"/>
      <c r="C275" s="1"/>
      <c r="D275" s="1"/>
      <c r="E275" s="1"/>
      <c r="F275" s="1"/>
      <c r="G275" s="1"/>
    </row>
    <row r="276" spans="1:7" x14ac:dyDescent="0.2">
      <c r="A276" s="1"/>
      <c r="B276" s="1"/>
      <c r="C276" s="1"/>
      <c r="D276" s="1"/>
      <c r="E276" s="1"/>
      <c r="F276" s="1"/>
      <c r="G276" s="1"/>
    </row>
    <row r="277" spans="1:7" x14ac:dyDescent="0.2">
      <c r="A277" s="1"/>
      <c r="B277" s="1"/>
      <c r="C277" s="1"/>
      <c r="D277" s="1"/>
      <c r="E277" s="1"/>
      <c r="F277" s="1"/>
      <c r="G277" s="1"/>
    </row>
    <row r="278" spans="1:7" x14ac:dyDescent="0.2">
      <c r="A278" s="1"/>
      <c r="B278" s="1"/>
      <c r="C278" s="1"/>
      <c r="D278" s="1"/>
      <c r="E278" s="1"/>
      <c r="F278" s="1"/>
      <c r="G278" s="1"/>
    </row>
    <row r="279" spans="1:7" x14ac:dyDescent="0.2">
      <c r="A279" s="1"/>
      <c r="B279" s="1"/>
      <c r="C279" s="1"/>
      <c r="D279" s="1"/>
      <c r="E279" s="1"/>
      <c r="F279" s="1"/>
      <c r="G279" s="1"/>
    </row>
    <row r="280" spans="1:7" x14ac:dyDescent="0.2">
      <c r="A280" s="1"/>
      <c r="B280" s="1"/>
      <c r="C280" s="1"/>
      <c r="D280" s="1"/>
      <c r="E280" s="1"/>
      <c r="F280" s="1"/>
      <c r="G280" s="1"/>
    </row>
    <row r="281" spans="1:7" x14ac:dyDescent="0.2">
      <c r="A281" s="1"/>
      <c r="B281" s="1"/>
      <c r="C281" s="1"/>
      <c r="D281" s="1"/>
      <c r="E281" s="1"/>
      <c r="F281" s="1"/>
      <c r="G281" s="1"/>
    </row>
    <row r="282" spans="1:7" x14ac:dyDescent="0.2">
      <c r="A282" s="1"/>
      <c r="B282" s="1"/>
      <c r="C282" s="1"/>
      <c r="D282" s="1"/>
      <c r="E282" s="1"/>
      <c r="F282" s="1"/>
      <c r="G282" s="1"/>
    </row>
    <row r="283" spans="1:7" x14ac:dyDescent="0.2">
      <c r="A283" s="1"/>
      <c r="B283" s="1"/>
      <c r="C283" s="1"/>
      <c r="D283" s="1"/>
      <c r="E283" s="1"/>
      <c r="F283" s="1"/>
      <c r="G283" s="1"/>
    </row>
    <row r="284" spans="1:7" x14ac:dyDescent="0.2">
      <c r="A284" s="1"/>
      <c r="B284" s="1"/>
      <c r="C284" s="1"/>
      <c r="D284" s="1"/>
      <c r="E284" s="1"/>
      <c r="F284" s="1"/>
      <c r="G284" s="1"/>
    </row>
    <row r="285" spans="1:7" x14ac:dyDescent="0.2">
      <c r="A285" s="1"/>
      <c r="B285" s="1"/>
      <c r="C285" s="1"/>
      <c r="D285" s="1"/>
      <c r="E285" s="1"/>
      <c r="F285" s="1"/>
      <c r="G285" s="1"/>
    </row>
    <row r="286" spans="1:7" x14ac:dyDescent="0.2">
      <c r="A286" s="1"/>
      <c r="B286" s="1"/>
      <c r="C286" s="1"/>
      <c r="D286" s="1"/>
      <c r="E286" s="1"/>
      <c r="F286" s="1"/>
      <c r="G286" s="1"/>
    </row>
    <row r="287" spans="1:7" x14ac:dyDescent="0.2">
      <c r="A287" s="1"/>
      <c r="B287" s="1"/>
      <c r="C287" s="1"/>
      <c r="D287" s="1"/>
      <c r="E287" s="1"/>
      <c r="F287" s="1"/>
      <c r="G287" s="1"/>
    </row>
    <row r="288" spans="1:7" x14ac:dyDescent="0.2">
      <c r="A288" s="1"/>
      <c r="B288" s="1"/>
      <c r="C288" s="1"/>
      <c r="D288" s="1"/>
      <c r="E288" s="1"/>
      <c r="F288" s="1"/>
      <c r="G288" s="1"/>
    </row>
    <row r="289" spans="1:7" x14ac:dyDescent="0.2">
      <c r="A289" s="1"/>
      <c r="B289" s="1"/>
      <c r="C289" s="1"/>
      <c r="D289" s="1"/>
      <c r="E289" s="1"/>
      <c r="F289" s="1"/>
      <c r="G289" s="1"/>
    </row>
    <row r="290" spans="1:7" x14ac:dyDescent="0.2">
      <c r="A290" s="1"/>
      <c r="B290" s="1"/>
      <c r="C290" s="1"/>
      <c r="D290" s="1"/>
      <c r="E290" s="1"/>
      <c r="F290" s="1"/>
      <c r="G290" s="1"/>
    </row>
    <row r="291" spans="1:7" x14ac:dyDescent="0.2">
      <c r="A291" s="1"/>
      <c r="B291" s="1"/>
      <c r="C291" s="1"/>
      <c r="D291" s="1"/>
      <c r="E291" s="1"/>
      <c r="F291" s="1"/>
      <c r="G291" s="1"/>
    </row>
    <row r="292" spans="1:7" x14ac:dyDescent="0.2">
      <c r="A292" s="1"/>
      <c r="B292" s="1"/>
      <c r="C292" s="1"/>
      <c r="D292" s="1"/>
      <c r="E292" s="1"/>
      <c r="F292" s="1"/>
      <c r="G292" s="1"/>
    </row>
    <row r="293" spans="1:7" x14ac:dyDescent="0.2">
      <c r="A293" s="1"/>
      <c r="B293" s="1"/>
      <c r="C293" s="1"/>
      <c r="D293" s="1"/>
      <c r="E293" s="1"/>
      <c r="F293" s="1"/>
      <c r="G293" s="1"/>
    </row>
    <row r="294" spans="1:7" x14ac:dyDescent="0.2">
      <c r="A294" s="1"/>
      <c r="B294" s="1"/>
      <c r="C294" s="1"/>
      <c r="D294" s="1"/>
      <c r="E294" s="1"/>
      <c r="F294" s="1"/>
      <c r="G294" s="1"/>
    </row>
    <row r="295" spans="1:7" x14ac:dyDescent="0.2">
      <c r="A295" s="1"/>
      <c r="B295" s="1"/>
      <c r="C295" s="1"/>
      <c r="D295" s="1"/>
      <c r="E295" s="1"/>
      <c r="F295" s="1"/>
      <c r="G295" s="1"/>
    </row>
    <row r="296" spans="1:7" x14ac:dyDescent="0.2">
      <c r="A296" s="1"/>
      <c r="B296" s="1"/>
      <c r="C296" s="1"/>
      <c r="D296" s="1"/>
      <c r="E296" s="1"/>
      <c r="F296" s="1"/>
      <c r="G296" s="1"/>
    </row>
    <row r="297" spans="1:7" x14ac:dyDescent="0.2">
      <c r="A297" s="1"/>
      <c r="B297" s="1"/>
      <c r="C297" s="1"/>
      <c r="D297" s="1"/>
      <c r="E297" s="1"/>
      <c r="F297" s="1"/>
      <c r="G297" s="1"/>
    </row>
    <row r="298" spans="1:7" x14ac:dyDescent="0.2">
      <c r="A298" s="1"/>
      <c r="B298" s="1"/>
      <c r="C298" s="1"/>
      <c r="D298" s="1"/>
      <c r="E298" s="1"/>
      <c r="F298" s="1"/>
      <c r="G298" s="1"/>
    </row>
    <row r="299" spans="1:7" x14ac:dyDescent="0.2">
      <c r="A299" s="1"/>
      <c r="B299" s="1"/>
      <c r="C299" s="1"/>
      <c r="D299" s="1"/>
      <c r="E299" s="1"/>
      <c r="F299" s="1"/>
      <c r="G299" s="1"/>
    </row>
    <row r="300" spans="1:7" x14ac:dyDescent="0.2">
      <c r="A300" s="1"/>
      <c r="B300" s="1"/>
      <c r="C300" s="1"/>
      <c r="D300" s="1"/>
      <c r="E300" s="1"/>
      <c r="F300" s="1"/>
      <c r="G300" s="1"/>
    </row>
    <row r="301" spans="1:7" x14ac:dyDescent="0.2">
      <c r="A301" s="1"/>
      <c r="B301" s="1"/>
      <c r="C301" s="1"/>
      <c r="D301" s="1"/>
      <c r="E301" s="1"/>
      <c r="F301" s="1"/>
      <c r="G301" s="1"/>
    </row>
    <row r="302" spans="1:7" x14ac:dyDescent="0.2">
      <c r="A302" s="1"/>
      <c r="B302" s="1"/>
      <c r="C302" s="1"/>
      <c r="D302" s="1"/>
      <c r="E302" s="1"/>
      <c r="F302" s="1"/>
      <c r="G302" s="1"/>
    </row>
    <row r="303" spans="1:7" x14ac:dyDescent="0.2">
      <c r="A303" s="1"/>
      <c r="B303" s="1"/>
      <c r="C303" s="1"/>
      <c r="D303" s="1"/>
      <c r="E303" s="1"/>
      <c r="F303" s="1"/>
      <c r="G303" s="1"/>
    </row>
    <row r="304" spans="1:7" x14ac:dyDescent="0.2">
      <c r="A304" s="1"/>
      <c r="B304" s="1"/>
      <c r="C304" s="1"/>
      <c r="D304" s="1"/>
      <c r="E304" s="1"/>
      <c r="F304" s="1"/>
      <c r="G304" s="1"/>
    </row>
    <row r="305" spans="1:7" x14ac:dyDescent="0.2">
      <c r="A305" s="1"/>
      <c r="B305" s="1"/>
      <c r="C305" s="1"/>
      <c r="D305" s="1"/>
      <c r="E305" s="1"/>
      <c r="F305" s="1"/>
      <c r="G305" s="1"/>
    </row>
    <row r="306" spans="1:7" x14ac:dyDescent="0.2">
      <c r="A306" s="1"/>
      <c r="B306" s="1"/>
      <c r="C306" s="1"/>
      <c r="D306" s="1"/>
      <c r="E306" s="1"/>
      <c r="F306" s="1"/>
      <c r="G306" s="1"/>
    </row>
    <row r="307" spans="1:7" x14ac:dyDescent="0.2">
      <c r="A307" s="1"/>
      <c r="B307" s="1"/>
      <c r="C307" s="1"/>
      <c r="D307" s="1"/>
      <c r="E307" s="1"/>
      <c r="F307" s="1"/>
      <c r="G307" s="1"/>
    </row>
    <row r="308" spans="1:7" x14ac:dyDescent="0.2">
      <c r="A308" s="1"/>
      <c r="B308" s="1"/>
      <c r="C308" s="1"/>
      <c r="D308" s="1"/>
      <c r="E308" s="1"/>
      <c r="F308" s="1"/>
      <c r="G308" s="1"/>
    </row>
    <row r="309" spans="1:7" x14ac:dyDescent="0.2">
      <c r="A309" s="1"/>
      <c r="B309" s="1"/>
      <c r="C309" s="1"/>
      <c r="D309" s="1"/>
      <c r="E309" s="1"/>
      <c r="F309" s="1"/>
      <c r="G309" s="1"/>
    </row>
    <row r="310" spans="1:7" x14ac:dyDescent="0.2">
      <c r="A310" s="1"/>
      <c r="B310" s="1"/>
      <c r="C310" s="1"/>
      <c r="D310" s="1"/>
      <c r="E310" s="1"/>
      <c r="F310" s="1"/>
      <c r="G310" s="1"/>
    </row>
    <row r="311" spans="1:7" x14ac:dyDescent="0.2">
      <c r="A311" s="1"/>
      <c r="B311" s="1"/>
      <c r="C311" s="1"/>
      <c r="D311" s="1"/>
      <c r="E311" s="1"/>
      <c r="F311" s="1"/>
      <c r="G311" s="1"/>
    </row>
    <row r="312" spans="1:7" x14ac:dyDescent="0.2">
      <c r="A312" s="1"/>
      <c r="B312" s="1"/>
      <c r="C312" s="1"/>
      <c r="D312" s="1"/>
      <c r="E312" s="1"/>
      <c r="F312" s="1"/>
      <c r="G312" s="1"/>
    </row>
    <row r="313" spans="1:7" x14ac:dyDescent="0.2">
      <c r="A313" s="1"/>
      <c r="B313" s="1"/>
      <c r="C313" s="1"/>
      <c r="D313" s="1"/>
      <c r="E313" s="1"/>
      <c r="F313" s="1"/>
      <c r="G313" s="1"/>
    </row>
    <row r="314" spans="1:7" x14ac:dyDescent="0.2">
      <c r="A314" s="1"/>
      <c r="B314" s="1"/>
      <c r="C314" s="1"/>
      <c r="D314" s="1"/>
      <c r="E314" s="1"/>
      <c r="F314" s="1"/>
      <c r="G314" s="1"/>
    </row>
    <row r="315" spans="1:7" x14ac:dyDescent="0.2">
      <c r="A315" s="1"/>
      <c r="B315" s="1"/>
      <c r="C315" s="1"/>
      <c r="D315" s="1"/>
      <c r="E315" s="1"/>
      <c r="F315" s="1"/>
      <c r="G315" s="1"/>
    </row>
    <row r="316" spans="1:7" x14ac:dyDescent="0.2">
      <c r="A316" s="1"/>
      <c r="B316" s="1"/>
      <c r="C316" s="1"/>
      <c r="D316" s="1"/>
      <c r="E316" s="1"/>
      <c r="F316" s="1"/>
      <c r="G316" s="1"/>
    </row>
    <row r="317" spans="1:7" x14ac:dyDescent="0.2">
      <c r="A317" s="1"/>
      <c r="B317" s="1"/>
      <c r="C317" s="1"/>
      <c r="D317" s="1"/>
      <c r="E317" s="1"/>
      <c r="F317" s="1"/>
      <c r="G317" s="1"/>
    </row>
    <row r="318" spans="1:7" x14ac:dyDescent="0.2">
      <c r="A318" s="1"/>
      <c r="B318" s="1"/>
      <c r="C318" s="1"/>
      <c r="D318" s="1"/>
      <c r="E318" s="1"/>
      <c r="F318" s="1"/>
      <c r="G318" s="1"/>
    </row>
    <row r="319" spans="1:7" x14ac:dyDescent="0.2">
      <c r="A319" s="1"/>
      <c r="B319" s="1"/>
      <c r="C319" s="1"/>
      <c r="D319" s="1"/>
      <c r="E319" s="1"/>
      <c r="F319" s="1"/>
      <c r="G319" s="1"/>
    </row>
    <row r="320" spans="1:7" x14ac:dyDescent="0.2">
      <c r="A320" s="1"/>
      <c r="B320" s="1"/>
      <c r="C320" s="1"/>
      <c r="D320" s="1"/>
      <c r="E320" s="1"/>
      <c r="F320" s="1"/>
      <c r="G320" s="1"/>
    </row>
    <row r="321" spans="1:7" x14ac:dyDescent="0.2">
      <c r="A321" s="1"/>
      <c r="B321" s="1"/>
      <c r="C321" s="1"/>
      <c r="D321" s="1"/>
      <c r="E321" s="1"/>
      <c r="F321" s="1"/>
      <c r="G321" s="1"/>
    </row>
    <row r="322" spans="1:7" x14ac:dyDescent="0.2">
      <c r="A322" s="1"/>
      <c r="B322" s="1"/>
      <c r="C322" s="1"/>
      <c r="D322" s="1"/>
      <c r="E322" s="1"/>
      <c r="F322" s="1"/>
      <c r="G322" s="1"/>
    </row>
    <row r="323" spans="1:7" x14ac:dyDescent="0.2">
      <c r="A323" s="1"/>
      <c r="B323" s="1"/>
      <c r="C323" s="1"/>
      <c r="D323" s="1"/>
      <c r="E323" s="1"/>
      <c r="F323" s="1"/>
      <c r="G323" s="1"/>
    </row>
    <row r="324" spans="1:7" x14ac:dyDescent="0.2">
      <c r="A324" s="1"/>
      <c r="B324" s="1"/>
      <c r="C324" s="1"/>
      <c r="D324" s="1"/>
      <c r="E324" s="1"/>
      <c r="F324" s="1"/>
      <c r="G324" s="1"/>
    </row>
    <row r="325" spans="1:7" x14ac:dyDescent="0.2">
      <c r="A325" s="1"/>
      <c r="B325" s="1"/>
      <c r="C325" s="1"/>
      <c r="D325" s="1"/>
      <c r="E325" s="1"/>
      <c r="F325" s="1"/>
      <c r="G325" s="1"/>
    </row>
    <row r="326" spans="1:7" x14ac:dyDescent="0.2">
      <c r="A326" s="1"/>
      <c r="B326" s="1"/>
      <c r="C326" s="1"/>
      <c r="D326" s="1"/>
      <c r="E326" s="1"/>
      <c r="F326" s="1"/>
      <c r="G326" s="1"/>
    </row>
    <row r="327" spans="1:7" x14ac:dyDescent="0.2">
      <c r="A327" s="1"/>
      <c r="B327" s="1"/>
      <c r="C327" s="1"/>
      <c r="D327" s="1"/>
      <c r="E327" s="1"/>
      <c r="F327" s="1"/>
      <c r="G327" s="1"/>
    </row>
    <row r="328" spans="1:7" x14ac:dyDescent="0.2">
      <c r="A328" s="1"/>
      <c r="B328" s="1"/>
      <c r="C328" s="1"/>
      <c r="D328" s="1"/>
      <c r="E328" s="1"/>
      <c r="F328" s="1"/>
      <c r="G328" s="1"/>
    </row>
    <row r="329" spans="1:7" x14ac:dyDescent="0.2">
      <c r="A329" s="1"/>
      <c r="B329" s="1"/>
      <c r="C329" s="1"/>
      <c r="D329" s="1"/>
      <c r="E329" s="1"/>
      <c r="F329" s="1"/>
      <c r="G329" s="1"/>
    </row>
    <row r="330" spans="1:7" x14ac:dyDescent="0.2">
      <c r="A330" s="1"/>
      <c r="B330" s="1"/>
      <c r="C330" s="1"/>
      <c r="D330" s="1"/>
      <c r="E330" s="1"/>
      <c r="F330" s="1"/>
      <c r="G330" s="1"/>
    </row>
    <row r="331" spans="1:7" x14ac:dyDescent="0.2">
      <c r="A331" s="1"/>
      <c r="B331" s="1"/>
      <c r="C331" s="1"/>
      <c r="D331" s="1"/>
      <c r="E331" s="1"/>
      <c r="F331" s="1"/>
      <c r="G331" s="1"/>
    </row>
    <row r="332" spans="1:7" x14ac:dyDescent="0.2">
      <c r="A332" s="1"/>
      <c r="B332" s="1"/>
      <c r="C332" s="1"/>
      <c r="D332" s="1"/>
      <c r="E332" s="1"/>
      <c r="F332" s="1"/>
      <c r="G332" s="1"/>
    </row>
    <row r="333" spans="1:7" x14ac:dyDescent="0.2">
      <c r="A333" s="1"/>
      <c r="B333" s="1"/>
      <c r="C333" s="1"/>
      <c r="D333" s="1"/>
      <c r="E333" s="1"/>
      <c r="F333" s="1"/>
      <c r="G333" s="1"/>
    </row>
    <row r="334" spans="1:7" x14ac:dyDescent="0.2">
      <c r="A334" s="1"/>
      <c r="B334" s="1"/>
      <c r="C334" s="1"/>
      <c r="D334" s="1"/>
      <c r="E334" s="1"/>
      <c r="F334" s="1"/>
      <c r="G334" s="1"/>
    </row>
    <row r="335" spans="1:7" x14ac:dyDescent="0.2">
      <c r="A335" s="1"/>
      <c r="B335" s="1"/>
      <c r="C335" s="1"/>
      <c r="D335" s="1"/>
      <c r="E335" s="1"/>
      <c r="F335" s="1"/>
      <c r="G335" s="1"/>
    </row>
    <row r="336" spans="1:7" x14ac:dyDescent="0.2">
      <c r="A336" s="1"/>
      <c r="B336" s="1"/>
      <c r="C336" s="1"/>
      <c r="D336" s="1"/>
      <c r="E336" s="1"/>
      <c r="F336" s="1"/>
      <c r="G336" s="1"/>
    </row>
    <row r="337" spans="1:7" x14ac:dyDescent="0.2">
      <c r="A337" s="1"/>
      <c r="B337" s="1"/>
      <c r="C337" s="1"/>
      <c r="D337" s="1"/>
      <c r="E337" s="1"/>
      <c r="F337" s="1"/>
      <c r="G337" s="1"/>
    </row>
    <row r="338" spans="1:7" x14ac:dyDescent="0.2">
      <c r="A338" s="1"/>
      <c r="B338" s="1"/>
      <c r="C338" s="1"/>
      <c r="D338" s="1"/>
      <c r="E338" s="1"/>
      <c r="F338" s="1"/>
      <c r="G338" s="1"/>
    </row>
    <row r="339" spans="1:7" x14ac:dyDescent="0.2">
      <c r="A339" s="1"/>
      <c r="B339" s="1"/>
      <c r="C339" s="1"/>
      <c r="D339" s="1"/>
      <c r="E339" s="1"/>
      <c r="F339" s="1"/>
      <c r="G339" s="1"/>
    </row>
    <row r="340" spans="1:7" x14ac:dyDescent="0.2">
      <c r="A340" s="1"/>
      <c r="B340" s="1"/>
      <c r="C340" s="1"/>
      <c r="D340" s="1"/>
      <c r="E340" s="1"/>
      <c r="F340" s="1"/>
      <c r="G340" s="1"/>
    </row>
    <row r="341" spans="1:7" x14ac:dyDescent="0.2">
      <c r="A341" s="1"/>
      <c r="B341" s="1"/>
      <c r="C341" s="1"/>
      <c r="D341" s="1"/>
      <c r="E341" s="1"/>
      <c r="F341" s="1"/>
      <c r="G341" s="1"/>
    </row>
    <row r="342" spans="1:7" x14ac:dyDescent="0.2">
      <c r="A342" s="1"/>
      <c r="B342" s="1"/>
      <c r="C342" s="1"/>
      <c r="D342" s="1"/>
      <c r="E342" s="1"/>
      <c r="F342" s="1"/>
      <c r="G342" s="1"/>
    </row>
    <row r="343" spans="1:7" x14ac:dyDescent="0.2">
      <c r="A343" s="1"/>
      <c r="B343" s="1"/>
      <c r="C343" s="1"/>
      <c r="D343" s="1"/>
      <c r="E343" s="1"/>
      <c r="F343" s="1"/>
      <c r="G343" s="1"/>
    </row>
    <row r="344" spans="1:7" x14ac:dyDescent="0.2">
      <c r="A344" s="1"/>
      <c r="B344" s="1"/>
      <c r="C344" s="1"/>
      <c r="D344" s="1"/>
      <c r="E344" s="1"/>
      <c r="F344" s="1"/>
      <c r="G344" s="1"/>
    </row>
    <row r="345" spans="1:7" x14ac:dyDescent="0.2">
      <c r="A345" s="1"/>
      <c r="B345" s="1"/>
      <c r="C345" s="1"/>
      <c r="D345" s="1"/>
      <c r="E345" s="1"/>
      <c r="F345" s="1"/>
      <c r="G345" s="1"/>
    </row>
    <row r="346" spans="1:7" x14ac:dyDescent="0.2">
      <c r="A346" s="1"/>
      <c r="B346" s="1"/>
      <c r="C346" s="1"/>
      <c r="D346" s="1"/>
      <c r="E346" s="1"/>
      <c r="F346" s="1"/>
      <c r="G346" s="1"/>
    </row>
    <row r="347" spans="1:7" x14ac:dyDescent="0.2">
      <c r="A347" s="1"/>
      <c r="B347" s="1"/>
      <c r="C347" s="1"/>
      <c r="D347" s="1"/>
      <c r="E347" s="1"/>
      <c r="F347" s="1"/>
      <c r="G347" s="1"/>
    </row>
    <row r="348" spans="1:7" x14ac:dyDescent="0.2">
      <c r="A348" s="1"/>
      <c r="B348" s="1"/>
      <c r="C348" s="1"/>
      <c r="D348" s="1"/>
      <c r="E348" s="1"/>
      <c r="F348" s="1"/>
      <c r="G348" s="1"/>
    </row>
    <row r="349" spans="1:7" x14ac:dyDescent="0.2">
      <c r="A349" s="1"/>
      <c r="B349" s="1"/>
      <c r="C349" s="1"/>
      <c r="D349" s="1"/>
      <c r="E349" s="1"/>
      <c r="F349" s="1"/>
      <c r="G349" s="1"/>
    </row>
    <row r="350" spans="1:7" x14ac:dyDescent="0.2">
      <c r="A350" s="1"/>
      <c r="B350" s="1"/>
      <c r="C350" s="1"/>
      <c r="D350" s="1"/>
      <c r="E350" s="1"/>
      <c r="F350" s="1"/>
      <c r="G350" s="1"/>
    </row>
    <row r="351" spans="1:7" x14ac:dyDescent="0.2">
      <c r="A351" s="1"/>
      <c r="B351" s="1"/>
      <c r="C351" s="1"/>
      <c r="D351" s="1"/>
      <c r="E351" s="1"/>
      <c r="F351" s="1"/>
      <c r="G351" s="1"/>
    </row>
    <row r="352" spans="1:7" x14ac:dyDescent="0.2">
      <c r="A352" s="1"/>
      <c r="B352" s="1"/>
      <c r="C352" s="1"/>
      <c r="D352" s="1"/>
      <c r="E352" s="1"/>
      <c r="F352" s="1"/>
      <c r="G352" s="1"/>
    </row>
    <row r="353" spans="1:7" x14ac:dyDescent="0.2">
      <c r="A353" s="1"/>
      <c r="B353" s="1"/>
      <c r="C353" s="1"/>
      <c r="D353" s="1"/>
      <c r="E353" s="1"/>
      <c r="F353" s="1"/>
      <c r="G353" s="1"/>
    </row>
    <row r="354" spans="1:7" x14ac:dyDescent="0.2">
      <c r="A354" s="1"/>
      <c r="B354" s="1"/>
      <c r="C354" s="1"/>
      <c r="D354" s="1"/>
      <c r="E354" s="1"/>
      <c r="F354" s="1"/>
      <c r="G354" s="1"/>
    </row>
    <row r="355" spans="1:7" x14ac:dyDescent="0.2">
      <c r="A355" s="1"/>
      <c r="B355" s="1"/>
      <c r="C355" s="1"/>
      <c r="D355" s="1"/>
      <c r="E355" s="1"/>
      <c r="F355" s="1"/>
      <c r="G355" s="1"/>
    </row>
    <row r="356" spans="1:7" x14ac:dyDescent="0.2">
      <c r="A356" s="1"/>
      <c r="B356" s="1"/>
      <c r="C356" s="1"/>
      <c r="D356" s="1"/>
      <c r="E356" s="1"/>
      <c r="F356" s="1"/>
      <c r="G356" s="1"/>
    </row>
    <row r="357" spans="1:7" x14ac:dyDescent="0.2">
      <c r="A357" s="1"/>
      <c r="B357" s="1"/>
      <c r="C357" s="1"/>
      <c r="D357" s="1"/>
      <c r="E357" s="1"/>
      <c r="F357" s="1"/>
      <c r="G357" s="1"/>
    </row>
    <row r="358" spans="1:7" x14ac:dyDescent="0.2">
      <c r="A358" s="1"/>
      <c r="B358" s="1"/>
      <c r="C358" s="1"/>
      <c r="D358" s="1"/>
      <c r="E358" s="1"/>
      <c r="F358" s="1"/>
      <c r="G358" s="1"/>
    </row>
    <row r="359" spans="1:7" x14ac:dyDescent="0.2">
      <c r="A359" s="1"/>
      <c r="B359" s="1"/>
      <c r="C359" s="1"/>
      <c r="D359" s="1"/>
      <c r="E359" s="1"/>
      <c r="F359" s="1"/>
      <c r="G359" s="1"/>
    </row>
    <row r="360" spans="1:7" x14ac:dyDescent="0.2">
      <c r="A360" s="1"/>
      <c r="B360" s="1"/>
      <c r="C360" s="1"/>
      <c r="D360" s="1"/>
      <c r="E360" s="1"/>
      <c r="F360" s="1"/>
      <c r="G360" s="1"/>
    </row>
    <row r="361" spans="1:7" x14ac:dyDescent="0.2">
      <c r="A361" s="1"/>
      <c r="B361" s="1"/>
      <c r="C361" s="1"/>
      <c r="D361" s="1"/>
      <c r="E361" s="1"/>
      <c r="F361" s="1"/>
      <c r="G361" s="1"/>
    </row>
    <row r="362" spans="1:7" x14ac:dyDescent="0.2">
      <c r="A362" s="1"/>
      <c r="B362" s="1"/>
      <c r="C362" s="1"/>
      <c r="D362" s="1"/>
      <c r="E362" s="1"/>
      <c r="F362" s="1"/>
      <c r="G362" s="1"/>
    </row>
    <row r="363" spans="1:7" x14ac:dyDescent="0.2">
      <c r="A363" s="1"/>
      <c r="B363" s="1"/>
      <c r="C363" s="1"/>
      <c r="D363" s="1"/>
      <c r="E363" s="1"/>
      <c r="F363" s="1"/>
      <c r="G363" s="1"/>
    </row>
    <row r="364" spans="1:7" x14ac:dyDescent="0.2">
      <c r="A364" s="1"/>
      <c r="B364" s="1"/>
      <c r="C364" s="1"/>
      <c r="D364" s="1"/>
      <c r="E364" s="1"/>
      <c r="F364" s="1"/>
      <c r="G364" s="1"/>
    </row>
    <row r="365" spans="1:7" x14ac:dyDescent="0.2">
      <c r="A365" s="1"/>
      <c r="B365" s="1"/>
      <c r="C365" s="1"/>
      <c r="D365" s="1"/>
      <c r="E365" s="1"/>
      <c r="F365" s="1"/>
      <c r="G365" s="1"/>
    </row>
    <row r="366" spans="1:7" x14ac:dyDescent="0.2">
      <c r="A366" s="1"/>
      <c r="B366" s="1"/>
      <c r="C366" s="1"/>
      <c r="D366" s="1"/>
      <c r="E366" s="1"/>
      <c r="F366" s="1"/>
      <c r="G366" s="1"/>
    </row>
    <row r="367" spans="1:7" x14ac:dyDescent="0.2">
      <c r="A367" s="1"/>
      <c r="B367" s="1"/>
      <c r="C367" s="1"/>
      <c r="D367" s="1"/>
      <c r="E367" s="1"/>
      <c r="F367" s="1"/>
      <c r="G367" s="1"/>
    </row>
    <row r="368" spans="1:7" x14ac:dyDescent="0.2">
      <c r="A368" s="1"/>
      <c r="B368" s="1"/>
      <c r="C368" s="1"/>
      <c r="D368" s="1"/>
      <c r="E368" s="1"/>
      <c r="F368" s="1"/>
      <c r="G368" s="1"/>
    </row>
    <row r="369" spans="1:7" x14ac:dyDescent="0.2">
      <c r="A369" s="1"/>
      <c r="B369" s="1"/>
      <c r="C369" s="1"/>
      <c r="D369" s="1"/>
      <c r="E369" s="1"/>
      <c r="F369" s="1"/>
      <c r="G369" s="1"/>
    </row>
    <row r="370" spans="1:7" x14ac:dyDescent="0.2">
      <c r="A370" s="1"/>
      <c r="B370" s="1"/>
      <c r="C370" s="1"/>
      <c r="D370" s="1"/>
      <c r="E370" s="1"/>
      <c r="F370" s="1"/>
      <c r="G370" s="1"/>
    </row>
    <row r="371" spans="1:7" x14ac:dyDescent="0.2">
      <c r="A371" s="1"/>
      <c r="B371" s="1"/>
      <c r="C371" s="1"/>
      <c r="D371" s="1"/>
      <c r="E371" s="1"/>
      <c r="F371" s="1"/>
      <c r="G371" s="1"/>
    </row>
    <row r="372" spans="1:7" x14ac:dyDescent="0.2">
      <c r="A372" s="1"/>
      <c r="B372" s="1"/>
      <c r="C372" s="1"/>
      <c r="D372" s="1"/>
      <c r="E372" s="1"/>
      <c r="F372" s="1"/>
      <c r="G372" s="1"/>
    </row>
    <row r="373" spans="1:7" x14ac:dyDescent="0.2">
      <c r="A373" s="1"/>
      <c r="B373" s="1"/>
      <c r="C373" s="1"/>
      <c r="D373" s="1"/>
      <c r="E373" s="1"/>
      <c r="F373" s="1"/>
      <c r="G373" s="1"/>
    </row>
    <row r="374" spans="1:7" x14ac:dyDescent="0.2">
      <c r="A374" s="1"/>
      <c r="B374" s="1"/>
      <c r="C374" s="1"/>
      <c r="D374" s="1"/>
      <c r="E374" s="1"/>
      <c r="F374" s="1"/>
      <c r="G374" s="1"/>
    </row>
    <row r="375" spans="1:7" x14ac:dyDescent="0.2">
      <c r="A375" s="1"/>
      <c r="B375" s="1"/>
      <c r="C375" s="1"/>
      <c r="D375" s="1"/>
      <c r="E375" s="1"/>
      <c r="F375" s="1"/>
      <c r="G375" s="1"/>
    </row>
    <row r="376" spans="1:7" x14ac:dyDescent="0.2">
      <c r="A376" s="1"/>
      <c r="B376" s="1"/>
      <c r="C376" s="1"/>
      <c r="D376" s="1"/>
      <c r="E376" s="1"/>
      <c r="F376" s="1"/>
      <c r="G376" s="1"/>
    </row>
    <row r="377" spans="1:7" x14ac:dyDescent="0.2">
      <c r="A377" s="1"/>
      <c r="B377" s="1"/>
      <c r="C377" s="1"/>
      <c r="D377" s="1"/>
      <c r="E377" s="1"/>
      <c r="F377" s="1"/>
      <c r="G377" s="1"/>
    </row>
    <row r="378" spans="1:7" x14ac:dyDescent="0.2">
      <c r="A378" s="1"/>
      <c r="B378" s="1"/>
      <c r="C378" s="1"/>
      <c r="D378" s="1"/>
      <c r="E378" s="1"/>
      <c r="F378" s="1"/>
      <c r="G378" s="1"/>
    </row>
    <row r="379" spans="1:7" x14ac:dyDescent="0.2">
      <c r="A379" s="1"/>
      <c r="B379" s="1"/>
      <c r="C379" s="1"/>
      <c r="D379" s="1"/>
      <c r="E379" s="1"/>
      <c r="F379" s="1"/>
      <c r="G379" s="1"/>
    </row>
    <row r="380" spans="1:7" x14ac:dyDescent="0.2">
      <c r="A380" s="1"/>
      <c r="B380" s="1"/>
      <c r="C380" s="1"/>
      <c r="D380" s="1"/>
      <c r="E380" s="1"/>
      <c r="F380" s="1"/>
      <c r="G380" s="1"/>
    </row>
    <row r="381" spans="1:7" x14ac:dyDescent="0.2">
      <c r="A381" s="1"/>
      <c r="B381" s="1"/>
      <c r="C381" s="1"/>
      <c r="D381" s="1"/>
      <c r="E381" s="1"/>
      <c r="F381" s="1"/>
      <c r="G381" s="1"/>
    </row>
    <row r="382" spans="1:7" x14ac:dyDescent="0.2">
      <c r="A382" s="1"/>
      <c r="B382" s="1"/>
      <c r="C382" s="1"/>
      <c r="D382" s="1"/>
      <c r="E382" s="1"/>
      <c r="F382" s="1"/>
      <c r="G382" s="1"/>
    </row>
    <row r="383" spans="1:7" x14ac:dyDescent="0.2">
      <c r="A383" s="1"/>
      <c r="B383" s="1"/>
      <c r="C383" s="1"/>
      <c r="D383" s="1"/>
      <c r="E383" s="1"/>
      <c r="F383" s="1"/>
      <c r="G383" s="1"/>
    </row>
    <row r="384" spans="1:7" x14ac:dyDescent="0.2">
      <c r="A384" s="1"/>
      <c r="B384" s="1"/>
      <c r="C384" s="1"/>
      <c r="D384" s="1"/>
      <c r="E384" s="1"/>
      <c r="F384" s="1"/>
      <c r="G384" s="1"/>
    </row>
    <row r="385" spans="1:7" x14ac:dyDescent="0.2">
      <c r="A385" s="1"/>
      <c r="B385" s="1"/>
      <c r="C385" s="1"/>
      <c r="D385" s="1"/>
      <c r="E385" s="1"/>
      <c r="F385" s="1"/>
      <c r="G385" s="1"/>
    </row>
    <row r="386" spans="1:7" x14ac:dyDescent="0.2">
      <c r="A386" s="1"/>
      <c r="B386" s="1"/>
      <c r="C386" s="1"/>
      <c r="D386" s="1"/>
      <c r="E386" s="1"/>
      <c r="F386" s="1"/>
      <c r="G386" s="1"/>
    </row>
    <row r="387" spans="1:7" x14ac:dyDescent="0.2">
      <c r="A387" s="1"/>
      <c r="B387" s="1"/>
      <c r="C387" s="1"/>
      <c r="D387" s="1"/>
      <c r="E387" s="1"/>
      <c r="F387" s="1"/>
      <c r="G387" s="1"/>
    </row>
    <row r="388" spans="1:7" x14ac:dyDescent="0.2">
      <c r="A388" s="1"/>
      <c r="B388" s="1"/>
      <c r="C388" s="1"/>
      <c r="D388" s="1"/>
      <c r="E388" s="1"/>
      <c r="F388" s="1"/>
      <c r="G388" s="1"/>
    </row>
    <row r="389" spans="1:7" x14ac:dyDescent="0.2">
      <c r="A389" s="1"/>
      <c r="B389" s="1"/>
      <c r="C389" s="1"/>
      <c r="D389" s="1"/>
      <c r="E389" s="1"/>
      <c r="F389" s="1"/>
      <c r="G389" s="1"/>
    </row>
    <row r="390" spans="1:7" x14ac:dyDescent="0.2">
      <c r="A390" s="1"/>
      <c r="B390" s="1"/>
      <c r="C390" s="1"/>
      <c r="D390" s="1"/>
      <c r="E390" s="1"/>
      <c r="F390" s="1"/>
      <c r="G390" s="1"/>
    </row>
    <row r="391" spans="1:7" x14ac:dyDescent="0.2">
      <c r="A391" s="1"/>
      <c r="B391" s="1"/>
      <c r="C391" s="1"/>
      <c r="D391" s="1"/>
      <c r="E391" s="1"/>
      <c r="F391" s="1"/>
      <c r="G391" s="1"/>
    </row>
    <row r="392" spans="1:7" x14ac:dyDescent="0.2">
      <c r="A392" s="1"/>
      <c r="B392" s="1"/>
      <c r="C392" s="1"/>
      <c r="D392" s="1"/>
      <c r="E392" s="1"/>
      <c r="F392" s="1"/>
      <c r="G392" s="1"/>
    </row>
    <row r="393" spans="1:7" x14ac:dyDescent="0.2">
      <c r="A393" s="1"/>
      <c r="B393" s="1"/>
      <c r="C393" s="1"/>
      <c r="D393" s="1"/>
      <c r="E393" s="1"/>
      <c r="F393" s="1"/>
      <c r="G393" s="1"/>
    </row>
    <row r="394" spans="1:7" x14ac:dyDescent="0.2">
      <c r="A394" s="1"/>
      <c r="B394" s="1"/>
      <c r="C394" s="1"/>
      <c r="D394" s="1"/>
      <c r="E394" s="1"/>
      <c r="F394" s="1"/>
      <c r="G394" s="1"/>
    </row>
    <row r="395" spans="1:7" x14ac:dyDescent="0.2">
      <c r="A395" s="1"/>
      <c r="B395" s="1"/>
      <c r="C395" s="1"/>
      <c r="D395" s="1"/>
      <c r="E395" s="1"/>
      <c r="F395" s="1"/>
      <c r="G395" s="1"/>
    </row>
    <row r="396" spans="1:7" x14ac:dyDescent="0.2">
      <c r="A396" s="1"/>
      <c r="B396" s="1"/>
      <c r="C396" s="1"/>
      <c r="D396" s="1"/>
      <c r="E396" s="1"/>
      <c r="F396" s="1"/>
      <c r="G396" s="1"/>
    </row>
    <row r="397" spans="1:7" x14ac:dyDescent="0.2">
      <c r="A397" s="1"/>
      <c r="B397" s="1"/>
      <c r="C397" s="1"/>
      <c r="D397" s="1"/>
      <c r="E397" s="1"/>
      <c r="F397" s="1"/>
      <c r="G397" s="1"/>
    </row>
    <row r="398" spans="1:7" x14ac:dyDescent="0.2">
      <c r="A398" s="1"/>
      <c r="B398" s="1"/>
      <c r="C398" s="1"/>
      <c r="D398" s="1"/>
      <c r="E398" s="1"/>
      <c r="F398" s="1"/>
      <c r="G398" s="1"/>
    </row>
    <row r="399" spans="1:7" x14ac:dyDescent="0.2">
      <c r="A399" s="1"/>
      <c r="B399" s="1"/>
      <c r="C399" s="1"/>
      <c r="D399" s="1"/>
      <c r="E399" s="1"/>
      <c r="F399" s="1"/>
      <c r="G399" s="1"/>
    </row>
    <row r="400" spans="1:7" x14ac:dyDescent="0.2">
      <c r="A400" s="1"/>
      <c r="B400" s="1"/>
      <c r="C400" s="1"/>
      <c r="D400" s="1"/>
      <c r="E400" s="1"/>
      <c r="F400" s="1"/>
      <c r="G400" s="1"/>
    </row>
    <row r="401" spans="1:7" x14ac:dyDescent="0.2">
      <c r="A401" s="1"/>
      <c r="B401" s="1"/>
      <c r="C401" s="1"/>
      <c r="D401" s="1"/>
      <c r="E401" s="1"/>
      <c r="F401" s="1"/>
      <c r="G401" s="1"/>
    </row>
    <row r="402" spans="1:7" x14ac:dyDescent="0.2">
      <c r="A402" s="1"/>
      <c r="B402" s="1"/>
      <c r="C402" s="1"/>
      <c r="D402" s="1"/>
      <c r="E402" s="1"/>
      <c r="F402" s="1"/>
      <c r="G402" s="1"/>
    </row>
    <row r="403" spans="1:7" x14ac:dyDescent="0.2">
      <c r="A403" s="1"/>
      <c r="B403" s="1"/>
      <c r="C403" s="1"/>
      <c r="D403" s="1"/>
      <c r="E403" s="1"/>
      <c r="F403" s="1"/>
      <c r="G403" s="1"/>
    </row>
    <row r="404" spans="1:7" x14ac:dyDescent="0.2">
      <c r="A404" s="1"/>
      <c r="B404" s="1"/>
      <c r="C404" s="1"/>
      <c r="D404" s="1"/>
      <c r="E404" s="1"/>
      <c r="F404" s="1"/>
      <c r="G404" s="1"/>
    </row>
    <row r="405" spans="1:7" x14ac:dyDescent="0.2">
      <c r="A405" s="1"/>
      <c r="B405" s="1"/>
      <c r="C405" s="1"/>
      <c r="D405" s="1"/>
      <c r="E405" s="1"/>
      <c r="F405" s="1"/>
      <c r="G405" s="1"/>
    </row>
    <row r="406" spans="1:7" x14ac:dyDescent="0.2">
      <c r="A406" s="1"/>
      <c r="B406" s="1"/>
      <c r="C406" s="1"/>
      <c r="D406" s="1"/>
      <c r="E406" s="1"/>
      <c r="F406" s="1"/>
      <c r="G406" s="1"/>
    </row>
    <row r="407" spans="1:7" x14ac:dyDescent="0.2">
      <c r="A407" s="1"/>
      <c r="B407" s="1"/>
      <c r="C407" s="1"/>
      <c r="D407" s="1"/>
      <c r="E407" s="1"/>
      <c r="F407" s="1"/>
      <c r="G407" s="1"/>
    </row>
    <row r="408" spans="1:7" x14ac:dyDescent="0.2">
      <c r="A408" s="1"/>
      <c r="B408" s="1"/>
      <c r="C408" s="1"/>
      <c r="D408" s="1"/>
      <c r="E408" s="1"/>
      <c r="F408" s="1"/>
      <c r="G408" s="1"/>
    </row>
    <row r="409" spans="1:7" x14ac:dyDescent="0.2">
      <c r="A409" s="1"/>
      <c r="B409" s="1"/>
      <c r="C409" s="1"/>
      <c r="D409" s="1"/>
      <c r="E409" s="1"/>
      <c r="F409" s="1"/>
      <c r="G409" s="1"/>
    </row>
    <row r="410" spans="1:7" x14ac:dyDescent="0.2">
      <c r="A410" s="1"/>
      <c r="B410" s="1"/>
      <c r="C410" s="1"/>
      <c r="D410" s="1"/>
      <c r="E410" s="1"/>
      <c r="F410" s="1"/>
      <c r="G410" s="1"/>
    </row>
    <row r="411" spans="1:7" x14ac:dyDescent="0.2">
      <c r="A411" s="1"/>
      <c r="B411" s="1"/>
      <c r="C411" s="1"/>
      <c r="D411" s="1"/>
      <c r="E411" s="1"/>
      <c r="F411" s="1"/>
      <c r="G411" s="1"/>
    </row>
    <row r="412" spans="1:7" x14ac:dyDescent="0.2">
      <c r="A412" s="1"/>
      <c r="B412" s="1"/>
      <c r="C412" s="1"/>
      <c r="D412" s="1"/>
      <c r="E412" s="1"/>
      <c r="F412" s="1"/>
      <c r="G412" s="1"/>
    </row>
    <row r="413" spans="1:7" x14ac:dyDescent="0.2">
      <c r="A413" s="1"/>
      <c r="B413" s="1"/>
      <c r="C413" s="1"/>
      <c r="D413" s="1"/>
      <c r="E413" s="1"/>
      <c r="F413" s="1"/>
      <c r="G413" s="1"/>
    </row>
    <row r="414" spans="1:7" x14ac:dyDescent="0.2">
      <c r="A414" s="1"/>
      <c r="B414" s="1"/>
      <c r="C414" s="1"/>
      <c r="D414" s="1"/>
      <c r="E414" s="1"/>
      <c r="F414" s="1"/>
      <c r="G414" s="1"/>
    </row>
    <row r="415" spans="1:7" x14ac:dyDescent="0.2">
      <c r="A415" s="1"/>
      <c r="B415" s="1"/>
      <c r="C415" s="1"/>
      <c r="D415" s="1"/>
      <c r="E415" s="1"/>
      <c r="F415" s="1"/>
      <c r="G415" s="1"/>
    </row>
    <row r="416" spans="1:7" x14ac:dyDescent="0.2">
      <c r="A416" s="1"/>
      <c r="B416" s="1"/>
      <c r="C416" s="1"/>
      <c r="D416" s="1"/>
      <c r="E416" s="1"/>
      <c r="F416" s="1"/>
      <c r="G416" s="1"/>
    </row>
    <row r="417" spans="1:7" x14ac:dyDescent="0.2">
      <c r="A417" s="1"/>
      <c r="B417" s="1"/>
      <c r="C417" s="1"/>
      <c r="D417" s="1"/>
      <c r="E417" s="1"/>
      <c r="F417" s="1"/>
      <c r="G417" s="1"/>
    </row>
    <row r="418" spans="1:7" x14ac:dyDescent="0.2">
      <c r="A418" s="1"/>
      <c r="B418" s="1"/>
      <c r="C418" s="1"/>
      <c r="D418" s="1"/>
      <c r="E418" s="1"/>
      <c r="F418" s="1"/>
      <c r="G418" s="1"/>
    </row>
    <row r="419" spans="1:7" x14ac:dyDescent="0.2">
      <c r="A419" s="1"/>
      <c r="B419" s="1"/>
      <c r="C419" s="1"/>
      <c r="D419" s="1"/>
      <c r="E419" s="1"/>
      <c r="F419" s="1"/>
      <c r="G419" s="1"/>
    </row>
    <row r="420" spans="1:7" x14ac:dyDescent="0.2">
      <c r="A420" s="1"/>
      <c r="B420" s="1"/>
      <c r="C420" s="1"/>
      <c r="D420" s="1"/>
      <c r="E420" s="1"/>
      <c r="F420" s="1"/>
      <c r="G420" s="1"/>
    </row>
    <row r="421" spans="1:7" x14ac:dyDescent="0.2">
      <c r="A421" s="1"/>
      <c r="B421" s="1"/>
      <c r="C421" s="1"/>
      <c r="D421" s="1"/>
      <c r="E421" s="1"/>
      <c r="F421" s="1"/>
      <c r="G421" s="1"/>
    </row>
    <row r="422" spans="1:7" x14ac:dyDescent="0.2">
      <c r="A422" s="1"/>
      <c r="B422" s="1"/>
      <c r="C422" s="1"/>
      <c r="D422" s="1"/>
      <c r="E422" s="1"/>
      <c r="F422" s="1"/>
      <c r="G422" s="1"/>
    </row>
    <row r="423" spans="1:7" x14ac:dyDescent="0.2">
      <c r="A423" s="1"/>
      <c r="B423" s="1"/>
      <c r="C423" s="1"/>
      <c r="D423" s="1"/>
      <c r="E423" s="1"/>
      <c r="F423" s="1"/>
      <c r="G423" s="1"/>
    </row>
    <row r="424" spans="1:7" x14ac:dyDescent="0.2">
      <c r="A424" s="1"/>
      <c r="B424" s="1"/>
      <c r="C424" s="1"/>
      <c r="D424" s="1"/>
      <c r="E424" s="1"/>
      <c r="F424" s="1"/>
      <c r="G424" s="1"/>
    </row>
    <row r="425" spans="1:7" x14ac:dyDescent="0.2">
      <c r="A425" s="1"/>
      <c r="B425" s="1"/>
      <c r="C425" s="1"/>
      <c r="D425" s="1"/>
      <c r="E425" s="1"/>
      <c r="F425" s="1"/>
      <c r="G425" s="1"/>
    </row>
    <row r="426" spans="1:7" x14ac:dyDescent="0.2">
      <c r="A426" s="1"/>
      <c r="B426" s="1"/>
      <c r="C426" s="1"/>
      <c r="D426" s="1"/>
      <c r="E426" s="1"/>
      <c r="F426" s="1"/>
      <c r="G426" s="1"/>
    </row>
    <row r="427" spans="1:7" x14ac:dyDescent="0.2">
      <c r="A427" s="1"/>
      <c r="B427" s="1"/>
      <c r="C427" s="1"/>
      <c r="D427" s="1"/>
      <c r="E427" s="1"/>
      <c r="F427" s="1"/>
      <c r="G427" s="1"/>
    </row>
    <row r="428" spans="1:7" x14ac:dyDescent="0.2">
      <c r="A428" s="1"/>
      <c r="B428" s="1"/>
      <c r="C428" s="1"/>
      <c r="D428" s="1"/>
      <c r="E428" s="1"/>
      <c r="F428" s="1"/>
      <c r="G428" s="1"/>
    </row>
    <row r="429" spans="1:7" x14ac:dyDescent="0.2">
      <c r="A429" s="1"/>
      <c r="B429" s="1"/>
      <c r="C429" s="1"/>
      <c r="D429" s="1"/>
      <c r="E429" s="1"/>
      <c r="F429" s="1"/>
      <c r="G429" s="1"/>
    </row>
    <row r="430" spans="1:7" x14ac:dyDescent="0.2">
      <c r="A430" s="1"/>
      <c r="B430" s="1"/>
      <c r="C430" s="1"/>
      <c r="D430" s="1"/>
      <c r="E430" s="1"/>
      <c r="F430" s="1"/>
      <c r="G430" s="1"/>
    </row>
    <row r="431" spans="1:7" x14ac:dyDescent="0.2">
      <c r="A431" s="1"/>
      <c r="B431" s="1"/>
      <c r="C431" s="1"/>
      <c r="D431" s="1"/>
      <c r="E431" s="1"/>
      <c r="F431" s="1"/>
      <c r="G431" s="1"/>
    </row>
    <row r="432" spans="1:7" x14ac:dyDescent="0.2">
      <c r="A432" s="1"/>
      <c r="B432" s="1"/>
      <c r="C432" s="1"/>
      <c r="D432" s="1"/>
      <c r="E432" s="1"/>
      <c r="F432" s="1"/>
      <c r="G432" s="1"/>
    </row>
    <row r="433" spans="1:7" x14ac:dyDescent="0.2">
      <c r="A433" s="1"/>
      <c r="B433" s="1"/>
      <c r="C433" s="1"/>
      <c r="D433" s="1"/>
      <c r="E433" s="1"/>
      <c r="F433" s="1"/>
      <c r="G433" s="1"/>
    </row>
    <row r="434" spans="1:7" x14ac:dyDescent="0.2">
      <c r="A434" s="1"/>
      <c r="B434" s="1"/>
      <c r="C434" s="1"/>
      <c r="D434" s="1"/>
      <c r="E434" s="1"/>
      <c r="F434" s="1"/>
      <c r="G434" s="1"/>
    </row>
    <row r="435" spans="1:7" x14ac:dyDescent="0.2">
      <c r="A435" s="1"/>
      <c r="B435" s="1"/>
      <c r="C435" s="1"/>
      <c r="D435" s="1"/>
      <c r="E435" s="1"/>
      <c r="F435" s="1"/>
      <c r="G435" s="1"/>
    </row>
    <row r="436" spans="1:7" x14ac:dyDescent="0.2">
      <c r="A436" s="1"/>
      <c r="B436" s="1"/>
      <c r="C436" s="1"/>
      <c r="D436" s="1"/>
      <c r="E436" s="1"/>
      <c r="F436" s="1"/>
      <c r="G436" s="1"/>
    </row>
    <row r="437" spans="1:7" x14ac:dyDescent="0.2">
      <c r="A437" s="1"/>
      <c r="B437" s="1"/>
      <c r="C437" s="1"/>
      <c r="D437" s="1"/>
      <c r="E437" s="1"/>
      <c r="F437" s="1"/>
      <c r="G437" s="1"/>
    </row>
    <row r="438" spans="1:7" x14ac:dyDescent="0.2">
      <c r="A438" s="1"/>
      <c r="B438" s="1"/>
      <c r="C438" s="1"/>
      <c r="D438" s="1"/>
      <c r="E438" s="1"/>
      <c r="F438" s="1"/>
      <c r="G438" s="1"/>
    </row>
    <row r="439" spans="1:7" x14ac:dyDescent="0.2">
      <c r="A439" s="1"/>
      <c r="B439" s="1"/>
      <c r="C439" s="1"/>
      <c r="D439" s="1"/>
      <c r="E439" s="1"/>
      <c r="F439" s="1"/>
      <c r="G439" s="1"/>
    </row>
    <row r="440" spans="1:7" x14ac:dyDescent="0.2">
      <c r="A440" s="1"/>
      <c r="B440" s="1"/>
      <c r="C440" s="1"/>
      <c r="D440" s="1"/>
      <c r="E440" s="1"/>
      <c r="F440" s="1"/>
      <c r="G440" s="1"/>
    </row>
    <row r="441" spans="1:7" x14ac:dyDescent="0.2">
      <c r="A441" s="1"/>
      <c r="B441" s="1"/>
      <c r="C441" s="1"/>
      <c r="D441" s="1"/>
      <c r="E441" s="1"/>
      <c r="F441" s="1"/>
      <c r="G441" s="1"/>
    </row>
    <row r="442" spans="1:7" x14ac:dyDescent="0.2">
      <c r="A442" s="1"/>
      <c r="B442" s="1"/>
      <c r="C442" s="1"/>
      <c r="D442" s="1"/>
      <c r="E442" s="1"/>
      <c r="F442" s="1"/>
      <c r="G442" s="1"/>
    </row>
    <row r="443" spans="1:7" x14ac:dyDescent="0.2">
      <c r="A443" s="1"/>
      <c r="B443" s="1"/>
      <c r="C443" s="1"/>
      <c r="D443" s="1"/>
      <c r="E443" s="1"/>
      <c r="F443" s="1"/>
      <c r="G443" s="1"/>
    </row>
    <row r="444" spans="1:7" x14ac:dyDescent="0.2">
      <c r="A444" s="1"/>
      <c r="B444" s="1"/>
      <c r="C444" s="1"/>
      <c r="D444" s="1"/>
      <c r="E444" s="1"/>
      <c r="F444" s="1"/>
      <c r="G444" s="1"/>
    </row>
    <row r="445" spans="1:7" x14ac:dyDescent="0.2">
      <c r="A445" s="1"/>
      <c r="B445" s="1"/>
      <c r="C445" s="1"/>
      <c r="D445" s="1"/>
      <c r="E445" s="1"/>
      <c r="F445" s="1"/>
      <c r="G445" s="1"/>
    </row>
    <row r="446" spans="1:7" x14ac:dyDescent="0.2">
      <c r="A446" s="1"/>
      <c r="B446" s="1"/>
      <c r="C446" s="1"/>
      <c r="D446" s="1"/>
      <c r="E446" s="1"/>
      <c r="F446" s="1"/>
      <c r="G446" s="1"/>
    </row>
    <row r="447" spans="1:7" x14ac:dyDescent="0.2">
      <c r="A447" s="1"/>
      <c r="B447" s="1"/>
      <c r="C447" s="1"/>
      <c r="D447" s="1"/>
      <c r="E447" s="1"/>
      <c r="F447" s="1"/>
      <c r="G447" s="1"/>
    </row>
    <row r="448" spans="1:7" x14ac:dyDescent="0.2">
      <c r="A448" s="1"/>
      <c r="B448" s="1"/>
      <c r="C448" s="1"/>
      <c r="D448" s="1"/>
      <c r="E448" s="1"/>
      <c r="F448" s="1"/>
      <c r="G448" s="1"/>
    </row>
    <row r="449" spans="1:7" x14ac:dyDescent="0.2">
      <c r="A449" s="1"/>
      <c r="B449" s="1"/>
      <c r="C449" s="1"/>
      <c r="D449" s="1"/>
      <c r="E449" s="1"/>
      <c r="F449" s="1"/>
      <c r="G449" s="1"/>
    </row>
    <row r="450" spans="1:7" x14ac:dyDescent="0.2">
      <c r="A450" s="1"/>
      <c r="B450" s="1"/>
      <c r="C450" s="1"/>
      <c r="D450" s="1"/>
      <c r="E450" s="1"/>
      <c r="F450" s="1"/>
      <c r="G450" s="1"/>
    </row>
    <row r="451" spans="1:7" x14ac:dyDescent="0.2">
      <c r="A451" s="1"/>
      <c r="B451" s="1"/>
      <c r="C451" s="1"/>
      <c r="D451" s="1"/>
      <c r="E451" s="1"/>
      <c r="F451" s="1"/>
      <c r="G451" s="1"/>
    </row>
    <row r="452" spans="1:7" x14ac:dyDescent="0.2">
      <c r="A452" s="1"/>
      <c r="B452" s="1"/>
      <c r="C452" s="1"/>
      <c r="D452" s="1"/>
      <c r="E452" s="1"/>
      <c r="F452" s="1"/>
      <c r="G452" s="1"/>
    </row>
    <row r="453" spans="1:7" x14ac:dyDescent="0.2">
      <c r="A453" s="1"/>
      <c r="B453" s="1"/>
      <c r="C453" s="1"/>
      <c r="D453" s="1"/>
      <c r="E453" s="1"/>
      <c r="F453" s="1"/>
      <c r="G453" s="1"/>
    </row>
    <row r="454" spans="1:7" x14ac:dyDescent="0.2">
      <c r="A454" s="1"/>
      <c r="B454" s="1"/>
      <c r="C454" s="1"/>
      <c r="D454" s="1"/>
      <c r="E454" s="1"/>
      <c r="F454" s="1"/>
      <c r="G454" s="1"/>
    </row>
    <row r="455" spans="1:7" x14ac:dyDescent="0.2">
      <c r="A455" s="1"/>
      <c r="B455" s="1"/>
      <c r="C455" s="1"/>
      <c r="D455" s="1"/>
      <c r="E455" s="1"/>
      <c r="F455" s="1"/>
      <c r="G455" s="1"/>
    </row>
    <row r="456" spans="1:7" x14ac:dyDescent="0.2">
      <c r="A456" s="1"/>
      <c r="B456" s="1"/>
      <c r="C456" s="1"/>
      <c r="D456" s="1"/>
      <c r="E456" s="1"/>
      <c r="F456" s="1"/>
      <c r="G456" s="1"/>
    </row>
    <row r="457" spans="1:7" x14ac:dyDescent="0.2">
      <c r="A457" s="1"/>
      <c r="B457" s="1"/>
      <c r="C457" s="1"/>
      <c r="D457" s="1"/>
      <c r="E457" s="1"/>
      <c r="F457" s="1"/>
      <c r="G457" s="1"/>
    </row>
    <row r="458" spans="1:7" x14ac:dyDescent="0.2">
      <c r="A458" s="1"/>
      <c r="B458" s="1"/>
      <c r="C458" s="1"/>
      <c r="D458" s="1"/>
      <c r="E458" s="1"/>
      <c r="F458" s="1"/>
      <c r="G458" s="1"/>
    </row>
    <row r="459" spans="1:7" x14ac:dyDescent="0.2">
      <c r="A459" s="1"/>
      <c r="B459" s="1"/>
      <c r="C459" s="1"/>
      <c r="D459" s="1"/>
      <c r="E459" s="1"/>
      <c r="F459" s="1"/>
      <c r="G459" s="1"/>
    </row>
    <row r="460" spans="1:7" x14ac:dyDescent="0.2">
      <c r="A460" s="1"/>
      <c r="B460" s="1"/>
      <c r="C460" s="1"/>
      <c r="D460" s="1"/>
      <c r="E460" s="1"/>
      <c r="F460" s="1"/>
      <c r="G460" s="1"/>
    </row>
    <row r="461" spans="1:7" x14ac:dyDescent="0.2">
      <c r="A461" s="1"/>
      <c r="B461" s="1"/>
      <c r="C461" s="1"/>
      <c r="D461" s="1"/>
      <c r="E461" s="1"/>
      <c r="F461" s="1"/>
      <c r="G461" s="1"/>
    </row>
    <row r="462" spans="1:7" x14ac:dyDescent="0.2">
      <c r="A462" s="1"/>
      <c r="B462" s="1"/>
      <c r="C462" s="1"/>
      <c r="D462" s="1"/>
      <c r="E462" s="1"/>
      <c r="F462" s="1"/>
      <c r="G462" s="1"/>
    </row>
    <row r="463" spans="1:7" x14ac:dyDescent="0.2">
      <c r="A463" s="1"/>
      <c r="B463" s="1"/>
      <c r="C463" s="1"/>
      <c r="D463" s="1"/>
      <c r="E463" s="1"/>
      <c r="F463" s="1"/>
      <c r="G463" s="1"/>
    </row>
    <row r="464" spans="1:7" x14ac:dyDescent="0.2">
      <c r="A464" s="1"/>
      <c r="B464" s="1"/>
      <c r="C464" s="1"/>
      <c r="D464" s="1"/>
      <c r="E464" s="1"/>
      <c r="F464" s="1"/>
      <c r="G464" s="1"/>
    </row>
    <row r="465" spans="1:7" x14ac:dyDescent="0.2">
      <c r="A465" s="1"/>
      <c r="B465" s="1"/>
      <c r="C465" s="1"/>
      <c r="D465" s="1"/>
      <c r="E465" s="1"/>
      <c r="F465" s="1"/>
      <c r="G465" s="1"/>
    </row>
    <row r="466" spans="1:7" x14ac:dyDescent="0.2">
      <c r="A466" s="1"/>
      <c r="B466" s="1"/>
      <c r="C466" s="1"/>
      <c r="D466" s="1"/>
      <c r="E466" s="1"/>
      <c r="F466" s="1"/>
      <c r="G466" s="1"/>
    </row>
    <row r="467" spans="1:7" x14ac:dyDescent="0.2">
      <c r="A467" s="1"/>
      <c r="B467" s="1"/>
      <c r="C467" s="1"/>
      <c r="D467" s="1"/>
      <c r="E467" s="1"/>
      <c r="F467" s="1"/>
      <c r="G467" s="1"/>
    </row>
    <row r="468" spans="1:7" x14ac:dyDescent="0.2">
      <c r="A468" s="1"/>
      <c r="B468" s="1"/>
      <c r="C468" s="1"/>
      <c r="D468" s="1"/>
      <c r="E468" s="1"/>
      <c r="F468" s="1"/>
      <c r="G468" s="1"/>
    </row>
    <row r="469" spans="1:7" x14ac:dyDescent="0.2">
      <c r="A469" s="1"/>
      <c r="B469" s="1"/>
      <c r="C469" s="1"/>
      <c r="D469" s="1"/>
      <c r="E469" s="1"/>
      <c r="F469" s="1"/>
      <c r="G469" s="1"/>
    </row>
    <row r="470" spans="1:7" x14ac:dyDescent="0.2">
      <c r="A470" s="1"/>
      <c r="B470" s="1"/>
      <c r="C470" s="1"/>
      <c r="D470" s="1"/>
      <c r="E470" s="1"/>
      <c r="F470" s="1"/>
      <c r="G470" s="1"/>
    </row>
    <row r="471" spans="1:7" x14ac:dyDescent="0.2">
      <c r="A471" s="1"/>
      <c r="B471" s="1"/>
      <c r="C471" s="1"/>
      <c r="D471" s="1"/>
      <c r="E471" s="1"/>
      <c r="F471" s="1"/>
      <c r="G471" s="1"/>
    </row>
    <row r="472" spans="1:7" x14ac:dyDescent="0.2">
      <c r="A472" s="1"/>
      <c r="B472" s="1"/>
      <c r="C472" s="1"/>
      <c r="D472" s="1"/>
      <c r="E472" s="1"/>
      <c r="F472" s="1"/>
      <c r="G472" s="1"/>
    </row>
    <row r="473" spans="1:7" x14ac:dyDescent="0.2">
      <c r="A473" s="1"/>
      <c r="B473" s="1"/>
      <c r="C473" s="1"/>
      <c r="D473" s="1"/>
      <c r="E473" s="1"/>
      <c r="F473" s="1"/>
      <c r="G473" s="1"/>
    </row>
    <row r="474" spans="1:7" x14ac:dyDescent="0.2">
      <c r="A474" s="1"/>
      <c r="B474" s="1"/>
      <c r="C474" s="1"/>
      <c r="D474" s="1"/>
      <c r="E474" s="1"/>
      <c r="F474" s="1"/>
      <c r="G474" s="1"/>
    </row>
    <row r="475" spans="1:7" x14ac:dyDescent="0.2">
      <c r="A475" s="1"/>
      <c r="B475" s="1"/>
      <c r="C475" s="1"/>
      <c r="D475" s="1"/>
      <c r="E475" s="1"/>
      <c r="F475" s="1"/>
      <c r="G475" s="1"/>
    </row>
    <row r="476" spans="1:7" x14ac:dyDescent="0.2">
      <c r="A476" s="1"/>
      <c r="B476" s="1"/>
      <c r="C476" s="1"/>
      <c r="D476" s="1"/>
      <c r="E476" s="1"/>
      <c r="F476" s="1"/>
      <c r="G476" s="1"/>
    </row>
    <row r="477" spans="1:7" x14ac:dyDescent="0.2">
      <c r="A477" s="1"/>
      <c r="B477" s="1"/>
      <c r="C477" s="1"/>
      <c r="D477" s="1"/>
      <c r="E477" s="1"/>
      <c r="F477" s="1"/>
      <c r="G477" s="1"/>
    </row>
    <row r="478" spans="1:7" x14ac:dyDescent="0.2">
      <c r="A478" s="1"/>
      <c r="B478" s="1"/>
      <c r="C478" s="1"/>
      <c r="D478" s="1"/>
      <c r="E478" s="1"/>
      <c r="F478" s="1"/>
      <c r="G478" s="1"/>
    </row>
    <row r="479" spans="1:7" x14ac:dyDescent="0.2">
      <c r="A479" s="1"/>
      <c r="B479" s="1"/>
      <c r="C479" s="1"/>
      <c r="D479" s="1"/>
      <c r="E479" s="1"/>
      <c r="F479" s="1"/>
      <c r="G479" s="1"/>
    </row>
    <row r="480" spans="1:7" x14ac:dyDescent="0.2">
      <c r="A480" s="1"/>
      <c r="B480" s="1"/>
      <c r="C480" s="1"/>
      <c r="D480" s="1"/>
      <c r="E480" s="1"/>
      <c r="F480" s="1"/>
      <c r="G480" s="1"/>
    </row>
    <row r="481" spans="1:7" x14ac:dyDescent="0.2">
      <c r="A481" s="1"/>
      <c r="B481" s="1"/>
      <c r="C481" s="1"/>
      <c r="D481" s="1"/>
      <c r="E481" s="1"/>
      <c r="F481" s="1"/>
      <c r="G481" s="1"/>
    </row>
    <row r="482" spans="1:7" x14ac:dyDescent="0.2">
      <c r="A482" s="1"/>
      <c r="B482" s="1"/>
      <c r="C482" s="1"/>
      <c r="D482" s="1"/>
      <c r="E482" s="1"/>
      <c r="F482" s="1"/>
      <c r="G482" s="1"/>
    </row>
    <row r="483" spans="1:7" x14ac:dyDescent="0.2">
      <c r="A483" s="1"/>
      <c r="B483" s="1"/>
      <c r="C483" s="1"/>
      <c r="D483" s="1"/>
      <c r="E483" s="1"/>
      <c r="F483" s="1"/>
      <c r="G483" s="1"/>
    </row>
    <row r="484" spans="1:7" x14ac:dyDescent="0.2">
      <c r="A484" s="1"/>
      <c r="B484" s="1"/>
      <c r="C484" s="1"/>
      <c r="D484" s="1"/>
      <c r="E484" s="1"/>
      <c r="F484" s="1"/>
      <c r="G484" s="1"/>
    </row>
    <row r="485" spans="1:7" x14ac:dyDescent="0.2">
      <c r="A485" s="1"/>
      <c r="B485" s="1"/>
      <c r="C485" s="1"/>
      <c r="D485" s="1"/>
      <c r="E485" s="1"/>
      <c r="F485" s="1"/>
      <c r="G485" s="1"/>
    </row>
    <row r="486" spans="1:7" x14ac:dyDescent="0.2">
      <c r="A486" s="1"/>
      <c r="B486" s="1"/>
      <c r="C486" s="1"/>
      <c r="D486" s="1"/>
      <c r="E486" s="1"/>
      <c r="F486" s="1"/>
      <c r="G486" s="1"/>
    </row>
    <row r="487" spans="1:7" x14ac:dyDescent="0.2">
      <c r="A487" s="1"/>
      <c r="B487" s="1"/>
      <c r="C487" s="1"/>
      <c r="D487" s="1"/>
      <c r="E487" s="1"/>
      <c r="F487" s="1"/>
      <c r="G487" s="1"/>
    </row>
    <row r="488" spans="1:7" x14ac:dyDescent="0.2">
      <c r="A488" s="1"/>
      <c r="B488" s="1"/>
      <c r="C488" s="1"/>
      <c r="D488" s="1"/>
      <c r="E488" s="1"/>
      <c r="F488" s="1"/>
      <c r="G488" s="1"/>
    </row>
    <row r="489" spans="1:7" x14ac:dyDescent="0.2">
      <c r="A489" s="1"/>
      <c r="B489" s="1"/>
      <c r="C489" s="1"/>
      <c r="D489" s="1"/>
      <c r="E489" s="1"/>
      <c r="F489" s="1"/>
      <c r="G489" s="1"/>
    </row>
    <row r="490" spans="1:7" x14ac:dyDescent="0.2">
      <c r="A490" s="1"/>
      <c r="B490" s="1"/>
      <c r="C490" s="1"/>
      <c r="D490" s="1"/>
      <c r="E490" s="1"/>
      <c r="F490" s="1"/>
      <c r="G490" s="1"/>
    </row>
    <row r="491" spans="1:7" x14ac:dyDescent="0.2">
      <c r="A491" s="1"/>
      <c r="B491" s="1"/>
      <c r="C491" s="1"/>
      <c r="D491" s="1"/>
      <c r="E491" s="1"/>
      <c r="F491" s="1"/>
      <c r="G491" s="1"/>
    </row>
    <row r="492" spans="1:7" x14ac:dyDescent="0.2">
      <c r="A492" s="1"/>
      <c r="B492" s="1"/>
      <c r="C492" s="1"/>
      <c r="D492" s="1"/>
      <c r="E492" s="1"/>
      <c r="F492" s="1"/>
      <c r="G492" s="1"/>
    </row>
    <row r="493" spans="1:7" x14ac:dyDescent="0.2">
      <c r="A493" s="1"/>
      <c r="B493" s="1"/>
      <c r="C493" s="1"/>
      <c r="D493" s="1"/>
      <c r="E493" s="1"/>
      <c r="F493" s="1"/>
      <c r="G493" s="1"/>
    </row>
    <row r="494" spans="1:7" x14ac:dyDescent="0.2">
      <c r="A494" s="1"/>
      <c r="B494" s="1"/>
      <c r="C494" s="1"/>
      <c r="D494" s="1"/>
      <c r="E494" s="1"/>
      <c r="F494" s="1"/>
      <c r="G494" s="1"/>
    </row>
    <row r="495" spans="1:7" x14ac:dyDescent="0.2">
      <c r="A495" s="1"/>
      <c r="B495" s="1"/>
      <c r="C495" s="1"/>
      <c r="D495" s="1"/>
      <c r="E495" s="1"/>
      <c r="F495" s="1"/>
      <c r="G495" s="1"/>
    </row>
    <row r="496" spans="1:7" x14ac:dyDescent="0.2">
      <c r="A496" s="1"/>
      <c r="B496" s="1"/>
      <c r="C496" s="1"/>
      <c r="D496" s="1"/>
      <c r="E496" s="1"/>
      <c r="F496" s="1"/>
      <c r="G496" s="1"/>
    </row>
    <row r="497" spans="1:7" x14ac:dyDescent="0.2">
      <c r="A497" s="1"/>
      <c r="B497" s="1"/>
      <c r="C497" s="1"/>
      <c r="D497" s="1"/>
      <c r="E497" s="1"/>
      <c r="F497" s="1"/>
      <c r="G497" s="1"/>
    </row>
    <row r="498" spans="1:7" x14ac:dyDescent="0.2">
      <c r="A498" s="1"/>
      <c r="B498" s="1"/>
      <c r="C498" s="1"/>
      <c r="D498" s="1"/>
      <c r="E498" s="1"/>
      <c r="F498" s="1"/>
      <c r="G498" s="1"/>
    </row>
    <row r="499" spans="1:7" x14ac:dyDescent="0.2">
      <c r="A499" s="1"/>
      <c r="B499" s="1"/>
      <c r="C499" s="1"/>
      <c r="D499" s="1"/>
      <c r="E499" s="1"/>
      <c r="F499" s="1"/>
      <c r="G499" s="1"/>
    </row>
    <row r="500" spans="1:7" x14ac:dyDescent="0.2">
      <c r="A500" s="1"/>
      <c r="B500" s="1"/>
      <c r="C500" s="1"/>
      <c r="D500" s="1"/>
      <c r="E500" s="1"/>
      <c r="F500" s="1"/>
      <c r="G500" s="1"/>
    </row>
    <row r="501" spans="1:7" x14ac:dyDescent="0.2">
      <c r="A501" s="1"/>
      <c r="B501" s="1"/>
      <c r="C501" s="1"/>
      <c r="D501" s="1"/>
      <c r="E501" s="1"/>
      <c r="F501" s="1"/>
      <c r="G501" s="1"/>
    </row>
    <row r="502" spans="1:7" x14ac:dyDescent="0.2">
      <c r="A502" s="1"/>
      <c r="B502" s="1"/>
      <c r="C502" s="1"/>
      <c r="D502" s="1"/>
      <c r="E502" s="1"/>
      <c r="F502" s="1"/>
      <c r="G502" s="1"/>
    </row>
    <row r="503" spans="1:7" x14ac:dyDescent="0.2">
      <c r="A503" s="1"/>
      <c r="B503" s="1"/>
      <c r="C503" s="1"/>
      <c r="D503" s="1"/>
      <c r="E503" s="1"/>
      <c r="F503" s="1"/>
      <c r="G503" s="1"/>
    </row>
    <row r="504" spans="1:7" x14ac:dyDescent="0.2">
      <c r="A504" s="1"/>
      <c r="B504" s="1"/>
      <c r="C504" s="1"/>
      <c r="D504" s="1"/>
      <c r="E504" s="1"/>
      <c r="F504" s="1"/>
      <c r="G504" s="1"/>
    </row>
    <row r="505" spans="1:7" x14ac:dyDescent="0.2">
      <c r="A505" s="1"/>
      <c r="B505" s="1"/>
      <c r="C505" s="1"/>
      <c r="D505" s="1"/>
      <c r="E505" s="1"/>
      <c r="F505" s="1"/>
      <c r="G505" s="1"/>
    </row>
    <row r="506" spans="1:7" x14ac:dyDescent="0.2">
      <c r="A506" s="1"/>
      <c r="B506" s="1"/>
      <c r="C506" s="1"/>
      <c r="D506" s="1"/>
      <c r="E506" s="1"/>
      <c r="F506" s="1"/>
      <c r="G506" s="1"/>
    </row>
    <row r="507" spans="1:7" x14ac:dyDescent="0.2">
      <c r="A507" s="1"/>
      <c r="B507" s="1"/>
      <c r="C507" s="1"/>
      <c r="D507" s="1"/>
      <c r="E507" s="1"/>
      <c r="F507" s="1"/>
      <c r="G507" s="1"/>
    </row>
    <row r="508" spans="1:7" x14ac:dyDescent="0.2">
      <c r="A508" s="1"/>
      <c r="B508" s="1"/>
      <c r="C508" s="1"/>
      <c r="D508" s="1"/>
      <c r="E508" s="1"/>
      <c r="F508" s="1"/>
      <c r="G508" s="1"/>
    </row>
    <row r="509" spans="1:7" x14ac:dyDescent="0.2">
      <c r="A509" s="1"/>
      <c r="B509" s="1"/>
      <c r="C509" s="1"/>
      <c r="D509" s="1"/>
      <c r="E509" s="1"/>
      <c r="F509" s="1"/>
      <c r="G509" s="1"/>
    </row>
    <row r="510" spans="1:7" x14ac:dyDescent="0.2">
      <c r="A510" s="1"/>
      <c r="B510" s="1"/>
      <c r="C510" s="1"/>
      <c r="D510" s="1"/>
      <c r="E510" s="1"/>
      <c r="F510" s="1"/>
      <c r="G510" s="1"/>
    </row>
    <row r="511" spans="1:7" x14ac:dyDescent="0.2">
      <c r="A511" s="1"/>
      <c r="B511" s="1"/>
      <c r="C511" s="1"/>
      <c r="D511" s="1"/>
      <c r="E511" s="1"/>
      <c r="F511" s="1"/>
      <c r="G511" s="1"/>
    </row>
    <row r="512" spans="1:7" x14ac:dyDescent="0.2">
      <c r="A512" s="1"/>
      <c r="B512" s="1"/>
      <c r="C512" s="1"/>
      <c r="D512" s="1"/>
      <c r="E512" s="1"/>
      <c r="F512" s="1"/>
      <c r="G512" s="1"/>
    </row>
    <row r="513" spans="1:7" x14ac:dyDescent="0.2">
      <c r="A513" s="1"/>
      <c r="B513" s="1"/>
      <c r="C513" s="1"/>
      <c r="D513" s="1"/>
      <c r="E513" s="1"/>
      <c r="F513" s="1"/>
      <c r="G513" s="1"/>
    </row>
    <row r="514" spans="1:7" x14ac:dyDescent="0.2">
      <c r="A514" s="1"/>
      <c r="B514" s="1"/>
      <c r="C514" s="1"/>
      <c r="D514" s="1"/>
      <c r="E514" s="1"/>
      <c r="F514" s="1"/>
      <c r="G514" s="1"/>
    </row>
    <row r="515" spans="1:7" x14ac:dyDescent="0.2">
      <c r="A515" s="1"/>
      <c r="B515" s="1"/>
      <c r="C515" s="1"/>
      <c r="D515" s="1"/>
      <c r="E515" s="1"/>
      <c r="F515" s="1"/>
      <c r="G515" s="1"/>
    </row>
    <row r="516" spans="1:7" x14ac:dyDescent="0.2">
      <c r="A516" s="1"/>
      <c r="B516" s="1"/>
      <c r="C516" s="1"/>
      <c r="D516" s="1"/>
      <c r="E516" s="1"/>
      <c r="F516" s="1"/>
      <c r="G516" s="1"/>
    </row>
    <row r="517" spans="1:7" x14ac:dyDescent="0.2">
      <c r="A517" s="1"/>
      <c r="B517" s="1"/>
      <c r="C517" s="1"/>
      <c r="D517" s="1"/>
      <c r="E517" s="1"/>
      <c r="F517" s="1"/>
      <c r="G517" s="1"/>
    </row>
    <row r="518" spans="1:7" x14ac:dyDescent="0.2">
      <c r="A518" s="1"/>
      <c r="B518" s="1"/>
      <c r="C518" s="1"/>
      <c r="D518" s="1"/>
      <c r="E518" s="1"/>
      <c r="F518" s="1"/>
      <c r="G518" s="1"/>
    </row>
    <row r="519" spans="1:7" x14ac:dyDescent="0.2">
      <c r="A519" s="1"/>
      <c r="B519" s="1"/>
      <c r="C519" s="1"/>
      <c r="D519" s="1"/>
      <c r="E519" s="1"/>
      <c r="F519" s="1"/>
      <c r="G519" s="1"/>
    </row>
    <row r="520" spans="1:7" x14ac:dyDescent="0.2">
      <c r="A520" s="1"/>
      <c r="B520" s="1"/>
      <c r="C520" s="1"/>
      <c r="D520" s="1"/>
      <c r="E520" s="1"/>
      <c r="F520" s="1"/>
      <c r="G520" s="1"/>
    </row>
    <row r="521" spans="1:7" x14ac:dyDescent="0.2">
      <c r="A521" s="1"/>
      <c r="B521" s="1"/>
      <c r="C521" s="1"/>
      <c r="D521" s="1"/>
      <c r="E521" s="1"/>
      <c r="F521" s="1"/>
      <c r="G521" s="1"/>
    </row>
    <row r="522" spans="1:7" x14ac:dyDescent="0.2">
      <c r="A522" s="1"/>
      <c r="B522" s="1"/>
      <c r="C522" s="1"/>
      <c r="D522" s="1"/>
      <c r="E522" s="1"/>
      <c r="F522" s="1"/>
      <c r="G522" s="1"/>
    </row>
    <row r="523" spans="1:7" x14ac:dyDescent="0.2">
      <c r="A523" s="1"/>
      <c r="B523" s="1"/>
      <c r="C523" s="1"/>
      <c r="D523" s="1"/>
      <c r="E523" s="1"/>
      <c r="F523" s="1"/>
      <c r="G523" s="1"/>
    </row>
    <row r="524" spans="1:7" x14ac:dyDescent="0.2">
      <c r="A524" s="1"/>
      <c r="B524" s="1"/>
      <c r="C524" s="1"/>
      <c r="D524" s="1"/>
      <c r="E524" s="1"/>
      <c r="F524" s="1"/>
      <c r="G524" s="1"/>
    </row>
    <row r="525" spans="1:7" x14ac:dyDescent="0.2">
      <c r="A525" s="1"/>
      <c r="B525" s="1"/>
      <c r="C525" s="1"/>
      <c r="D525" s="1"/>
      <c r="E525" s="1"/>
      <c r="F525" s="1"/>
      <c r="G525" s="1"/>
    </row>
    <row r="526" spans="1:7" x14ac:dyDescent="0.2">
      <c r="A526" s="1"/>
      <c r="B526" s="1"/>
      <c r="C526" s="1"/>
      <c r="D526" s="1"/>
      <c r="E526" s="1"/>
      <c r="F526" s="1"/>
      <c r="G526" s="1"/>
    </row>
    <row r="527" spans="1:7" x14ac:dyDescent="0.2">
      <c r="A527" s="1"/>
      <c r="B527" s="1"/>
      <c r="C527" s="1"/>
      <c r="D527" s="1"/>
      <c r="E527" s="1"/>
      <c r="F527" s="1"/>
      <c r="G527" s="1"/>
    </row>
    <row r="528" spans="1:7" x14ac:dyDescent="0.2">
      <c r="A528" s="1"/>
      <c r="B528" s="1"/>
      <c r="C528" s="1"/>
      <c r="D528" s="1"/>
      <c r="E528" s="1"/>
      <c r="F528" s="1"/>
      <c r="G528" s="1"/>
    </row>
    <row r="529" spans="1:7" x14ac:dyDescent="0.2">
      <c r="A529" s="1"/>
      <c r="B529" s="1"/>
      <c r="C529" s="1"/>
      <c r="D529" s="1"/>
      <c r="E529" s="1"/>
      <c r="F529" s="1"/>
      <c r="G529" s="1"/>
    </row>
    <row r="530" spans="1:7" x14ac:dyDescent="0.2">
      <c r="A530" s="1"/>
      <c r="B530" s="1"/>
      <c r="C530" s="1"/>
      <c r="D530" s="1"/>
      <c r="E530" s="1"/>
      <c r="F530" s="1"/>
      <c r="G530" s="1"/>
    </row>
    <row r="531" spans="1:7" x14ac:dyDescent="0.2">
      <c r="A531" s="1"/>
      <c r="B531" s="1"/>
      <c r="C531" s="1"/>
      <c r="D531" s="1"/>
      <c r="E531" s="1"/>
      <c r="F531" s="1"/>
      <c r="G531" s="1"/>
    </row>
    <row r="532" spans="1:7" x14ac:dyDescent="0.2">
      <c r="A532" s="1"/>
      <c r="B532" s="1"/>
      <c r="C532" s="1"/>
      <c r="D532" s="1"/>
      <c r="E532" s="1"/>
      <c r="F532" s="1"/>
      <c r="G532" s="1"/>
    </row>
    <row r="533" spans="1:7" x14ac:dyDescent="0.2">
      <c r="A533" s="1"/>
      <c r="B533" s="1"/>
      <c r="C533" s="1"/>
      <c r="D533" s="1"/>
      <c r="E533" s="1"/>
      <c r="F533" s="1"/>
      <c r="G533" s="1"/>
    </row>
    <row r="534" spans="1:7" x14ac:dyDescent="0.2">
      <c r="A534" s="1"/>
      <c r="B534" s="1"/>
      <c r="C534" s="1"/>
      <c r="D534" s="1"/>
      <c r="E534" s="1"/>
      <c r="F534" s="1"/>
      <c r="G534" s="1"/>
    </row>
    <row r="535" spans="1:7" x14ac:dyDescent="0.2">
      <c r="A535" s="1"/>
      <c r="B535" s="1"/>
      <c r="C535" s="1"/>
      <c r="D535" s="1"/>
      <c r="E535" s="1"/>
      <c r="F535" s="1"/>
      <c r="G535" s="1"/>
    </row>
    <row r="536" spans="1:7" x14ac:dyDescent="0.2">
      <c r="A536" s="1"/>
      <c r="B536" s="1"/>
      <c r="C536" s="1"/>
      <c r="D536" s="1"/>
      <c r="E536" s="1"/>
      <c r="F536" s="1"/>
      <c r="G536" s="1"/>
    </row>
    <row r="537" spans="1:7" x14ac:dyDescent="0.2">
      <c r="A537" s="1"/>
      <c r="B537" s="1"/>
      <c r="C537" s="1"/>
      <c r="D537" s="1"/>
      <c r="E537" s="1"/>
      <c r="F537" s="1"/>
      <c r="G537" s="1"/>
    </row>
    <row r="538" spans="1:7" x14ac:dyDescent="0.2">
      <c r="A538" s="1"/>
      <c r="B538" s="1"/>
      <c r="C538" s="1"/>
      <c r="D538" s="1"/>
      <c r="E538" s="1"/>
      <c r="F538" s="1"/>
      <c r="G538" s="1"/>
    </row>
    <row r="539" spans="1:7" x14ac:dyDescent="0.2">
      <c r="A539" s="1"/>
      <c r="B539" s="1"/>
      <c r="C539" s="1"/>
      <c r="D539" s="1"/>
      <c r="E539" s="1"/>
      <c r="F539" s="1"/>
      <c r="G539" s="1"/>
    </row>
    <row r="540" spans="1:7" x14ac:dyDescent="0.2">
      <c r="A540" s="1"/>
      <c r="B540" s="1"/>
      <c r="C540" s="1"/>
      <c r="D540" s="1"/>
      <c r="E540" s="1"/>
      <c r="F540" s="1"/>
      <c r="G540" s="1"/>
    </row>
    <row r="541" spans="1:7" x14ac:dyDescent="0.2">
      <c r="A541" s="1"/>
      <c r="B541" s="1"/>
      <c r="C541" s="1"/>
      <c r="D541" s="1"/>
      <c r="E541" s="1"/>
      <c r="F541" s="1"/>
      <c r="G541" s="1"/>
    </row>
    <row r="542" spans="1:7" x14ac:dyDescent="0.2">
      <c r="A542" s="1"/>
      <c r="B542" s="1"/>
      <c r="C542" s="1"/>
      <c r="D542" s="1"/>
      <c r="E542" s="1"/>
      <c r="F542" s="1"/>
      <c r="G542" s="1"/>
    </row>
    <row r="543" spans="1:7" x14ac:dyDescent="0.2">
      <c r="A543" s="1"/>
      <c r="B543" s="1"/>
      <c r="C543" s="1"/>
      <c r="D543" s="1"/>
      <c r="E543" s="1"/>
      <c r="F543" s="1"/>
      <c r="G543" s="1"/>
    </row>
    <row r="544" spans="1:7" x14ac:dyDescent="0.2">
      <c r="A544" s="1"/>
      <c r="B544" s="1"/>
      <c r="C544" s="1"/>
      <c r="D544" s="1"/>
      <c r="E544" s="1"/>
      <c r="F544" s="1"/>
      <c r="G544" s="1"/>
    </row>
    <row r="545" spans="1:7" x14ac:dyDescent="0.2">
      <c r="A545" s="1"/>
      <c r="B545" s="1"/>
      <c r="C545" s="1"/>
      <c r="D545" s="1"/>
      <c r="E545" s="1"/>
      <c r="F545" s="1"/>
      <c r="G545" s="1"/>
    </row>
    <row r="546" spans="1:7" x14ac:dyDescent="0.2">
      <c r="A546" s="1"/>
      <c r="B546" s="1"/>
      <c r="C546" s="1"/>
      <c r="D546" s="1"/>
      <c r="E546" s="1"/>
      <c r="F546" s="1"/>
      <c r="G546" s="1"/>
    </row>
    <row r="547" spans="1:7" x14ac:dyDescent="0.2">
      <c r="A547" s="1"/>
      <c r="B547" s="1"/>
      <c r="C547" s="1"/>
      <c r="D547" s="1"/>
      <c r="E547" s="1"/>
      <c r="F547" s="1"/>
      <c r="G547" s="1"/>
    </row>
    <row r="548" spans="1:7" x14ac:dyDescent="0.2">
      <c r="A548" s="1"/>
      <c r="B548" s="1"/>
      <c r="C548" s="1"/>
      <c r="D548" s="1"/>
      <c r="E548" s="1"/>
      <c r="F548" s="1"/>
      <c r="G548" s="1"/>
    </row>
    <row r="549" spans="1:7" x14ac:dyDescent="0.2">
      <c r="A549" s="1"/>
      <c r="B549" s="1"/>
      <c r="C549" s="1"/>
      <c r="D549" s="1"/>
      <c r="E549" s="1"/>
      <c r="F549" s="1"/>
      <c r="G549" s="1"/>
    </row>
    <row r="550" spans="1:7" x14ac:dyDescent="0.2">
      <c r="A550" s="1"/>
      <c r="B550" s="1"/>
      <c r="C550" s="1"/>
      <c r="D550" s="1"/>
      <c r="E550" s="1"/>
      <c r="F550" s="1"/>
      <c r="G550" s="1"/>
    </row>
    <row r="551" spans="1:7" x14ac:dyDescent="0.2">
      <c r="A551" s="1"/>
      <c r="B551" s="1"/>
      <c r="C551" s="1"/>
      <c r="D551" s="1"/>
      <c r="E551" s="1"/>
      <c r="F551" s="1"/>
      <c r="G551" s="1"/>
    </row>
    <row r="552" spans="1:7" x14ac:dyDescent="0.2">
      <c r="A552" s="1"/>
      <c r="B552" s="1"/>
      <c r="C552" s="1"/>
      <c r="D552" s="1"/>
      <c r="E552" s="1"/>
      <c r="F552" s="1"/>
      <c r="G552" s="1"/>
    </row>
    <row r="553" spans="1:7" x14ac:dyDescent="0.2">
      <c r="A553" s="1"/>
      <c r="B553" s="1"/>
      <c r="C553" s="1"/>
      <c r="D553" s="1"/>
      <c r="E553" s="1"/>
      <c r="F553" s="1"/>
      <c r="G553" s="1"/>
    </row>
    <row r="554" spans="1:7" x14ac:dyDescent="0.2">
      <c r="A554" s="1"/>
      <c r="B554" s="1"/>
      <c r="C554" s="1"/>
      <c r="D554" s="1"/>
      <c r="E554" s="1"/>
      <c r="F554" s="1"/>
      <c r="G554" s="1"/>
    </row>
    <row r="555" spans="1:7" x14ac:dyDescent="0.2">
      <c r="A555" s="1"/>
      <c r="B555" s="1"/>
      <c r="C555" s="1"/>
      <c r="D555" s="1"/>
      <c r="E555" s="1"/>
      <c r="F555" s="1"/>
      <c r="G555" s="1"/>
    </row>
    <row r="556" spans="1:7" x14ac:dyDescent="0.2">
      <c r="A556" s="1"/>
      <c r="B556" s="1"/>
      <c r="C556" s="1"/>
      <c r="D556" s="1"/>
      <c r="E556" s="1"/>
      <c r="F556" s="1"/>
      <c r="G556" s="1"/>
    </row>
    <row r="557" spans="1:7" x14ac:dyDescent="0.2">
      <c r="A557" s="1"/>
      <c r="B557" s="1"/>
      <c r="C557" s="1"/>
      <c r="D557" s="1"/>
      <c r="E557" s="1"/>
      <c r="F557" s="1"/>
      <c r="G557" s="1"/>
    </row>
    <row r="558" spans="1:7" x14ac:dyDescent="0.2">
      <c r="A558" s="1"/>
      <c r="B558" s="1"/>
      <c r="C558" s="1"/>
      <c r="D558" s="1"/>
      <c r="E558" s="1"/>
      <c r="F558" s="1"/>
      <c r="G558" s="1"/>
    </row>
    <row r="559" spans="1:7" x14ac:dyDescent="0.2">
      <c r="A559" s="1"/>
      <c r="B559" s="1"/>
      <c r="C559" s="1"/>
      <c r="D559" s="1"/>
      <c r="E559" s="1"/>
      <c r="F559" s="1"/>
      <c r="G559" s="1"/>
    </row>
    <row r="560" spans="1:7" x14ac:dyDescent="0.2">
      <c r="A560" s="1"/>
      <c r="B560" s="1"/>
      <c r="C560" s="1"/>
      <c r="D560" s="1"/>
      <c r="E560" s="1"/>
      <c r="F560" s="1"/>
      <c r="G560" s="1"/>
    </row>
    <row r="561" spans="1:7" x14ac:dyDescent="0.2">
      <c r="A561" s="1"/>
      <c r="B561" s="1"/>
      <c r="C561" s="1"/>
      <c r="D561" s="1"/>
      <c r="E561" s="1"/>
      <c r="F561" s="1"/>
      <c r="G561" s="1"/>
    </row>
    <row r="562" spans="1:7" x14ac:dyDescent="0.2">
      <c r="A562" s="1"/>
      <c r="B562" s="1"/>
      <c r="C562" s="1"/>
      <c r="D562" s="1"/>
      <c r="E562" s="1"/>
      <c r="F562" s="1"/>
      <c r="G562" s="1"/>
    </row>
    <row r="563" spans="1:7" x14ac:dyDescent="0.2">
      <c r="A563" s="1"/>
      <c r="B563" s="1"/>
      <c r="C563" s="1"/>
      <c r="D563" s="1"/>
      <c r="E563" s="1"/>
      <c r="F563" s="1"/>
      <c r="G563" s="1"/>
    </row>
    <row r="564" spans="1:7" x14ac:dyDescent="0.2">
      <c r="A564" s="1"/>
      <c r="B564" s="1"/>
      <c r="C564" s="1"/>
      <c r="D564" s="1"/>
      <c r="E564" s="1"/>
      <c r="F564" s="1"/>
      <c r="G564" s="1"/>
    </row>
    <row r="565" spans="1:7" x14ac:dyDescent="0.2">
      <c r="A565" s="1"/>
      <c r="B565" s="1"/>
      <c r="C565" s="1"/>
      <c r="D565" s="1"/>
      <c r="E565" s="1"/>
      <c r="F565" s="1"/>
      <c r="G565" s="1"/>
    </row>
    <row r="566" spans="1:7" x14ac:dyDescent="0.2">
      <c r="A566" s="1"/>
      <c r="B566" s="1"/>
      <c r="C566" s="1"/>
      <c r="D566" s="1"/>
      <c r="E566" s="1"/>
      <c r="F566" s="1"/>
      <c r="G566" s="1"/>
    </row>
    <row r="567" spans="1:7" x14ac:dyDescent="0.2">
      <c r="A567" s="1"/>
      <c r="B567" s="1"/>
      <c r="C567" s="1"/>
      <c r="D567" s="1"/>
      <c r="E567" s="1"/>
      <c r="F567" s="1"/>
      <c r="G567" s="1"/>
    </row>
    <row r="568" spans="1:7" x14ac:dyDescent="0.2">
      <c r="A568" s="1"/>
      <c r="B568" s="1"/>
      <c r="C568" s="1"/>
      <c r="D568" s="1"/>
      <c r="E568" s="1"/>
      <c r="F568" s="1"/>
      <c r="G568" s="1"/>
    </row>
    <row r="569" spans="1:7" x14ac:dyDescent="0.2">
      <c r="A569" s="1"/>
      <c r="B569" s="1"/>
      <c r="C569" s="1"/>
      <c r="D569" s="1"/>
      <c r="E569" s="1"/>
      <c r="F569" s="1"/>
      <c r="G569" s="1"/>
    </row>
    <row r="570" spans="1:7" x14ac:dyDescent="0.2">
      <c r="A570" s="1"/>
      <c r="B570" s="1"/>
      <c r="C570" s="1"/>
      <c r="D570" s="1"/>
      <c r="E570" s="1"/>
      <c r="F570" s="1"/>
      <c r="G570" s="1"/>
    </row>
    <row r="571" spans="1:7" x14ac:dyDescent="0.2">
      <c r="A571" s="1"/>
      <c r="B571" s="1"/>
      <c r="C571" s="1"/>
      <c r="D571" s="1"/>
      <c r="E571" s="1"/>
      <c r="F571" s="1"/>
      <c r="G571" s="1"/>
    </row>
    <row r="572" spans="1:7" x14ac:dyDescent="0.2">
      <c r="A572" s="1"/>
      <c r="B572" s="1"/>
      <c r="C572" s="1"/>
      <c r="D572" s="1"/>
      <c r="E572" s="1"/>
      <c r="F572" s="1"/>
      <c r="G572" s="1"/>
    </row>
    <row r="573" spans="1:7" x14ac:dyDescent="0.2">
      <c r="A573" s="1"/>
      <c r="B573" s="1"/>
      <c r="C573" s="1"/>
      <c r="D573" s="1"/>
      <c r="E573" s="1"/>
      <c r="F573" s="1"/>
      <c r="G573" s="1"/>
    </row>
    <row r="574" spans="1:7" x14ac:dyDescent="0.2">
      <c r="A574" s="1"/>
      <c r="B574" s="1"/>
      <c r="C574" s="1"/>
      <c r="D574" s="1"/>
      <c r="E574" s="1"/>
      <c r="F574" s="1"/>
      <c r="G574" s="1"/>
    </row>
    <row r="575" spans="1:7" x14ac:dyDescent="0.2">
      <c r="A575" s="1"/>
      <c r="B575" s="1"/>
      <c r="C575" s="1"/>
      <c r="D575" s="1"/>
      <c r="E575" s="1"/>
      <c r="F575" s="1"/>
      <c r="G575" s="1"/>
    </row>
    <row r="576" spans="1:7" x14ac:dyDescent="0.2">
      <c r="A576" s="1"/>
      <c r="B576" s="1"/>
      <c r="C576" s="1"/>
      <c r="D576" s="1"/>
      <c r="E576" s="1"/>
      <c r="F576" s="1"/>
      <c r="G576" s="1"/>
    </row>
    <row r="577" spans="1:7" x14ac:dyDescent="0.2">
      <c r="A577" s="1"/>
      <c r="B577" s="1"/>
      <c r="C577" s="1"/>
      <c r="D577" s="1"/>
      <c r="E577" s="1"/>
      <c r="F577" s="1"/>
      <c r="G577" s="1"/>
    </row>
    <row r="578" spans="1:7" x14ac:dyDescent="0.2">
      <c r="A578" s="1"/>
      <c r="B578" s="1"/>
      <c r="C578" s="1"/>
      <c r="D578" s="1"/>
      <c r="E578" s="1"/>
      <c r="F578" s="1"/>
      <c r="G578" s="1"/>
    </row>
    <row r="579" spans="1:7" x14ac:dyDescent="0.2">
      <c r="A579" s="1"/>
      <c r="B579" s="1"/>
      <c r="C579" s="1"/>
      <c r="D579" s="1"/>
      <c r="E579" s="1"/>
      <c r="F579" s="1"/>
      <c r="G579" s="1"/>
    </row>
    <row r="580" spans="1:7" x14ac:dyDescent="0.2">
      <c r="A580" s="1"/>
      <c r="B580" s="1"/>
      <c r="C580" s="1"/>
      <c r="D580" s="1"/>
      <c r="E580" s="1"/>
      <c r="F580" s="1"/>
      <c r="G580" s="1"/>
    </row>
    <row r="581" spans="1:7" x14ac:dyDescent="0.2">
      <c r="A581" s="1"/>
      <c r="B581" s="1"/>
      <c r="C581" s="1"/>
      <c r="D581" s="1"/>
      <c r="E581" s="1"/>
      <c r="F581" s="1"/>
      <c r="G581" s="1"/>
    </row>
    <row r="582" spans="1:7" x14ac:dyDescent="0.2">
      <c r="A582" s="1"/>
      <c r="B582" s="1"/>
      <c r="C582" s="1"/>
      <c r="D582" s="1"/>
      <c r="E582" s="1"/>
      <c r="F582" s="1"/>
      <c r="G582" s="1"/>
    </row>
    <row r="583" spans="1:7" x14ac:dyDescent="0.2">
      <c r="A583" s="1"/>
      <c r="B583" s="1"/>
      <c r="C583" s="1"/>
      <c r="D583" s="1"/>
      <c r="E583" s="1"/>
      <c r="F583" s="1"/>
      <c r="G583" s="1"/>
    </row>
    <row r="584" spans="1:7" x14ac:dyDescent="0.2">
      <c r="A584" s="1"/>
      <c r="B584" s="1"/>
      <c r="C584" s="1"/>
      <c r="D584" s="1"/>
      <c r="E584" s="1"/>
      <c r="F584" s="1"/>
      <c r="G584" s="1"/>
    </row>
    <row r="585" spans="1:7" x14ac:dyDescent="0.2">
      <c r="A585" s="1"/>
      <c r="B585" s="1"/>
      <c r="C585" s="1"/>
      <c r="D585" s="1"/>
      <c r="E585" s="1"/>
      <c r="F585" s="1"/>
      <c r="G585" s="1"/>
    </row>
    <row r="586" spans="1:7" x14ac:dyDescent="0.2">
      <c r="A586" s="1"/>
      <c r="B586" s="1"/>
      <c r="C586" s="1"/>
      <c r="D586" s="1"/>
      <c r="E586" s="1"/>
      <c r="F586" s="1"/>
      <c r="G586" s="1"/>
    </row>
    <row r="587" spans="1:7" x14ac:dyDescent="0.2">
      <c r="A587" s="1"/>
      <c r="B587" s="1"/>
      <c r="C587" s="1"/>
      <c r="D587" s="1"/>
      <c r="E587" s="1"/>
      <c r="F587" s="1"/>
      <c r="G587" s="1"/>
    </row>
    <row r="588" spans="1:7" x14ac:dyDescent="0.2">
      <c r="A588" s="1"/>
      <c r="B588" s="1"/>
      <c r="C588" s="1"/>
      <c r="D588" s="1"/>
      <c r="E588" s="1"/>
      <c r="F588" s="1"/>
      <c r="G588" s="1"/>
    </row>
    <row r="589" spans="1:7" x14ac:dyDescent="0.2">
      <c r="A589" s="1"/>
      <c r="B589" s="1"/>
      <c r="C589" s="1"/>
      <c r="D589" s="1"/>
      <c r="E589" s="1"/>
      <c r="F589" s="1"/>
      <c r="G589" s="1"/>
    </row>
    <row r="590" spans="1:7" x14ac:dyDescent="0.2">
      <c r="A590" s="1"/>
      <c r="B590" s="1"/>
      <c r="C590" s="1"/>
      <c r="D590" s="1"/>
      <c r="E590" s="1"/>
      <c r="F590" s="1"/>
      <c r="G590" s="1"/>
    </row>
    <row r="591" spans="1:7" x14ac:dyDescent="0.2">
      <c r="A591" s="1"/>
      <c r="B591" s="1"/>
      <c r="C591" s="1"/>
      <c r="D591" s="1"/>
      <c r="E591" s="1"/>
      <c r="F591" s="1"/>
      <c r="G591" s="1"/>
    </row>
    <row r="592" spans="1:7" x14ac:dyDescent="0.2">
      <c r="A592" s="1"/>
      <c r="B592" s="1"/>
      <c r="C592" s="1"/>
      <c r="D592" s="1"/>
      <c r="E592" s="1"/>
      <c r="F592" s="1"/>
      <c r="G592" s="1"/>
    </row>
    <row r="593" spans="1:7" x14ac:dyDescent="0.2">
      <c r="A593" s="1"/>
      <c r="B593" s="1"/>
      <c r="C593" s="1"/>
      <c r="D593" s="1"/>
      <c r="E593" s="1"/>
      <c r="F593" s="1"/>
      <c r="G593" s="1"/>
    </row>
    <row r="594" spans="1:7" x14ac:dyDescent="0.2">
      <c r="A594" s="1"/>
      <c r="B594" s="1"/>
      <c r="C594" s="1"/>
      <c r="D594" s="1"/>
      <c r="E594" s="1"/>
      <c r="F594" s="1"/>
      <c r="G594" s="1"/>
    </row>
    <row r="595" spans="1:7" x14ac:dyDescent="0.2">
      <c r="A595" s="1"/>
      <c r="B595" s="1"/>
      <c r="C595" s="1"/>
      <c r="D595" s="1"/>
      <c r="E595" s="1"/>
      <c r="F595" s="1"/>
      <c r="G595" s="1"/>
    </row>
    <row r="596" spans="1:7" x14ac:dyDescent="0.2">
      <c r="A596" s="1"/>
      <c r="B596" s="1"/>
      <c r="C596" s="1"/>
      <c r="D596" s="1"/>
      <c r="E596" s="1"/>
      <c r="F596" s="1"/>
      <c r="G596" s="1"/>
    </row>
    <row r="597" spans="1:7" x14ac:dyDescent="0.2">
      <c r="A597" s="1"/>
      <c r="B597" s="1"/>
      <c r="C597" s="1"/>
      <c r="D597" s="1"/>
      <c r="E597" s="1"/>
      <c r="F597" s="1"/>
      <c r="G597" s="1"/>
    </row>
    <row r="598" spans="1:7" x14ac:dyDescent="0.2">
      <c r="A598" s="1"/>
      <c r="B598" s="1"/>
      <c r="C598" s="1"/>
      <c r="D598" s="1"/>
      <c r="E598" s="1"/>
      <c r="F598" s="1"/>
      <c r="G598" s="1"/>
    </row>
    <row r="599" spans="1:7" x14ac:dyDescent="0.2">
      <c r="A599" s="1"/>
      <c r="B599" s="1"/>
      <c r="C599" s="1"/>
      <c r="D599" s="1"/>
      <c r="E599" s="1"/>
      <c r="F599" s="1"/>
      <c r="G599" s="1"/>
    </row>
    <row r="600" spans="1:7" x14ac:dyDescent="0.2">
      <c r="A600" s="1"/>
      <c r="B600" s="1"/>
      <c r="C600" s="1"/>
      <c r="D600" s="1"/>
      <c r="E600" s="1"/>
      <c r="F600" s="1"/>
      <c r="G600" s="1"/>
    </row>
    <row r="601" spans="1:7" x14ac:dyDescent="0.2">
      <c r="A601" s="1"/>
      <c r="B601" s="1"/>
      <c r="C601" s="1"/>
      <c r="D601" s="1"/>
      <c r="E601" s="1"/>
      <c r="F601" s="1"/>
      <c r="G601" s="1"/>
    </row>
    <row r="602" spans="1:7" x14ac:dyDescent="0.2">
      <c r="A602" s="1"/>
      <c r="B602" s="1"/>
      <c r="C602" s="1"/>
      <c r="D602" s="1"/>
      <c r="E602" s="1"/>
      <c r="F602" s="1"/>
      <c r="G602" s="1"/>
    </row>
    <row r="603" spans="1:7" x14ac:dyDescent="0.2">
      <c r="A603" s="1"/>
      <c r="B603" s="1"/>
      <c r="C603" s="1"/>
      <c r="D603" s="1"/>
      <c r="E603" s="1"/>
      <c r="F603" s="1"/>
      <c r="G603" s="1"/>
    </row>
    <row r="604" spans="1:7" x14ac:dyDescent="0.2">
      <c r="A604" s="1"/>
      <c r="B604" s="1"/>
      <c r="C604" s="1"/>
      <c r="D604" s="1"/>
      <c r="E604" s="1"/>
      <c r="F604" s="1"/>
      <c r="G604" s="1"/>
    </row>
    <row r="605" spans="1:7" x14ac:dyDescent="0.2">
      <c r="A605" s="1"/>
      <c r="B605" s="1"/>
      <c r="C605" s="1"/>
      <c r="D605" s="1"/>
      <c r="E605" s="1"/>
      <c r="F605" s="1"/>
      <c r="G605" s="1"/>
    </row>
    <row r="606" spans="1:7" x14ac:dyDescent="0.2">
      <c r="A606" s="1"/>
      <c r="B606" s="1"/>
      <c r="C606" s="1"/>
      <c r="D606" s="1"/>
      <c r="E606" s="1"/>
      <c r="F606" s="1"/>
      <c r="G606" s="1"/>
    </row>
    <row r="607" spans="1:7" x14ac:dyDescent="0.2">
      <c r="A607" s="1"/>
      <c r="B607" s="1"/>
      <c r="C607" s="1"/>
      <c r="D607" s="1"/>
      <c r="E607" s="1"/>
      <c r="F607" s="1"/>
      <c r="G607" s="1"/>
    </row>
    <row r="608" spans="1:7" x14ac:dyDescent="0.2">
      <c r="A608" s="1"/>
      <c r="B608" s="1"/>
      <c r="C608" s="1"/>
      <c r="D608" s="1"/>
      <c r="E608" s="1"/>
      <c r="F608" s="1"/>
      <c r="G608" s="1"/>
    </row>
    <row r="609" spans="1:7" x14ac:dyDescent="0.2">
      <c r="A609" s="1"/>
      <c r="B609" s="1"/>
      <c r="C609" s="1"/>
      <c r="D609" s="1"/>
      <c r="E609" s="1"/>
      <c r="F609" s="1"/>
      <c r="G609" s="1"/>
    </row>
    <row r="610" spans="1:7" x14ac:dyDescent="0.2">
      <c r="A610" s="1"/>
      <c r="B610" s="1"/>
      <c r="C610" s="1"/>
      <c r="D610" s="1"/>
      <c r="E610" s="1"/>
      <c r="F610" s="1"/>
      <c r="G610" s="1"/>
    </row>
    <row r="611" spans="1:7" x14ac:dyDescent="0.2">
      <c r="A611" s="1"/>
      <c r="B611" s="1"/>
      <c r="C611" s="1"/>
      <c r="D611" s="1"/>
      <c r="E611" s="1"/>
      <c r="F611" s="1"/>
      <c r="G611" s="1"/>
    </row>
    <row r="612" spans="1:7" x14ac:dyDescent="0.2">
      <c r="A612" s="1"/>
      <c r="B612" s="1"/>
      <c r="C612" s="1"/>
      <c r="D612" s="1"/>
      <c r="E612" s="1"/>
      <c r="F612" s="1"/>
      <c r="G612" s="1"/>
    </row>
    <row r="613" spans="1:7" x14ac:dyDescent="0.2">
      <c r="A613" s="1"/>
      <c r="B613" s="1"/>
      <c r="C613" s="1"/>
      <c r="D613" s="1"/>
      <c r="E613" s="1"/>
      <c r="F613" s="1"/>
      <c r="G613" s="1"/>
    </row>
    <row r="614" spans="1:7" x14ac:dyDescent="0.2">
      <c r="A614" s="1"/>
      <c r="B614" s="1"/>
      <c r="C614" s="1"/>
      <c r="D614" s="1"/>
      <c r="E614" s="1"/>
      <c r="F614" s="1"/>
      <c r="G614" s="1"/>
    </row>
    <row r="615" spans="1:7" x14ac:dyDescent="0.2">
      <c r="A615" s="1"/>
      <c r="B615" s="1"/>
      <c r="C615" s="1"/>
      <c r="D615" s="1"/>
      <c r="E615" s="1"/>
      <c r="F615" s="1"/>
      <c r="G615" s="1"/>
    </row>
    <row r="616" spans="1:7" x14ac:dyDescent="0.2">
      <c r="A616" s="1"/>
      <c r="B616" s="1"/>
      <c r="C616" s="1"/>
      <c r="D616" s="1"/>
      <c r="E616" s="1"/>
      <c r="F616" s="1"/>
      <c r="G616" s="1"/>
    </row>
    <row r="617" spans="1:7" x14ac:dyDescent="0.2">
      <c r="A617" s="1"/>
      <c r="B617" s="1"/>
      <c r="C617" s="1"/>
      <c r="D617" s="1"/>
      <c r="E617" s="1"/>
      <c r="F617" s="1"/>
      <c r="G617" s="1"/>
    </row>
    <row r="618" spans="1:7" x14ac:dyDescent="0.2">
      <c r="A618" s="1"/>
      <c r="B618" s="1"/>
      <c r="C618" s="1"/>
      <c r="D618" s="1"/>
      <c r="E618" s="1"/>
      <c r="F618" s="1"/>
      <c r="G618" s="1"/>
    </row>
    <row r="619" spans="1:7" x14ac:dyDescent="0.2">
      <c r="A619" s="1"/>
      <c r="B619" s="1"/>
      <c r="C619" s="1"/>
      <c r="D619" s="1"/>
      <c r="E619" s="1"/>
      <c r="F619" s="1"/>
      <c r="G619" s="1"/>
    </row>
    <row r="620" spans="1:7" x14ac:dyDescent="0.2">
      <c r="A620" s="1"/>
      <c r="B620" s="1"/>
      <c r="C620" s="1"/>
      <c r="D620" s="1"/>
      <c r="E620" s="1"/>
      <c r="F620" s="1"/>
      <c r="G620" s="1"/>
    </row>
    <row r="621" spans="1:7" x14ac:dyDescent="0.2">
      <c r="A621" s="1"/>
      <c r="B621" s="1"/>
      <c r="C621" s="1"/>
      <c r="D621" s="1"/>
      <c r="E621" s="1"/>
      <c r="F621" s="1"/>
      <c r="G621" s="1"/>
    </row>
    <row r="622" spans="1:7" x14ac:dyDescent="0.2">
      <c r="A622" s="1"/>
      <c r="B622" s="1"/>
      <c r="C622" s="1"/>
      <c r="D622" s="1"/>
      <c r="E622" s="1"/>
      <c r="F622" s="1"/>
      <c r="G622" s="1"/>
    </row>
    <row r="623" spans="1:7" x14ac:dyDescent="0.2">
      <c r="A623" s="1"/>
      <c r="B623" s="1"/>
      <c r="C623" s="1"/>
      <c r="D623" s="1"/>
      <c r="E623" s="1"/>
      <c r="F623" s="1"/>
      <c r="G623" s="1"/>
    </row>
    <row r="624" spans="1:7" x14ac:dyDescent="0.2">
      <c r="A624" s="1"/>
      <c r="B624" s="1"/>
      <c r="C624" s="1"/>
      <c r="D624" s="1"/>
      <c r="E624" s="1"/>
      <c r="F624" s="1"/>
      <c r="G624" s="1"/>
    </row>
    <row r="625" spans="1:7" x14ac:dyDescent="0.2">
      <c r="A625" s="1"/>
      <c r="B625" s="1"/>
      <c r="C625" s="1"/>
      <c r="D625" s="1"/>
      <c r="E625" s="1"/>
      <c r="F625" s="1"/>
      <c r="G625" s="1"/>
    </row>
    <row r="626" spans="1:7" x14ac:dyDescent="0.2">
      <c r="A626" s="1"/>
      <c r="B626" s="1"/>
      <c r="C626" s="1"/>
      <c r="D626" s="1"/>
      <c r="E626" s="1"/>
      <c r="F626" s="1"/>
      <c r="G626" s="1"/>
    </row>
    <row r="627" spans="1:7" x14ac:dyDescent="0.2">
      <c r="A627" s="1"/>
      <c r="B627" s="1"/>
      <c r="C627" s="1"/>
      <c r="D627" s="1"/>
      <c r="E627" s="1"/>
      <c r="F627" s="1"/>
      <c r="G627" s="1"/>
    </row>
    <row r="628" spans="1:7" x14ac:dyDescent="0.2">
      <c r="A628" s="1"/>
      <c r="B628" s="1"/>
      <c r="C628" s="1"/>
      <c r="D628" s="1"/>
      <c r="E628" s="1"/>
      <c r="F628" s="1"/>
      <c r="G628" s="1"/>
    </row>
    <row r="629" spans="1:7" x14ac:dyDescent="0.2">
      <c r="A629" s="1"/>
      <c r="B629" s="1"/>
      <c r="C629" s="1"/>
      <c r="D629" s="1"/>
      <c r="E629" s="1"/>
      <c r="F629" s="1"/>
      <c r="G629" s="1"/>
    </row>
    <row r="630" spans="1:7" x14ac:dyDescent="0.2">
      <c r="A630" s="1"/>
      <c r="B630" s="1"/>
      <c r="C630" s="1"/>
      <c r="D630" s="1"/>
      <c r="E630" s="1"/>
      <c r="F630" s="1"/>
      <c r="G630" s="1"/>
    </row>
    <row r="631" spans="1:7" x14ac:dyDescent="0.2">
      <c r="A631" s="1"/>
      <c r="B631" s="1"/>
      <c r="C631" s="1"/>
      <c r="D631" s="1"/>
      <c r="E631" s="1"/>
      <c r="F631" s="1"/>
      <c r="G631" s="1"/>
    </row>
    <row r="632" spans="1:7" x14ac:dyDescent="0.2">
      <c r="A632" s="1"/>
      <c r="B632" s="1"/>
      <c r="C632" s="1"/>
      <c r="D632" s="1"/>
      <c r="E632" s="1"/>
      <c r="F632" s="1"/>
      <c r="G632" s="1"/>
    </row>
    <row r="633" spans="1:7" x14ac:dyDescent="0.2">
      <c r="A633" s="1"/>
      <c r="B633" s="1"/>
      <c r="C633" s="1"/>
      <c r="D633" s="1"/>
      <c r="E633" s="1"/>
      <c r="F633" s="1"/>
      <c r="G633" s="1"/>
    </row>
    <row r="634" spans="1:7" x14ac:dyDescent="0.2">
      <c r="A634" s="1"/>
      <c r="B634" s="1"/>
      <c r="C634" s="1"/>
      <c r="D634" s="1"/>
      <c r="E634" s="1"/>
      <c r="F634" s="1"/>
      <c r="G634" s="1"/>
    </row>
    <row r="635" spans="1:7" x14ac:dyDescent="0.2">
      <c r="A635" s="1"/>
      <c r="B635" s="1"/>
      <c r="C635" s="1"/>
      <c r="D635" s="1"/>
      <c r="E635" s="1"/>
      <c r="F635" s="1"/>
      <c r="G635" s="1"/>
    </row>
    <row r="636" spans="1:7" x14ac:dyDescent="0.2">
      <c r="A636" s="1"/>
      <c r="B636" s="1"/>
      <c r="C636" s="1"/>
      <c r="D636" s="1"/>
      <c r="E636" s="1"/>
      <c r="F636" s="1"/>
      <c r="G636" s="1"/>
    </row>
    <row r="637" spans="1:7" x14ac:dyDescent="0.2">
      <c r="A637" s="1"/>
      <c r="B637" s="1"/>
      <c r="C637" s="1"/>
      <c r="D637" s="1"/>
      <c r="E637" s="1"/>
      <c r="F637" s="1"/>
      <c r="G637" s="1"/>
    </row>
    <row r="638" spans="1:7" x14ac:dyDescent="0.2">
      <c r="A638" s="1"/>
      <c r="B638" s="1"/>
      <c r="C638" s="1"/>
      <c r="D638" s="1"/>
      <c r="E638" s="1"/>
      <c r="F638" s="1"/>
      <c r="G638" s="1"/>
    </row>
    <row r="639" spans="1:7" x14ac:dyDescent="0.2">
      <c r="A639" s="1"/>
      <c r="B639" s="1"/>
      <c r="C639" s="1"/>
      <c r="D639" s="1"/>
      <c r="E639" s="1"/>
      <c r="F639" s="1"/>
      <c r="G639" s="1"/>
    </row>
    <row r="640" spans="1:7" x14ac:dyDescent="0.2">
      <c r="A640" s="1"/>
      <c r="B640" s="1"/>
      <c r="C640" s="1"/>
      <c r="D640" s="1"/>
      <c r="E640" s="1"/>
      <c r="F640" s="1"/>
      <c r="G640" s="1"/>
    </row>
    <row r="641" spans="1:7" x14ac:dyDescent="0.2">
      <c r="A641" s="1"/>
      <c r="B641" s="1"/>
      <c r="C641" s="1"/>
      <c r="D641" s="1"/>
      <c r="E641" s="1"/>
      <c r="F641" s="1"/>
      <c r="G641" s="1"/>
    </row>
    <row r="642" spans="1:7" x14ac:dyDescent="0.2">
      <c r="A642" s="1"/>
      <c r="B642" s="1"/>
      <c r="C642" s="1"/>
      <c r="D642" s="1"/>
      <c r="E642" s="1"/>
      <c r="F642" s="1"/>
      <c r="G642" s="1"/>
    </row>
    <row r="643" spans="1:7" x14ac:dyDescent="0.2">
      <c r="A643" s="1"/>
      <c r="B643" s="1"/>
      <c r="C643" s="1"/>
      <c r="D643" s="1"/>
      <c r="E643" s="1"/>
      <c r="F643" s="1"/>
      <c r="G643" s="1"/>
    </row>
    <row r="644" spans="1:7" x14ac:dyDescent="0.2">
      <c r="A644" s="1"/>
      <c r="B644" s="1"/>
      <c r="C644" s="1"/>
      <c r="D644" s="1"/>
      <c r="E644" s="1"/>
      <c r="F644" s="1"/>
      <c r="G644" s="1"/>
    </row>
    <row r="645" spans="1:7" x14ac:dyDescent="0.2">
      <c r="A645" s="1"/>
      <c r="B645" s="1"/>
      <c r="C645" s="1"/>
      <c r="D645" s="1"/>
      <c r="E645" s="1"/>
      <c r="F645" s="1"/>
      <c r="G645" s="1"/>
    </row>
    <row r="646" spans="1:7" x14ac:dyDescent="0.2">
      <c r="A646" s="1"/>
      <c r="B646" s="1"/>
      <c r="C646" s="1"/>
      <c r="D646" s="1"/>
      <c r="E646" s="1"/>
      <c r="F646" s="1"/>
      <c r="G646" s="1"/>
    </row>
    <row r="647" spans="1:7" x14ac:dyDescent="0.2">
      <c r="A647" s="1"/>
      <c r="B647" s="1"/>
      <c r="C647" s="1"/>
      <c r="D647" s="1"/>
      <c r="E647" s="1"/>
      <c r="F647" s="1"/>
      <c r="G647" s="1"/>
    </row>
    <row r="648" spans="1:7" x14ac:dyDescent="0.2">
      <c r="A648" s="1"/>
      <c r="B648" s="1"/>
      <c r="C648" s="1"/>
      <c r="D648" s="1"/>
      <c r="E648" s="1"/>
      <c r="F648" s="1"/>
      <c r="G648" s="1"/>
    </row>
    <row r="649" spans="1:7" x14ac:dyDescent="0.2">
      <c r="A649" s="1"/>
      <c r="B649" s="1"/>
      <c r="C649" s="1"/>
      <c r="D649" s="1"/>
      <c r="E649" s="1"/>
      <c r="F649" s="1"/>
      <c r="G649" s="1"/>
    </row>
    <row r="650" spans="1:7" x14ac:dyDescent="0.2">
      <c r="A650" s="1"/>
      <c r="B650" s="1"/>
      <c r="C650" s="1"/>
      <c r="D650" s="1"/>
      <c r="E650" s="1"/>
      <c r="F650" s="1"/>
      <c r="G650" s="1"/>
    </row>
    <row r="651" spans="1:7" x14ac:dyDescent="0.2">
      <c r="A651" s="1"/>
      <c r="B651" s="1"/>
      <c r="C651" s="1"/>
      <c r="D651" s="1"/>
      <c r="E651" s="1"/>
      <c r="F651" s="1"/>
      <c r="G651" s="1"/>
    </row>
    <row r="652" spans="1:7" x14ac:dyDescent="0.2">
      <c r="A652" s="1"/>
      <c r="B652" s="1"/>
      <c r="C652" s="1"/>
      <c r="D652" s="1"/>
      <c r="E652" s="1"/>
      <c r="F652" s="1"/>
      <c r="G652" s="1"/>
    </row>
    <row r="653" spans="1:7" x14ac:dyDescent="0.2">
      <c r="A653" s="1"/>
      <c r="B653" s="1"/>
      <c r="C653" s="1"/>
      <c r="D653" s="1"/>
      <c r="E653" s="1"/>
      <c r="F653" s="1"/>
      <c r="G653" s="1"/>
    </row>
    <row r="654" spans="1:7" x14ac:dyDescent="0.2">
      <c r="A654" s="1"/>
      <c r="B654" s="1"/>
      <c r="C654" s="1"/>
      <c r="D654" s="1"/>
      <c r="E654" s="1"/>
      <c r="F654" s="1"/>
      <c r="G654" s="1"/>
    </row>
    <row r="655" spans="1:7" x14ac:dyDescent="0.2">
      <c r="A655" s="1"/>
      <c r="B655" s="1"/>
      <c r="C655" s="1"/>
      <c r="D655" s="1"/>
      <c r="E655" s="1"/>
      <c r="F655" s="1"/>
      <c r="G655" s="1"/>
    </row>
    <row r="656" spans="1:7" x14ac:dyDescent="0.2">
      <c r="A656" s="1"/>
      <c r="B656" s="1"/>
      <c r="C656" s="1"/>
      <c r="D656" s="1"/>
      <c r="E656" s="1"/>
      <c r="F656" s="1"/>
      <c r="G656" s="1"/>
    </row>
    <row r="657" spans="1:7" x14ac:dyDescent="0.2">
      <c r="A657" s="1"/>
      <c r="B657" s="1"/>
      <c r="C657" s="1"/>
      <c r="D657" s="1"/>
      <c r="E657" s="1"/>
      <c r="F657" s="1"/>
      <c r="G657" s="1"/>
    </row>
    <row r="658" spans="1:7" x14ac:dyDescent="0.2">
      <c r="A658" s="1"/>
      <c r="B658" s="1"/>
      <c r="C658" s="1"/>
      <c r="D658" s="1"/>
      <c r="E658" s="1"/>
      <c r="F658" s="1"/>
      <c r="G658" s="1"/>
    </row>
    <row r="659" spans="1:7" x14ac:dyDescent="0.2">
      <c r="A659" s="1"/>
      <c r="B659" s="1"/>
      <c r="C659" s="1"/>
      <c r="D659" s="1"/>
      <c r="E659" s="1"/>
      <c r="F659" s="1"/>
      <c r="G659" s="1"/>
    </row>
    <row r="660" spans="1:7" x14ac:dyDescent="0.2">
      <c r="A660" s="1"/>
      <c r="B660" s="1"/>
      <c r="C660" s="1"/>
      <c r="D660" s="1"/>
      <c r="E660" s="1"/>
      <c r="F660" s="1"/>
      <c r="G660" s="1"/>
    </row>
    <row r="661" spans="1:7" x14ac:dyDescent="0.2">
      <c r="A661" s="1"/>
      <c r="B661" s="1"/>
      <c r="C661" s="1"/>
      <c r="D661" s="1"/>
      <c r="E661" s="1"/>
      <c r="F661" s="1"/>
      <c r="G661" s="1"/>
    </row>
    <row r="662" spans="1:7" x14ac:dyDescent="0.2">
      <c r="A662" s="1"/>
      <c r="B662" s="1"/>
      <c r="C662" s="1"/>
      <c r="D662" s="1"/>
      <c r="E662" s="1"/>
      <c r="F662" s="1"/>
      <c r="G662" s="1"/>
    </row>
    <row r="663" spans="1:7" x14ac:dyDescent="0.2">
      <c r="A663" s="1"/>
      <c r="B663" s="1"/>
      <c r="C663" s="1"/>
      <c r="D663" s="1"/>
      <c r="E663" s="1"/>
      <c r="F663" s="1"/>
      <c r="G663" s="1"/>
    </row>
    <row r="664" spans="1:7" x14ac:dyDescent="0.2">
      <c r="A664" s="1"/>
      <c r="B664" s="1"/>
      <c r="C664" s="1"/>
      <c r="D664" s="1"/>
      <c r="E664" s="1"/>
      <c r="F664" s="1"/>
      <c r="G664" s="1"/>
    </row>
    <row r="665" spans="1:7" x14ac:dyDescent="0.2">
      <c r="A665" s="1"/>
      <c r="B665" s="1"/>
      <c r="C665" s="1"/>
      <c r="D665" s="1"/>
      <c r="E665" s="1"/>
      <c r="F665" s="1"/>
      <c r="G665" s="1"/>
    </row>
    <row r="666" spans="1:7" x14ac:dyDescent="0.2">
      <c r="A666" s="1"/>
      <c r="B666" s="1"/>
      <c r="C666" s="1"/>
      <c r="D666" s="1"/>
      <c r="E666" s="1"/>
      <c r="F666" s="1"/>
      <c r="G666" s="1"/>
    </row>
    <row r="667" spans="1:7" x14ac:dyDescent="0.2">
      <c r="A667" s="1"/>
      <c r="B667" s="1"/>
      <c r="C667" s="1"/>
      <c r="D667" s="1"/>
      <c r="E667" s="1"/>
      <c r="F667" s="1"/>
      <c r="G667" s="1"/>
    </row>
    <row r="668" spans="1:7" x14ac:dyDescent="0.2">
      <c r="A668" s="1"/>
      <c r="B668" s="1"/>
      <c r="C668" s="1"/>
      <c r="D668" s="1"/>
      <c r="E668" s="1"/>
      <c r="F668" s="1"/>
      <c r="G668" s="1"/>
    </row>
    <row r="669" spans="1:7" x14ac:dyDescent="0.2">
      <c r="A669" s="1"/>
      <c r="B669" s="1"/>
      <c r="C669" s="1"/>
      <c r="D669" s="1"/>
      <c r="E669" s="1"/>
      <c r="F669" s="1"/>
      <c r="G669" s="1"/>
    </row>
    <row r="670" spans="1:7" x14ac:dyDescent="0.2">
      <c r="A670" s="1"/>
      <c r="B670" s="1"/>
      <c r="C670" s="1"/>
      <c r="D670" s="1"/>
      <c r="E670" s="1"/>
      <c r="F670" s="1"/>
      <c r="G670" s="1"/>
    </row>
    <row r="671" spans="1:7" x14ac:dyDescent="0.2">
      <c r="A671" s="1"/>
      <c r="B671" s="1"/>
      <c r="C671" s="1"/>
      <c r="D671" s="1"/>
      <c r="E671" s="1"/>
      <c r="F671" s="1"/>
      <c r="G671" s="1"/>
    </row>
    <row r="672" spans="1:7" x14ac:dyDescent="0.2">
      <c r="A672" s="1"/>
      <c r="B672" s="1"/>
      <c r="C672" s="1"/>
      <c r="D672" s="1"/>
      <c r="E672" s="1"/>
      <c r="F672" s="1"/>
      <c r="G672" s="1"/>
    </row>
    <row r="673" spans="1:7" x14ac:dyDescent="0.2">
      <c r="A673" s="1"/>
      <c r="B673" s="1"/>
      <c r="C673" s="1"/>
      <c r="D673" s="1"/>
      <c r="E673" s="1"/>
      <c r="F673" s="1"/>
      <c r="G673" s="1"/>
    </row>
    <row r="674" spans="1:7" x14ac:dyDescent="0.2">
      <c r="A674" s="1"/>
      <c r="B674" s="1"/>
      <c r="C674" s="1"/>
      <c r="D674" s="1"/>
      <c r="E674" s="1"/>
      <c r="F674" s="1"/>
      <c r="G674" s="1"/>
    </row>
    <row r="675" spans="1:7" x14ac:dyDescent="0.2">
      <c r="A675" s="1"/>
      <c r="B675" s="1"/>
      <c r="C675" s="1"/>
      <c r="D675" s="1"/>
      <c r="E675" s="1"/>
      <c r="F675" s="1"/>
      <c r="G675" s="1"/>
    </row>
    <row r="676" spans="1:7" x14ac:dyDescent="0.2">
      <c r="A676" s="1"/>
      <c r="B676" s="1"/>
      <c r="C676" s="1"/>
      <c r="D676" s="1"/>
      <c r="E676" s="1"/>
      <c r="F676" s="1"/>
      <c r="G676" s="1"/>
    </row>
    <row r="677" spans="1:7" x14ac:dyDescent="0.2">
      <c r="A677" s="1"/>
      <c r="B677" s="1"/>
      <c r="C677" s="1"/>
      <c r="D677" s="1"/>
      <c r="E677" s="1"/>
      <c r="F677" s="1"/>
      <c r="G677" s="1"/>
    </row>
    <row r="678" spans="1:7" x14ac:dyDescent="0.2">
      <c r="A678" s="1"/>
      <c r="B678" s="1"/>
      <c r="C678" s="1"/>
      <c r="D678" s="1"/>
      <c r="E678" s="1"/>
      <c r="F678" s="1"/>
      <c r="G678" s="1"/>
    </row>
    <row r="679" spans="1:7" x14ac:dyDescent="0.2">
      <c r="A679" s="1"/>
      <c r="B679" s="1"/>
      <c r="C679" s="1"/>
      <c r="D679" s="1"/>
      <c r="E679" s="1"/>
      <c r="F679" s="1"/>
      <c r="G679" s="1"/>
    </row>
    <row r="680" spans="1:7" x14ac:dyDescent="0.2">
      <c r="A680" s="1"/>
      <c r="B680" s="1"/>
      <c r="C680" s="1"/>
      <c r="D680" s="1"/>
      <c r="E680" s="1"/>
      <c r="F680" s="1"/>
      <c r="G680" s="1"/>
    </row>
    <row r="681" spans="1:7" x14ac:dyDescent="0.2">
      <c r="A681" s="1"/>
      <c r="B681" s="1"/>
      <c r="C681" s="1"/>
      <c r="D681" s="1"/>
      <c r="E681" s="1"/>
      <c r="F681" s="1"/>
      <c r="G681" s="1"/>
    </row>
    <row r="682" spans="1:7" x14ac:dyDescent="0.2">
      <c r="A682" s="1"/>
      <c r="B682" s="1"/>
      <c r="C682" s="1"/>
      <c r="D682" s="1"/>
      <c r="E682" s="1"/>
      <c r="F682" s="1"/>
      <c r="G682" s="1"/>
    </row>
    <row r="683" spans="1:7" x14ac:dyDescent="0.2">
      <c r="A683" s="1"/>
      <c r="B683" s="1"/>
      <c r="C683" s="1"/>
      <c r="D683" s="1"/>
      <c r="E683" s="1"/>
      <c r="F683" s="1"/>
      <c r="G683" s="1"/>
    </row>
    <row r="684" spans="1:7" x14ac:dyDescent="0.2">
      <c r="A684" s="1"/>
      <c r="B684" s="1"/>
      <c r="C684" s="1"/>
      <c r="D684" s="1"/>
      <c r="E684" s="1"/>
      <c r="F684" s="1"/>
      <c r="G684" s="1"/>
    </row>
    <row r="685" spans="1:7" x14ac:dyDescent="0.2">
      <c r="A685" s="1"/>
      <c r="B685" s="1"/>
      <c r="C685" s="1"/>
      <c r="D685" s="1"/>
      <c r="E685" s="1"/>
      <c r="F685" s="1"/>
      <c r="G685" s="1"/>
    </row>
    <row r="686" spans="1:7" x14ac:dyDescent="0.2">
      <c r="A686" s="1"/>
      <c r="B686" s="1"/>
      <c r="C686" s="1"/>
      <c r="D686" s="1"/>
      <c r="E686" s="1"/>
      <c r="F686" s="1"/>
      <c r="G686" s="1"/>
    </row>
    <row r="687" spans="1:7" x14ac:dyDescent="0.2">
      <c r="A687" s="1"/>
      <c r="B687" s="1"/>
      <c r="C687" s="1"/>
      <c r="D687" s="1"/>
      <c r="E687" s="1"/>
      <c r="F687" s="1"/>
      <c r="G687" s="1"/>
    </row>
    <row r="688" spans="1:7" x14ac:dyDescent="0.2">
      <c r="A688" s="1"/>
      <c r="B688" s="1"/>
      <c r="C688" s="1"/>
      <c r="D688" s="1"/>
      <c r="E688" s="1"/>
      <c r="F688" s="1"/>
      <c r="G688" s="1"/>
    </row>
    <row r="689" spans="1:7" x14ac:dyDescent="0.2">
      <c r="A689" s="1"/>
      <c r="B689" s="1"/>
      <c r="C689" s="1"/>
      <c r="D689" s="1"/>
      <c r="E689" s="1"/>
      <c r="F689" s="1"/>
      <c r="G689" s="1"/>
    </row>
    <row r="690" spans="1:7" x14ac:dyDescent="0.2">
      <c r="A690" s="1"/>
      <c r="B690" s="1"/>
      <c r="C690" s="1"/>
      <c r="D690" s="1"/>
      <c r="E690" s="1"/>
      <c r="F690" s="1"/>
      <c r="G690" s="1"/>
    </row>
    <row r="691" spans="1:7" x14ac:dyDescent="0.2">
      <c r="A691" s="1"/>
      <c r="B691" s="1"/>
      <c r="C691" s="1"/>
      <c r="D691" s="1"/>
      <c r="E691" s="1"/>
      <c r="F691" s="1"/>
      <c r="G691" s="1"/>
    </row>
    <row r="692" spans="1:7" x14ac:dyDescent="0.2">
      <c r="A692" s="1"/>
      <c r="B692" s="1"/>
      <c r="C692" s="1"/>
      <c r="D692" s="1"/>
      <c r="E692" s="1"/>
      <c r="F692" s="1"/>
      <c r="G692" s="1"/>
    </row>
    <row r="693" spans="1:7" x14ac:dyDescent="0.2">
      <c r="A693" s="1"/>
      <c r="B693" s="1"/>
      <c r="C693" s="1"/>
      <c r="D693" s="1"/>
      <c r="E693" s="1"/>
      <c r="F693" s="1"/>
      <c r="G693" s="1"/>
    </row>
    <row r="694" spans="1:7" x14ac:dyDescent="0.2">
      <c r="A694" s="1"/>
      <c r="B694" s="1"/>
      <c r="C694" s="1"/>
      <c r="D694" s="1"/>
      <c r="E694" s="1"/>
      <c r="F694" s="1"/>
      <c r="G694" s="1"/>
    </row>
    <row r="695" spans="1:7" x14ac:dyDescent="0.2">
      <c r="A695" s="1"/>
      <c r="B695" s="1"/>
      <c r="C695" s="1"/>
      <c r="D695" s="1"/>
      <c r="E695" s="1"/>
      <c r="F695" s="1"/>
      <c r="G695" s="1"/>
    </row>
    <row r="696" spans="1:7" x14ac:dyDescent="0.2">
      <c r="A696" s="1"/>
      <c r="B696" s="1"/>
      <c r="C696" s="1"/>
      <c r="D696" s="1"/>
      <c r="E696" s="1"/>
      <c r="F696" s="1"/>
      <c r="G696" s="1"/>
    </row>
    <row r="697" spans="1:7" x14ac:dyDescent="0.2">
      <c r="A697" s="1"/>
      <c r="B697" s="1"/>
      <c r="C697" s="1"/>
      <c r="D697" s="1"/>
      <c r="E697" s="1"/>
      <c r="F697" s="1"/>
      <c r="G697" s="1"/>
    </row>
    <row r="698" spans="1:7" x14ac:dyDescent="0.2">
      <c r="A698" s="1"/>
      <c r="B698" s="1"/>
      <c r="C698" s="1"/>
      <c r="D698" s="1"/>
      <c r="E698" s="1"/>
      <c r="F698" s="1"/>
      <c r="G698" s="1"/>
    </row>
    <row r="699" spans="1:7" x14ac:dyDescent="0.2">
      <c r="A699" s="1"/>
      <c r="B699" s="1"/>
      <c r="C699" s="1"/>
      <c r="D699" s="1"/>
      <c r="E699" s="1"/>
      <c r="F699" s="1"/>
      <c r="G699" s="1"/>
    </row>
    <row r="700" spans="1:7" x14ac:dyDescent="0.2">
      <c r="A700" s="1"/>
      <c r="B700" s="1"/>
      <c r="C700" s="1"/>
      <c r="D700" s="1"/>
      <c r="E700" s="1"/>
      <c r="F700" s="1"/>
      <c r="G700" s="1"/>
    </row>
    <row r="701" spans="1:7" x14ac:dyDescent="0.2">
      <c r="A701" s="1"/>
      <c r="B701" s="1"/>
      <c r="C701" s="1"/>
      <c r="D701" s="1"/>
      <c r="E701" s="1"/>
      <c r="F701" s="1"/>
      <c r="G701" s="1"/>
    </row>
    <row r="702" spans="1:7" x14ac:dyDescent="0.2">
      <c r="A702" s="1"/>
      <c r="B702" s="1"/>
      <c r="C702" s="1"/>
      <c r="D702" s="1"/>
      <c r="E702" s="1"/>
      <c r="F702" s="1"/>
      <c r="G702" s="1"/>
    </row>
    <row r="703" spans="1:7" x14ac:dyDescent="0.2">
      <c r="A703" s="1"/>
      <c r="B703" s="1"/>
      <c r="C703" s="1"/>
      <c r="D703" s="1"/>
      <c r="E703" s="1"/>
      <c r="F703" s="1"/>
      <c r="G703" s="1"/>
    </row>
    <row r="704" spans="1:7" x14ac:dyDescent="0.2">
      <c r="A704" s="1"/>
      <c r="B704" s="1"/>
      <c r="C704" s="1"/>
      <c r="D704" s="1"/>
      <c r="E704" s="1"/>
      <c r="F704" s="1"/>
      <c r="G704" s="1"/>
    </row>
    <row r="705" spans="1:7" x14ac:dyDescent="0.2">
      <c r="A705" s="1"/>
      <c r="B705" s="1"/>
      <c r="C705" s="1"/>
      <c r="D705" s="1"/>
      <c r="E705" s="1"/>
      <c r="F705" s="1"/>
      <c r="G705" s="1"/>
    </row>
    <row r="706" spans="1:7" x14ac:dyDescent="0.2">
      <c r="A706" s="1"/>
      <c r="B706" s="1"/>
      <c r="C706" s="1"/>
      <c r="D706" s="1"/>
      <c r="E706" s="1"/>
      <c r="F706" s="1"/>
      <c r="G706" s="1"/>
    </row>
    <row r="707" spans="1:7" x14ac:dyDescent="0.2">
      <c r="A707" s="1"/>
      <c r="B707" s="1"/>
      <c r="C707" s="1"/>
      <c r="D707" s="1"/>
      <c r="E707" s="1"/>
      <c r="F707" s="1"/>
      <c r="G707" s="1"/>
    </row>
    <row r="708" spans="1:7" x14ac:dyDescent="0.2">
      <c r="A708" s="1"/>
      <c r="B708" s="1"/>
      <c r="C708" s="1"/>
      <c r="D708" s="1"/>
      <c r="E708" s="1"/>
      <c r="F708" s="1"/>
      <c r="G708" s="1"/>
    </row>
    <row r="709" spans="1:7" x14ac:dyDescent="0.2">
      <c r="A709" s="1"/>
      <c r="B709" s="1"/>
      <c r="C709" s="1"/>
      <c r="D709" s="1"/>
      <c r="E709" s="1"/>
      <c r="F709" s="1"/>
      <c r="G709" s="1"/>
    </row>
    <row r="710" spans="1:7" x14ac:dyDescent="0.2">
      <c r="A710" s="1"/>
      <c r="B710" s="1"/>
      <c r="C710" s="1"/>
      <c r="D710" s="1"/>
      <c r="E710" s="1"/>
      <c r="F710" s="1"/>
      <c r="G710" s="1"/>
    </row>
    <row r="711" spans="1:7" x14ac:dyDescent="0.2">
      <c r="A711" s="1"/>
      <c r="B711" s="1"/>
      <c r="C711" s="1"/>
      <c r="D711" s="1"/>
      <c r="E711" s="1"/>
      <c r="F711" s="1"/>
      <c r="G711" s="1"/>
    </row>
    <row r="712" spans="1:7" x14ac:dyDescent="0.2">
      <c r="A712" s="1"/>
      <c r="B712" s="1"/>
      <c r="C712" s="1"/>
      <c r="D712" s="1"/>
      <c r="E712" s="1"/>
      <c r="F712" s="1"/>
      <c r="G712" s="1"/>
    </row>
    <row r="713" spans="1:7" x14ac:dyDescent="0.2">
      <c r="A713" s="1"/>
      <c r="B713" s="1"/>
      <c r="C713" s="1"/>
      <c r="D713" s="1"/>
      <c r="E713" s="1"/>
      <c r="F713" s="1"/>
      <c r="G713" s="1"/>
    </row>
    <row r="714" spans="1:7" x14ac:dyDescent="0.2">
      <c r="A714" s="1"/>
      <c r="B714" s="1"/>
      <c r="C714" s="1"/>
      <c r="D714" s="1"/>
      <c r="E714" s="1"/>
      <c r="F714" s="1"/>
      <c r="G714" s="1"/>
    </row>
    <row r="715" spans="1:7" x14ac:dyDescent="0.2">
      <c r="A715" s="1"/>
      <c r="B715" s="1"/>
      <c r="C715" s="1"/>
      <c r="D715" s="1"/>
      <c r="E715" s="1"/>
      <c r="F715" s="1"/>
      <c r="G715" s="1"/>
    </row>
    <row r="716" spans="1:7" x14ac:dyDescent="0.2">
      <c r="A716" s="1"/>
      <c r="B716" s="1"/>
      <c r="C716" s="1"/>
      <c r="D716" s="1"/>
      <c r="E716" s="1"/>
      <c r="F716" s="1"/>
      <c r="G716" s="1"/>
    </row>
    <row r="717" spans="1:7" x14ac:dyDescent="0.2">
      <c r="A717" s="1"/>
      <c r="B717" s="1"/>
      <c r="C717" s="1"/>
      <c r="D717" s="1"/>
      <c r="E717" s="1"/>
      <c r="F717" s="1"/>
      <c r="G717" s="1"/>
    </row>
    <row r="718" spans="1:7" x14ac:dyDescent="0.2">
      <c r="A718" s="1"/>
      <c r="B718" s="1"/>
      <c r="C718" s="1"/>
      <c r="D718" s="1"/>
      <c r="E718" s="1"/>
      <c r="F718" s="1"/>
      <c r="G718" s="1"/>
    </row>
    <row r="719" spans="1:7" x14ac:dyDescent="0.2">
      <c r="A719" s="1"/>
      <c r="B719" s="1"/>
      <c r="C719" s="1"/>
      <c r="D719" s="1"/>
      <c r="E719" s="1"/>
      <c r="F719" s="1"/>
      <c r="G719" s="1"/>
    </row>
    <row r="720" spans="1:7" x14ac:dyDescent="0.2">
      <c r="A720" s="1"/>
      <c r="B720" s="1"/>
      <c r="C720" s="1"/>
      <c r="D720" s="1"/>
      <c r="E720" s="1"/>
      <c r="F720" s="1"/>
      <c r="G720" s="1"/>
    </row>
    <row r="721" spans="1:7" x14ac:dyDescent="0.2">
      <c r="A721" s="1"/>
      <c r="B721" s="1"/>
      <c r="C721" s="1"/>
      <c r="D721" s="1"/>
      <c r="E721" s="1"/>
      <c r="F721" s="1"/>
      <c r="G721" s="1"/>
    </row>
    <row r="722" spans="1:7" x14ac:dyDescent="0.2">
      <c r="A722" s="1"/>
      <c r="B722" s="1"/>
      <c r="C722" s="1"/>
      <c r="D722" s="1"/>
      <c r="E722" s="1"/>
      <c r="F722" s="1"/>
      <c r="G722" s="1"/>
    </row>
    <row r="723" spans="1:7" x14ac:dyDescent="0.2">
      <c r="A723" s="1"/>
      <c r="B723" s="1"/>
      <c r="C723" s="1"/>
      <c r="D723" s="1"/>
      <c r="E723" s="1"/>
      <c r="F723" s="1"/>
      <c r="G723" s="1"/>
    </row>
    <row r="724" spans="1:7" x14ac:dyDescent="0.2">
      <c r="A724" s="1"/>
      <c r="B724" s="1"/>
      <c r="C724" s="1"/>
      <c r="D724" s="1"/>
      <c r="E724" s="1"/>
      <c r="F724" s="1"/>
      <c r="G724" s="1"/>
    </row>
    <row r="725" spans="1:7" x14ac:dyDescent="0.2">
      <c r="A725" s="1"/>
      <c r="B725" s="1"/>
      <c r="C725" s="1"/>
      <c r="D725" s="1"/>
      <c r="E725" s="1"/>
      <c r="F725" s="1"/>
      <c r="G725" s="1"/>
    </row>
    <row r="726" spans="1:7" x14ac:dyDescent="0.2">
      <c r="A726" s="1"/>
      <c r="B726" s="1"/>
      <c r="C726" s="1"/>
      <c r="D726" s="1"/>
      <c r="E726" s="1"/>
      <c r="F726" s="1"/>
      <c r="G726" s="1"/>
    </row>
    <row r="727" spans="1:7" x14ac:dyDescent="0.2">
      <c r="A727" s="1"/>
      <c r="B727" s="1"/>
      <c r="C727" s="1"/>
      <c r="D727" s="1"/>
      <c r="E727" s="1"/>
      <c r="F727" s="1"/>
      <c r="G727" s="1"/>
    </row>
    <row r="728" spans="1:7" x14ac:dyDescent="0.2">
      <c r="A728" s="1"/>
      <c r="B728" s="1"/>
      <c r="C728" s="1"/>
      <c r="D728" s="1"/>
      <c r="E728" s="1"/>
      <c r="F728" s="1"/>
      <c r="G728" s="1"/>
    </row>
    <row r="729" spans="1:7" x14ac:dyDescent="0.2">
      <c r="A729" s="1"/>
      <c r="B729" s="1"/>
      <c r="C729" s="1"/>
      <c r="D729" s="1"/>
      <c r="E729" s="1"/>
      <c r="F729" s="1"/>
      <c r="G729" s="1"/>
    </row>
    <row r="730" spans="1:7" x14ac:dyDescent="0.2">
      <c r="A730" s="1"/>
      <c r="B730" s="1"/>
      <c r="C730" s="1"/>
      <c r="D730" s="1"/>
      <c r="E730" s="1"/>
      <c r="F730" s="1"/>
      <c r="G730" s="1"/>
    </row>
    <row r="731" spans="1:7" x14ac:dyDescent="0.2">
      <c r="A731" s="1"/>
      <c r="B731" s="1"/>
      <c r="C731" s="1"/>
      <c r="D731" s="1"/>
      <c r="E731" s="1"/>
      <c r="F731" s="1"/>
      <c r="G731" s="1"/>
    </row>
    <row r="732" spans="1:7" x14ac:dyDescent="0.2">
      <c r="A732" s="1"/>
      <c r="B732" s="1"/>
      <c r="C732" s="1"/>
      <c r="D732" s="1"/>
      <c r="E732" s="1"/>
      <c r="F732" s="1"/>
      <c r="G732" s="1"/>
    </row>
    <row r="733" spans="1:7" x14ac:dyDescent="0.2">
      <c r="A733" s="1"/>
      <c r="B733" s="1"/>
      <c r="C733" s="1"/>
      <c r="D733" s="1"/>
      <c r="E733" s="1"/>
      <c r="F733" s="1"/>
      <c r="G733" s="1"/>
    </row>
    <row r="734" spans="1:7" x14ac:dyDescent="0.2">
      <c r="A734" s="1"/>
      <c r="B734" s="1"/>
      <c r="C734" s="1"/>
      <c r="D734" s="1"/>
      <c r="E734" s="1"/>
      <c r="F734" s="1"/>
      <c r="G734" s="1"/>
    </row>
    <row r="735" spans="1:7" x14ac:dyDescent="0.2">
      <c r="A735" s="1"/>
      <c r="B735" s="1"/>
      <c r="C735" s="1"/>
      <c r="D735" s="1"/>
      <c r="E735" s="1"/>
      <c r="F735" s="1"/>
      <c r="G735" s="1"/>
    </row>
    <row r="736" spans="1:7" x14ac:dyDescent="0.2">
      <c r="A736" s="1"/>
      <c r="B736" s="1"/>
      <c r="C736" s="1"/>
      <c r="D736" s="1"/>
      <c r="E736" s="1"/>
      <c r="F736" s="1"/>
      <c r="G736" s="1"/>
    </row>
    <row r="737" spans="1:7" x14ac:dyDescent="0.2">
      <c r="A737" s="1"/>
      <c r="B737" s="1"/>
      <c r="C737" s="1"/>
      <c r="D737" s="1"/>
      <c r="E737" s="1"/>
      <c r="F737" s="1"/>
      <c r="G737" s="1"/>
    </row>
    <row r="738" spans="1:7" x14ac:dyDescent="0.2">
      <c r="A738" s="1"/>
      <c r="B738" s="1"/>
      <c r="C738" s="1"/>
      <c r="D738" s="1"/>
      <c r="E738" s="1"/>
      <c r="F738" s="1"/>
      <c r="G738" s="1"/>
    </row>
    <row r="739" spans="1:7" x14ac:dyDescent="0.2">
      <c r="A739" s="1"/>
      <c r="B739" s="1"/>
      <c r="C739" s="1"/>
      <c r="D739" s="1"/>
      <c r="E739" s="1"/>
      <c r="F739" s="1"/>
      <c r="G739" s="1"/>
    </row>
    <row r="740" spans="1:7" x14ac:dyDescent="0.2">
      <c r="A740" s="1"/>
      <c r="B740" s="1"/>
      <c r="C740" s="1"/>
      <c r="D740" s="1"/>
      <c r="E740" s="1"/>
      <c r="F740" s="1"/>
      <c r="G740" s="1"/>
    </row>
    <row r="741" spans="1:7" x14ac:dyDescent="0.2">
      <c r="A741" s="1"/>
      <c r="B741" s="1"/>
      <c r="C741" s="1"/>
      <c r="D741" s="1"/>
      <c r="E741" s="1"/>
      <c r="F741" s="1"/>
      <c r="G741" s="1"/>
    </row>
    <row r="742" spans="1:7" x14ac:dyDescent="0.2">
      <c r="A742" s="1"/>
      <c r="B742" s="1"/>
      <c r="C742" s="1"/>
      <c r="D742" s="1"/>
      <c r="E742" s="1"/>
      <c r="F742" s="1"/>
      <c r="G742" s="1"/>
    </row>
    <row r="743" spans="1:7" x14ac:dyDescent="0.2">
      <c r="A743" s="1"/>
      <c r="B743" s="1"/>
      <c r="C743" s="1"/>
      <c r="D743" s="1"/>
      <c r="E743" s="1"/>
      <c r="F743" s="1"/>
      <c r="G743" s="1"/>
    </row>
    <row r="744" spans="1:7" x14ac:dyDescent="0.2">
      <c r="A744" s="1"/>
      <c r="B744" s="1"/>
      <c r="C744" s="1"/>
      <c r="D744" s="1"/>
      <c r="E744" s="1"/>
      <c r="F744" s="1"/>
      <c r="G744" s="1"/>
    </row>
    <row r="745" spans="1:7" x14ac:dyDescent="0.2">
      <c r="A745" s="1"/>
      <c r="B745" s="1"/>
      <c r="C745" s="1"/>
      <c r="D745" s="1"/>
      <c r="E745" s="1"/>
      <c r="F745" s="1"/>
      <c r="G745" s="1"/>
    </row>
    <row r="746" spans="1:7" x14ac:dyDescent="0.2">
      <c r="A746" s="1"/>
      <c r="B746" s="1"/>
      <c r="C746" s="1"/>
      <c r="D746" s="1"/>
      <c r="E746" s="1"/>
      <c r="F746" s="1"/>
      <c r="G746" s="1"/>
    </row>
    <row r="747" spans="1:7" x14ac:dyDescent="0.2">
      <c r="A747" s="1"/>
      <c r="B747" s="1"/>
      <c r="C747" s="1"/>
      <c r="D747" s="1"/>
      <c r="E747" s="1"/>
      <c r="F747" s="1"/>
      <c r="G747" s="1"/>
    </row>
    <row r="748" spans="1:7" x14ac:dyDescent="0.2">
      <c r="A748" s="1"/>
      <c r="B748" s="1"/>
      <c r="C748" s="1"/>
      <c r="D748" s="1"/>
      <c r="E748" s="1"/>
      <c r="F748" s="1"/>
      <c r="G748" s="1"/>
    </row>
    <row r="749" spans="1:7" x14ac:dyDescent="0.2">
      <c r="A749" s="1"/>
      <c r="B749" s="1"/>
      <c r="C749" s="1"/>
      <c r="D749" s="1"/>
      <c r="E749" s="1"/>
      <c r="F749" s="1"/>
      <c r="G749" s="1"/>
    </row>
    <row r="750" spans="1:7" x14ac:dyDescent="0.2">
      <c r="A750" s="1"/>
      <c r="B750" s="1"/>
      <c r="C750" s="1"/>
      <c r="D750" s="1"/>
      <c r="E750" s="1"/>
      <c r="F750" s="1"/>
      <c r="G750" s="1"/>
    </row>
    <row r="751" spans="1:7" x14ac:dyDescent="0.2">
      <c r="A751" s="1"/>
      <c r="B751" s="1"/>
      <c r="C751" s="1"/>
      <c r="D751" s="1"/>
      <c r="E751" s="1"/>
      <c r="F751" s="1"/>
      <c r="G751" s="1"/>
    </row>
    <row r="752" spans="1:7" x14ac:dyDescent="0.2">
      <c r="A752" s="1"/>
      <c r="B752" s="1"/>
      <c r="C752" s="1"/>
      <c r="D752" s="1"/>
      <c r="E752" s="1"/>
      <c r="F752" s="1"/>
      <c r="G752" s="1"/>
    </row>
    <row r="753" spans="1:7" x14ac:dyDescent="0.2">
      <c r="A753" s="1"/>
      <c r="B753" s="1"/>
      <c r="C753" s="1"/>
      <c r="D753" s="1"/>
      <c r="E753" s="1"/>
      <c r="F753" s="1"/>
      <c r="G753" s="1"/>
    </row>
    <row r="754" spans="1:7" x14ac:dyDescent="0.2">
      <c r="A754" s="1"/>
      <c r="B754" s="1"/>
      <c r="C754" s="1"/>
      <c r="D754" s="1"/>
      <c r="E754" s="1"/>
      <c r="F754" s="1"/>
      <c r="G754" s="1"/>
    </row>
    <row r="755" spans="1:7" x14ac:dyDescent="0.2">
      <c r="A755" s="1"/>
      <c r="B755" s="1"/>
      <c r="C755" s="1"/>
      <c r="D755" s="1"/>
      <c r="E755" s="1"/>
      <c r="F755" s="1"/>
      <c r="G755" s="1"/>
    </row>
    <row r="756" spans="1:7" x14ac:dyDescent="0.2">
      <c r="A756" s="1"/>
      <c r="B756" s="1"/>
      <c r="C756" s="1"/>
      <c r="D756" s="1"/>
      <c r="E756" s="1"/>
      <c r="F756" s="1"/>
      <c r="G756" s="1"/>
    </row>
    <row r="757" spans="1:7" x14ac:dyDescent="0.2">
      <c r="A757" s="1"/>
      <c r="B757" s="1"/>
      <c r="C757" s="1"/>
      <c r="D757" s="1"/>
      <c r="E757" s="1"/>
      <c r="F757" s="1"/>
      <c r="G757" s="1"/>
    </row>
    <row r="758" spans="1:7" x14ac:dyDescent="0.2">
      <c r="A758" s="1"/>
      <c r="B758" s="1"/>
      <c r="C758" s="1"/>
      <c r="D758" s="1"/>
      <c r="E758" s="1"/>
      <c r="F758" s="1"/>
      <c r="G758" s="1"/>
    </row>
    <row r="759" spans="1:7" x14ac:dyDescent="0.2">
      <c r="A759" s="1"/>
      <c r="B759" s="1"/>
      <c r="C759" s="1"/>
      <c r="D759" s="1"/>
      <c r="E759" s="1"/>
      <c r="F759" s="1"/>
      <c r="G759" s="1"/>
    </row>
    <row r="760" spans="1:7" x14ac:dyDescent="0.2">
      <c r="A760" s="1"/>
      <c r="B760" s="1"/>
      <c r="C760" s="1"/>
      <c r="D760" s="1"/>
      <c r="E760" s="1"/>
      <c r="F760" s="1"/>
      <c r="G760" s="1"/>
    </row>
    <row r="761" spans="1:7" x14ac:dyDescent="0.2">
      <c r="A761" s="1"/>
      <c r="B761" s="1"/>
      <c r="C761" s="1"/>
      <c r="D761" s="1"/>
      <c r="E761" s="1"/>
      <c r="F761" s="1"/>
      <c r="G761" s="1"/>
    </row>
    <row r="762" spans="1:7" x14ac:dyDescent="0.2">
      <c r="A762" s="1"/>
      <c r="B762" s="1"/>
      <c r="C762" s="1"/>
      <c r="D762" s="1"/>
      <c r="E762" s="1"/>
      <c r="F762" s="1"/>
      <c r="G762" s="1"/>
    </row>
    <row r="763" spans="1:7" x14ac:dyDescent="0.2">
      <c r="A763" s="1"/>
      <c r="B763" s="1"/>
      <c r="C763" s="1"/>
      <c r="D763" s="1"/>
      <c r="E763" s="1"/>
      <c r="F763" s="1"/>
      <c r="G763" s="1"/>
    </row>
    <row r="764" spans="1:7" x14ac:dyDescent="0.2">
      <c r="A764" s="1"/>
      <c r="B764" s="1"/>
      <c r="C764" s="1"/>
      <c r="D764" s="1"/>
      <c r="E764" s="1"/>
      <c r="F764" s="1"/>
      <c r="G764" s="1"/>
    </row>
    <row r="765" spans="1:7" x14ac:dyDescent="0.2">
      <c r="A765" s="1"/>
      <c r="B765" s="1"/>
      <c r="C765" s="1"/>
      <c r="D765" s="1"/>
      <c r="E765" s="1"/>
      <c r="F765" s="1"/>
      <c r="G765" s="1"/>
    </row>
    <row r="766" spans="1:7" x14ac:dyDescent="0.2">
      <c r="A766" s="1"/>
      <c r="B766" s="1"/>
      <c r="C766" s="1"/>
      <c r="D766" s="1"/>
      <c r="E766" s="1"/>
      <c r="F766" s="1"/>
      <c r="G766" s="1"/>
    </row>
    <row r="767" spans="1:7" x14ac:dyDescent="0.2">
      <c r="A767" s="1"/>
      <c r="B767" s="1"/>
      <c r="C767" s="1"/>
      <c r="D767" s="1"/>
      <c r="E767" s="1"/>
      <c r="F767" s="1"/>
      <c r="G767" s="1"/>
    </row>
    <row r="768" spans="1:7" x14ac:dyDescent="0.2">
      <c r="A768" s="1"/>
      <c r="B768" s="1"/>
      <c r="C768" s="1"/>
      <c r="D768" s="1"/>
      <c r="E768" s="1"/>
      <c r="F768" s="1"/>
      <c r="G768" s="1"/>
    </row>
    <row r="769" spans="1:7" x14ac:dyDescent="0.2">
      <c r="A769" s="1"/>
      <c r="B769" s="1"/>
      <c r="C769" s="1"/>
      <c r="D769" s="1"/>
      <c r="E769" s="1"/>
      <c r="F769" s="1"/>
      <c r="G769" s="1"/>
    </row>
    <row r="770" spans="1:7" x14ac:dyDescent="0.2">
      <c r="A770" s="1"/>
      <c r="B770" s="1"/>
      <c r="C770" s="1"/>
      <c r="D770" s="1"/>
      <c r="E770" s="1"/>
      <c r="F770" s="1"/>
      <c r="G770" s="1"/>
    </row>
    <row r="771" spans="1:7" x14ac:dyDescent="0.2">
      <c r="A771" s="1"/>
      <c r="B771" s="1"/>
      <c r="C771" s="1"/>
      <c r="D771" s="1"/>
      <c r="E771" s="1"/>
      <c r="F771" s="1"/>
      <c r="G771" s="1"/>
    </row>
    <row r="772" spans="1:7" x14ac:dyDescent="0.2">
      <c r="A772" s="1"/>
      <c r="B772" s="1"/>
      <c r="C772" s="1"/>
      <c r="D772" s="1"/>
      <c r="E772" s="1"/>
      <c r="F772" s="1"/>
      <c r="G772" s="1"/>
    </row>
    <row r="773" spans="1:7" x14ac:dyDescent="0.2">
      <c r="A773" s="1"/>
      <c r="B773" s="1"/>
      <c r="C773" s="1"/>
      <c r="D773" s="1"/>
      <c r="E773" s="1"/>
      <c r="F773" s="1"/>
      <c r="G773" s="1"/>
    </row>
    <row r="774" spans="1:7" x14ac:dyDescent="0.2">
      <c r="A774" s="1"/>
      <c r="B774" s="1"/>
      <c r="C774" s="1"/>
      <c r="D774" s="1"/>
      <c r="E774" s="1"/>
      <c r="F774" s="1"/>
      <c r="G774" s="1"/>
    </row>
    <row r="775" spans="1:7" x14ac:dyDescent="0.2">
      <c r="A775" s="1"/>
      <c r="B775" s="1"/>
      <c r="C775" s="1"/>
      <c r="D775" s="1"/>
      <c r="E775" s="1"/>
      <c r="F775" s="1"/>
      <c r="G775" s="1"/>
    </row>
    <row r="776" spans="1:7" x14ac:dyDescent="0.2">
      <c r="A776" s="1"/>
      <c r="B776" s="1"/>
      <c r="C776" s="1"/>
      <c r="D776" s="1"/>
      <c r="E776" s="1"/>
      <c r="F776" s="1"/>
      <c r="G776" s="1"/>
    </row>
    <row r="777" spans="1:7" x14ac:dyDescent="0.2">
      <c r="A777" s="1"/>
      <c r="B777" s="1"/>
      <c r="C777" s="1"/>
      <c r="D777" s="1"/>
      <c r="E777" s="1"/>
      <c r="F777" s="1"/>
      <c r="G777" s="1"/>
    </row>
    <row r="778" spans="1:7" x14ac:dyDescent="0.2">
      <c r="A778" s="1"/>
      <c r="B778" s="1"/>
      <c r="C778" s="1"/>
      <c r="D778" s="1"/>
      <c r="E778" s="1"/>
      <c r="F778" s="1"/>
      <c r="G778" s="1"/>
    </row>
    <row r="779" spans="1:7" x14ac:dyDescent="0.2">
      <c r="A779" s="1"/>
      <c r="B779" s="1"/>
      <c r="C779" s="1"/>
      <c r="D779" s="1"/>
      <c r="E779" s="1"/>
      <c r="F779" s="1"/>
      <c r="G779" s="1"/>
    </row>
    <row r="780" spans="1:7" x14ac:dyDescent="0.2">
      <c r="A780" s="1"/>
      <c r="B780" s="1"/>
      <c r="C780" s="1"/>
      <c r="D780" s="1"/>
      <c r="E780" s="1"/>
      <c r="F780" s="1"/>
      <c r="G780" s="1"/>
    </row>
    <row r="781" spans="1:7" x14ac:dyDescent="0.2">
      <c r="A781" s="1"/>
      <c r="B781" s="1"/>
      <c r="C781" s="1"/>
      <c r="D781" s="1"/>
      <c r="E781" s="1"/>
      <c r="F781" s="1"/>
      <c r="G781" s="1"/>
    </row>
    <row r="782" spans="1:7" x14ac:dyDescent="0.2">
      <c r="A782" s="1"/>
      <c r="B782" s="1"/>
      <c r="C782" s="1"/>
      <c r="D782" s="1"/>
      <c r="E782" s="1"/>
      <c r="F782" s="1"/>
      <c r="G782" s="1"/>
    </row>
    <row r="783" spans="1:7" x14ac:dyDescent="0.2">
      <c r="A783" s="1"/>
      <c r="B783" s="1"/>
      <c r="C783" s="1"/>
      <c r="D783" s="1"/>
      <c r="E783" s="1"/>
      <c r="F783" s="1"/>
      <c r="G783" s="1"/>
    </row>
    <row r="784" spans="1:7" x14ac:dyDescent="0.2">
      <c r="A784" s="1"/>
      <c r="B784" s="1"/>
      <c r="C784" s="1"/>
      <c r="D784" s="1"/>
      <c r="E784" s="1"/>
      <c r="F784" s="1"/>
      <c r="G784" s="1"/>
    </row>
    <row r="785" spans="1:7" x14ac:dyDescent="0.2">
      <c r="A785" s="1"/>
      <c r="B785" s="1"/>
      <c r="C785" s="1"/>
      <c r="D785" s="1"/>
      <c r="E785" s="1"/>
      <c r="F785" s="1"/>
      <c r="G785" s="1"/>
    </row>
    <row r="786" spans="1:7" x14ac:dyDescent="0.2">
      <c r="A786" s="1"/>
      <c r="B786" s="1"/>
      <c r="C786" s="1"/>
      <c r="D786" s="1"/>
      <c r="E786" s="1"/>
      <c r="F786" s="1"/>
      <c r="G786" s="1"/>
    </row>
    <row r="787" spans="1:7" x14ac:dyDescent="0.2">
      <c r="A787" s="1"/>
      <c r="B787" s="1"/>
      <c r="C787" s="1"/>
      <c r="D787" s="1"/>
      <c r="E787" s="1"/>
      <c r="F787" s="1"/>
      <c r="G787" s="1"/>
    </row>
    <row r="788" spans="1:7" x14ac:dyDescent="0.2">
      <c r="A788" s="1"/>
      <c r="B788" s="1"/>
      <c r="C788" s="1"/>
      <c r="D788" s="1"/>
      <c r="E788" s="1"/>
      <c r="F788" s="1"/>
      <c r="G788" s="1"/>
    </row>
    <row r="789" spans="1:7" x14ac:dyDescent="0.2">
      <c r="A789" s="1"/>
      <c r="B789" s="1"/>
      <c r="C789" s="1"/>
      <c r="D789" s="1"/>
      <c r="E789" s="1"/>
      <c r="F789" s="1"/>
      <c r="G789" s="1"/>
    </row>
    <row r="790" spans="1:7" x14ac:dyDescent="0.2">
      <c r="A790" s="1"/>
      <c r="B790" s="1"/>
      <c r="C790" s="1"/>
      <c r="D790" s="1"/>
      <c r="E790" s="1"/>
      <c r="F790" s="1"/>
      <c r="G790" s="1"/>
    </row>
    <row r="791" spans="1:7" x14ac:dyDescent="0.2">
      <c r="A791" s="1"/>
      <c r="B791" s="1"/>
      <c r="C791" s="1"/>
      <c r="D791" s="1"/>
      <c r="E791" s="1"/>
      <c r="F791" s="1"/>
      <c r="G791" s="1"/>
    </row>
    <row r="792" spans="1:7" x14ac:dyDescent="0.2">
      <c r="A792" s="1"/>
      <c r="B792" s="1"/>
      <c r="C792" s="1"/>
      <c r="D792" s="1"/>
      <c r="E792" s="1"/>
      <c r="F792" s="1"/>
      <c r="G792" s="1"/>
    </row>
    <row r="793" spans="1:7" x14ac:dyDescent="0.2">
      <c r="A793" s="1"/>
      <c r="B793" s="1"/>
      <c r="C793" s="1"/>
      <c r="D793" s="1"/>
      <c r="E793" s="1"/>
      <c r="F793" s="1"/>
      <c r="G793" s="1"/>
    </row>
    <row r="794" spans="1:7" x14ac:dyDescent="0.2">
      <c r="A794" s="1"/>
      <c r="B794" s="1"/>
      <c r="C794" s="1"/>
      <c r="D794" s="1"/>
      <c r="E794" s="1"/>
      <c r="F794" s="1"/>
      <c r="G794" s="1"/>
    </row>
    <row r="795" spans="1:7" x14ac:dyDescent="0.2">
      <c r="A795" s="1"/>
      <c r="B795" s="1"/>
      <c r="C795" s="1"/>
      <c r="D795" s="1"/>
      <c r="E795" s="1"/>
      <c r="F795" s="1"/>
      <c r="G795" s="1"/>
    </row>
    <row r="796" spans="1:7" x14ac:dyDescent="0.2">
      <c r="A796" s="1"/>
      <c r="B796" s="1"/>
      <c r="C796" s="1"/>
      <c r="D796" s="1"/>
      <c r="E796" s="1"/>
      <c r="F796" s="1"/>
      <c r="G796" s="1"/>
    </row>
    <row r="797" spans="1:7" x14ac:dyDescent="0.2">
      <c r="A797" s="1"/>
      <c r="B797" s="1"/>
      <c r="C797" s="1"/>
      <c r="D797" s="1"/>
      <c r="E797" s="1"/>
      <c r="F797" s="1"/>
      <c r="G797" s="1"/>
    </row>
    <row r="798" spans="1:7" x14ac:dyDescent="0.2">
      <c r="A798" s="1"/>
      <c r="B798" s="1"/>
      <c r="C798" s="1"/>
      <c r="D798" s="1"/>
      <c r="E798" s="1"/>
      <c r="F798" s="1"/>
      <c r="G798" s="1"/>
    </row>
    <row r="799" spans="1:7" x14ac:dyDescent="0.2">
      <c r="A799" s="1"/>
      <c r="B799" s="1"/>
      <c r="C799" s="1"/>
      <c r="D799" s="1"/>
      <c r="E799" s="1"/>
      <c r="F799" s="1"/>
      <c r="G799" s="1"/>
    </row>
    <row r="800" spans="1:7" x14ac:dyDescent="0.2">
      <c r="A800" s="1"/>
      <c r="B800" s="1"/>
      <c r="C800" s="1"/>
      <c r="D800" s="1"/>
      <c r="E800" s="1"/>
      <c r="F800" s="1"/>
      <c r="G800" s="1"/>
    </row>
    <row r="801" spans="1:7" x14ac:dyDescent="0.2">
      <c r="A801" s="1"/>
      <c r="B801" s="1"/>
      <c r="C801" s="1"/>
      <c r="D801" s="1"/>
      <c r="E801" s="1"/>
      <c r="F801" s="1"/>
      <c r="G801" s="1"/>
    </row>
    <row r="802" spans="1:7" x14ac:dyDescent="0.2">
      <c r="A802" s="1"/>
      <c r="B802" s="1"/>
      <c r="C802" s="1"/>
      <c r="D802" s="1"/>
      <c r="E802" s="1"/>
      <c r="F802" s="1"/>
      <c r="G802" s="1"/>
    </row>
    <row r="803" spans="1:7" x14ac:dyDescent="0.2">
      <c r="A803" s="1"/>
      <c r="B803" s="1"/>
      <c r="C803" s="1"/>
      <c r="D803" s="1"/>
      <c r="E803" s="1"/>
      <c r="F803" s="1"/>
      <c r="G803" s="1"/>
    </row>
    <row r="804" spans="1:7" x14ac:dyDescent="0.2">
      <c r="A804" s="1"/>
      <c r="B804" s="1"/>
      <c r="C804" s="1"/>
      <c r="D804" s="1"/>
      <c r="E804" s="1"/>
      <c r="F804" s="1"/>
      <c r="G804" s="1"/>
    </row>
    <row r="805" spans="1:7" x14ac:dyDescent="0.2">
      <c r="A805" s="1"/>
      <c r="B805" s="1"/>
      <c r="C805" s="1"/>
      <c r="D805" s="1"/>
      <c r="E805" s="1"/>
      <c r="F805" s="1"/>
      <c r="G805" s="1"/>
    </row>
    <row r="806" spans="1:7" x14ac:dyDescent="0.2">
      <c r="A806" s="1"/>
      <c r="B806" s="1"/>
      <c r="C806" s="1"/>
      <c r="D806" s="1"/>
      <c r="E806" s="1"/>
      <c r="F806" s="1"/>
      <c r="G806" s="1"/>
    </row>
    <row r="807" spans="1:7" x14ac:dyDescent="0.2">
      <c r="A807" s="1"/>
      <c r="B807" s="1"/>
      <c r="C807" s="1"/>
      <c r="D807" s="1"/>
      <c r="E807" s="1"/>
      <c r="F807" s="1"/>
      <c r="G807" s="1"/>
    </row>
    <row r="808" spans="1:7" x14ac:dyDescent="0.2">
      <c r="A808" s="1"/>
      <c r="B808" s="1"/>
      <c r="C808" s="1"/>
      <c r="D808" s="1"/>
      <c r="E808" s="1"/>
      <c r="F808" s="1"/>
      <c r="G808" s="1"/>
    </row>
    <row r="809" spans="1:7" x14ac:dyDescent="0.2">
      <c r="A809" s="1"/>
      <c r="B809" s="1"/>
      <c r="C809" s="1"/>
      <c r="D809" s="1"/>
      <c r="E809" s="1"/>
      <c r="F809" s="1"/>
      <c r="G809" s="1"/>
    </row>
    <row r="810" spans="1:7" x14ac:dyDescent="0.2">
      <c r="A810" s="1"/>
      <c r="B810" s="1"/>
      <c r="C810" s="1"/>
      <c r="D810" s="1"/>
      <c r="E810" s="1"/>
      <c r="F810" s="1"/>
      <c r="G810" s="1"/>
    </row>
    <row r="811" spans="1:7" x14ac:dyDescent="0.2">
      <c r="A811" s="1"/>
      <c r="B811" s="1"/>
      <c r="C811" s="1"/>
      <c r="D811" s="1"/>
      <c r="E811" s="1"/>
      <c r="F811" s="1"/>
      <c r="G811" s="1"/>
    </row>
    <row r="812" spans="1:7" x14ac:dyDescent="0.2">
      <c r="A812" s="1"/>
      <c r="B812" s="1"/>
      <c r="C812" s="1"/>
      <c r="D812" s="1"/>
      <c r="E812" s="1"/>
      <c r="F812" s="1"/>
      <c r="G812" s="1"/>
    </row>
    <row r="813" spans="1:7" x14ac:dyDescent="0.2">
      <c r="A813" s="1"/>
      <c r="B813" s="1"/>
      <c r="C813" s="1"/>
      <c r="D813" s="1"/>
      <c r="E813" s="1"/>
      <c r="F813" s="1"/>
      <c r="G813" s="1"/>
    </row>
    <row r="814" spans="1:7" x14ac:dyDescent="0.2">
      <c r="A814" s="1"/>
      <c r="B814" s="1"/>
      <c r="C814" s="1"/>
      <c r="D814" s="1"/>
      <c r="E814" s="1"/>
      <c r="F814" s="1"/>
      <c r="G814" s="1"/>
    </row>
    <row r="815" spans="1:7" x14ac:dyDescent="0.2">
      <c r="A815" s="1"/>
      <c r="B815" s="1"/>
      <c r="C815" s="1"/>
      <c r="D815" s="1"/>
      <c r="E815" s="1"/>
      <c r="F815" s="1"/>
      <c r="G815" s="1"/>
    </row>
    <row r="816" spans="1:7" x14ac:dyDescent="0.2">
      <c r="A816" s="1"/>
      <c r="B816" s="1"/>
      <c r="C816" s="1"/>
      <c r="D816" s="1"/>
      <c r="E816" s="1"/>
      <c r="F816" s="1"/>
      <c r="G816" s="1"/>
    </row>
    <row r="817" spans="1:7" x14ac:dyDescent="0.2">
      <c r="A817" s="1"/>
      <c r="B817" s="1"/>
      <c r="C817" s="1"/>
      <c r="D817" s="1"/>
      <c r="E817" s="1"/>
      <c r="F817" s="1"/>
      <c r="G817" s="1"/>
    </row>
    <row r="818" spans="1:7" x14ac:dyDescent="0.2">
      <c r="A818" s="1"/>
      <c r="B818" s="1"/>
      <c r="C818" s="1"/>
      <c r="D818" s="1"/>
      <c r="E818" s="1"/>
      <c r="F818" s="1"/>
      <c r="G818" s="1"/>
    </row>
    <row r="819" spans="1:7" x14ac:dyDescent="0.2">
      <c r="A819" s="1"/>
      <c r="B819" s="1"/>
      <c r="C819" s="1"/>
      <c r="D819" s="1"/>
      <c r="E819" s="1"/>
      <c r="F819" s="1"/>
      <c r="G819" s="1"/>
    </row>
    <row r="820" spans="1:7" x14ac:dyDescent="0.2">
      <c r="A820" s="1"/>
      <c r="B820" s="1"/>
      <c r="C820" s="1"/>
      <c r="D820" s="1"/>
      <c r="E820" s="1"/>
      <c r="F820" s="1"/>
      <c r="G820" s="1"/>
    </row>
    <row r="821" spans="1:7" x14ac:dyDescent="0.2">
      <c r="A821" s="1"/>
      <c r="B821" s="1"/>
      <c r="C821" s="1"/>
      <c r="D821" s="1"/>
      <c r="E821" s="1"/>
      <c r="F821" s="1"/>
      <c r="G821" s="1"/>
    </row>
    <row r="822" spans="1:7" x14ac:dyDescent="0.2">
      <c r="A822" s="1"/>
      <c r="B822" s="1"/>
      <c r="C822" s="1"/>
      <c r="D822" s="1"/>
      <c r="E822" s="1"/>
      <c r="F822" s="1"/>
      <c r="G822" s="1"/>
    </row>
    <row r="823" spans="1:7" x14ac:dyDescent="0.2">
      <c r="A823" s="1"/>
      <c r="B823" s="1"/>
      <c r="C823" s="1"/>
      <c r="D823" s="1"/>
      <c r="E823" s="1"/>
      <c r="F823" s="1"/>
      <c r="G823" s="1"/>
    </row>
    <row r="824" spans="1:7" x14ac:dyDescent="0.2">
      <c r="A824" s="1"/>
      <c r="B824" s="1"/>
      <c r="C824" s="1"/>
      <c r="D824" s="1"/>
      <c r="E824" s="1"/>
      <c r="F824" s="1"/>
      <c r="G824" s="1"/>
    </row>
    <row r="825" spans="1:7" x14ac:dyDescent="0.2">
      <c r="A825" s="1"/>
      <c r="B825" s="1"/>
      <c r="C825" s="1"/>
      <c r="D825" s="1"/>
      <c r="E825" s="1"/>
      <c r="F825" s="1"/>
      <c r="G825" s="1"/>
    </row>
    <row r="826" spans="1:7" x14ac:dyDescent="0.2">
      <c r="A826" s="1"/>
      <c r="B826" s="1"/>
      <c r="C826" s="1"/>
      <c r="D826" s="1"/>
      <c r="E826" s="1"/>
      <c r="F826" s="1"/>
      <c r="G826" s="1"/>
    </row>
    <row r="827" spans="1:7" x14ac:dyDescent="0.2">
      <c r="A827" s="1"/>
      <c r="B827" s="1"/>
      <c r="C827" s="1"/>
      <c r="D827" s="1"/>
      <c r="E827" s="1"/>
      <c r="F827" s="1"/>
      <c r="G827" s="1"/>
    </row>
    <row r="828" spans="1:7" x14ac:dyDescent="0.2">
      <c r="A828" s="1"/>
      <c r="B828" s="1"/>
      <c r="C828" s="1"/>
      <c r="D828" s="1"/>
      <c r="E828" s="1"/>
      <c r="F828" s="1"/>
      <c r="G828" s="1"/>
    </row>
    <row r="829" spans="1:7" x14ac:dyDescent="0.2">
      <c r="A829" s="1"/>
      <c r="B829" s="1"/>
      <c r="C829" s="1"/>
      <c r="D829" s="1"/>
      <c r="E829" s="1"/>
      <c r="F829" s="1"/>
      <c r="G829" s="1"/>
    </row>
    <row r="830" spans="1:7" x14ac:dyDescent="0.2">
      <c r="A830" s="1"/>
      <c r="B830" s="1"/>
      <c r="C830" s="1"/>
      <c r="D830" s="1"/>
      <c r="E830" s="1"/>
      <c r="F830" s="1"/>
      <c r="G830" s="1"/>
    </row>
    <row r="831" spans="1:7" x14ac:dyDescent="0.2">
      <c r="A831" s="1"/>
      <c r="B831" s="1"/>
      <c r="C831" s="1"/>
      <c r="D831" s="1"/>
      <c r="E831" s="1"/>
      <c r="F831" s="1"/>
      <c r="G831" s="1"/>
    </row>
    <row r="832" spans="1:7" x14ac:dyDescent="0.2">
      <c r="A832" s="1"/>
      <c r="B832" s="1"/>
      <c r="C832" s="1"/>
      <c r="D832" s="1"/>
      <c r="E832" s="1"/>
      <c r="F832" s="1"/>
      <c r="G832" s="1"/>
    </row>
    <row r="833" spans="1:7" x14ac:dyDescent="0.2">
      <c r="A833" s="1"/>
      <c r="B833" s="1"/>
      <c r="C833" s="1"/>
      <c r="D833" s="1"/>
      <c r="E833" s="1"/>
      <c r="F833" s="1"/>
      <c r="G833" s="1"/>
    </row>
    <row r="834" spans="1:7" x14ac:dyDescent="0.2">
      <c r="A834" s="1"/>
      <c r="B834" s="1"/>
      <c r="C834" s="1"/>
      <c r="D834" s="1"/>
      <c r="E834" s="1"/>
      <c r="F834" s="1"/>
      <c r="G834" s="1"/>
    </row>
    <row r="835" spans="1:7" x14ac:dyDescent="0.2">
      <c r="A835" s="1"/>
      <c r="B835" s="1"/>
      <c r="C835" s="1"/>
      <c r="D835" s="1"/>
      <c r="E835" s="1"/>
      <c r="F835" s="1"/>
      <c r="G835" s="1"/>
    </row>
    <row r="836" spans="1:7" x14ac:dyDescent="0.2">
      <c r="A836" s="1"/>
      <c r="B836" s="1"/>
      <c r="C836" s="1"/>
      <c r="D836" s="1"/>
      <c r="E836" s="1"/>
      <c r="F836" s="1"/>
      <c r="G836" s="1"/>
    </row>
    <row r="837" spans="1:7" x14ac:dyDescent="0.2">
      <c r="A837" s="1"/>
      <c r="B837" s="1"/>
      <c r="C837" s="1"/>
      <c r="D837" s="1"/>
      <c r="E837" s="1"/>
      <c r="F837" s="1"/>
      <c r="G837" s="1"/>
    </row>
    <row r="838" spans="1:7" x14ac:dyDescent="0.2">
      <c r="A838" s="1"/>
      <c r="B838" s="1"/>
      <c r="C838" s="1"/>
      <c r="D838" s="1"/>
      <c r="E838" s="1"/>
      <c r="F838" s="1"/>
      <c r="G838" s="1"/>
    </row>
    <row r="839" spans="1:7" x14ac:dyDescent="0.2">
      <c r="A839" s="1"/>
      <c r="B839" s="1"/>
      <c r="C839" s="1"/>
      <c r="D839" s="1"/>
      <c r="E839" s="1"/>
      <c r="F839" s="1"/>
      <c r="G839" s="1"/>
    </row>
    <row r="840" spans="1:7" x14ac:dyDescent="0.2">
      <c r="A840" s="1"/>
      <c r="B840" s="1"/>
      <c r="C840" s="1"/>
      <c r="D840" s="1"/>
      <c r="E840" s="1"/>
      <c r="F840" s="1"/>
      <c r="G840" s="1"/>
    </row>
    <row r="841" spans="1:7" x14ac:dyDescent="0.2">
      <c r="A841" s="1"/>
      <c r="B841" s="1"/>
      <c r="C841" s="1"/>
      <c r="D841" s="1"/>
      <c r="E841" s="1"/>
      <c r="F841" s="1"/>
      <c r="G841" s="1"/>
    </row>
    <row r="842" spans="1:7" x14ac:dyDescent="0.2">
      <c r="A842" s="1"/>
      <c r="B842" s="1"/>
      <c r="C842" s="1"/>
      <c r="D842" s="1"/>
      <c r="E842" s="1"/>
      <c r="F842" s="1"/>
      <c r="G842" s="1"/>
    </row>
    <row r="843" spans="1:7" x14ac:dyDescent="0.2">
      <c r="A843" s="1"/>
      <c r="B843" s="1"/>
      <c r="C843" s="1"/>
      <c r="D843" s="1"/>
      <c r="E843" s="1"/>
      <c r="F843" s="1"/>
      <c r="G843" s="1"/>
    </row>
    <row r="844" spans="1:7" x14ac:dyDescent="0.2">
      <c r="A844" s="1"/>
      <c r="B844" s="1"/>
      <c r="C844" s="1"/>
      <c r="D844" s="1"/>
      <c r="E844" s="1"/>
      <c r="F844" s="1"/>
      <c r="G844" s="1"/>
    </row>
    <row r="845" spans="1:7" x14ac:dyDescent="0.2">
      <c r="A845" s="1"/>
      <c r="B845" s="1"/>
      <c r="C845" s="1"/>
      <c r="D845" s="1"/>
      <c r="E845" s="1"/>
      <c r="F845" s="1"/>
      <c r="G845" s="1"/>
    </row>
    <row r="846" spans="1:7" x14ac:dyDescent="0.2">
      <c r="A846" s="1"/>
      <c r="B846" s="1"/>
      <c r="C846" s="1"/>
      <c r="D846" s="1"/>
      <c r="E846" s="1"/>
      <c r="F846" s="1"/>
      <c r="G846" s="1"/>
    </row>
    <row r="847" spans="1:7" x14ac:dyDescent="0.2">
      <c r="A847" s="1"/>
      <c r="B847" s="1"/>
      <c r="C847" s="1"/>
      <c r="D847" s="1"/>
      <c r="E847" s="1"/>
      <c r="F847" s="1"/>
      <c r="G847" s="1"/>
    </row>
    <row r="848" spans="1:7" x14ac:dyDescent="0.2">
      <c r="A848" s="1"/>
      <c r="B848" s="1"/>
      <c r="C848" s="1"/>
      <c r="D848" s="1"/>
      <c r="E848" s="1"/>
      <c r="F848" s="1"/>
      <c r="G848" s="1"/>
    </row>
    <row r="849" spans="1:7" x14ac:dyDescent="0.2">
      <c r="A849" s="1"/>
      <c r="B849" s="1"/>
      <c r="C849" s="1"/>
      <c r="D849" s="1"/>
      <c r="E849" s="1"/>
      <c r="F849" s="1"/>
      <c r="G849" s="1"/>
    </row>
    <row r="850" spans="1:7" x14ac:dyDescent="0.2">
      <c r="A850" s="1"/>
      <c r="B850" s="1"/>
      <c r="C850" s="1"/>
      <c r="D850" s="1"/>
      <c r="E850" s="1"/>
      <c r="F850" s="1"/>
      <c r="G850" s="1"/>
    </row>
    <row r="851" spans="1:7" x14ac:dyDescent="0.2">
      <c r="A851" s="1"/>
      <c r="B851" s="1"/>
      <c r="C851" s="1"/>
      <c r="D851" s="1"/>
      <c r="E851" s="1"/>
      <c r="F851" s="1"/>
      <c r="G851" s="1"/>
    </row>
    <row r="852" spans="1:7" x14ac:dyDescent="0.2">
      <c r="A852" s="1"/>
      <c r="B852" s="1"/>
      <c r="C852" s="1"/>
      <c r="D852" s="1"/>
      <c r="E852" s="1"/>
      <c r="F852" s="1"/>
      <c r="G852" s="1"/>
    </row>
    <row r="853" spans="1:7" x14ac:dyDescent="0.2">
      <c r="A853" s="1"/>
      <c r="B853" s="1"/>
      <c r="C853" s="1"/>
      <c r="D853" s="1"/>
      <c r="E853" s="1"/>
      <c r="F853" s="1"/>
      <c r="G853" s="1"/>
    </row>
    <row r="854" spans="1:7" x14ac:dyDescent="0.2">
      <c r="A854" s="1"/>
      <c r="B854" s="1"/>
      <c r="C854" s="1"/>
      <c r="D854" s="1"/>
      <c r="E854" s="1"/>
      <c r="F854" s="1"/>
      <c r="G854" s="1"/>
    </row>
    <row r="855" spans="1:7" x14ac:dyDescent="0.2">
      <c r="A855" s="1"/>
      <c r="B855" s="1"/>
      <c r="C855" s="1"/>
      <c r="D855" s="1"/>
      <c r="E855" s="1"/>
      <c r="F855" s="1"/>
      <c r="G855" s="1"/>
    </row>
    <row r="856" spans="1:7" x14ac:dyDescent="0.2">
      <c r="A856" s="1"/>
      <c r="B856" s="1"/>
      <c r="C856" s="1"/>
      <c r="D856" s="1"/>
      <c r="E856" s="1"/>
      <c r="F856" s="1"/>
      <c r="G856" s="1"/>
    </row>
    <row r="857" spans="1:7" x14ac:dyDescent="0.2">
      <c r="A857" s="1"/>
      <c r="B857" s="1"/>
      <c r="C857" s="1"/>
      <c r="D857" s="1"/>
      <c r="E857" s="1"/>
      <c r="F857" s="1"/>
      <c r="G857" s="1"/>
    </row>
    <row r="858" spans="1:7" x14ac:dyDescent="0.2">
      <c r="A858" s="1"/>
      <c r="B858" s="1"/>
      <c r="C858" s="1"/>
      <c r="D858" s="1"/>
      <c r="E858" s="1"/>
      <c r="F858" s="1"/>
      <c r="G858" s="1"/>
    </row>
    <row r="859" spans="1:7" x14ac:dyDescent="0.2">
      <c r="A859" s="1"/>
      <c r="B859" s="1"/>
      <c r="C859" s="1"/>
      <c r="D859" s="1"/>
      <c r="E859" s="1"/>
      <c r="F859" s="1"/>
      <c r="G859" s="1"/>
    </row>
    <row r="860" spans="1:7" x14ac:dyDescent="0.2">
      <c r="A860" s="1"/>
      <c r="B860" s="1"/>
      <c r="C860" s="1"/>
      <c r="D860" s="1"/>
      <c r="E860" s="1"/>
      <c r="F860" s="1"/>
      <c r="G860" s="1"/>
    </row>
    <row r="861" spans="1:7" x14ac:dyDescent="0.2">
      <c r="A861" s="1"/>
      <c r="B861" s="1"/>
      <c r="C861" s="1"/>
      <c r="D861" s="1"/>
      <c r="E861" s="1"/>
      <c r="F861" s="1"/>
      <c r="G861" s="1"/>
    </row>
    <row r="862" spans="1:7" x14ac:dyDescent="0.2">
      <c r="A862" s="1"/>
      <c r="B862" s="1"/>
      <c r="C862" s="1"/>
      <c r="D862" s="1"/>
      <c r="E862" s="1"/>
      <c r="F862" s="1"/>
      <c r="G862" s="1"/>
    </row>
    <row r="863" spans="1:7" x14ac:dyDescent="0.2">
      <c r="A863" s="1"/>
      <c r="B863" s="1"/>
      <c r="C863" s="1"/>
      <c r="D863" s="1"/>
      <c r="E863" s="1"/>
      <c r="F863" s="1"/>
      <c r="G863" s="1"/>
    </row>
    <row r="864" spans="1:7" x14ac:dyDescent="0.2">
      <c r="A864" s="1"/>
      <c r="B864" s="1"/>
      <c r="C864" s="1"/>
      <c r="D864" s="1"/>
      <c r="E864" s="1"/>
      <c r="F864" s="1"/>
      <c r="G864" s="1"/>
    </row>
    <row r="865" spans="1:7" x14ac:dyDescent="0.2">
      <c r="A865" s="1"/>
      <c r="B865" s="1"/>
      <c r="C865" s="1"/>
      <c r="D865" s="1"/>
      <c r="E865" s="1"/>
      <c r="F865" s="1"/>
      <c r="G865" s="1"/>
    </row>
    <row r="866" spans="1:7" x14ac:dyDescent="0.2">
      <c r="A866" s="1"/>
      <c r="B866" s="1"/>
      <c r="C866" s="1"/>
      <c r="D866" s="1"/>
      <c r="E866" s="1"/>
      <c r="F866" s="1"/>
      <c r="G866" s="1"/>
    </row>
    <row r="867" spans="1:7" x14ac:dyDescent="0.2">
      <c r="A867" s="1"/>
      <c r="B867" s="1"/>
      <c r="C867" s="1"/>
      <c r="D867" s="1"/>
      <c r="E867" s="1"/>
      <c r="F867" s="1"/>
      <c r="G867" s="1"/>
    </row>
    <row r="868" spans="1:7" x14ac:dyDescent="0.2">
      <c r="A868" s="1"/>
      <c r="B868" s="1"/>
      <c r="C868" s="1"/>
      <c r="D868" s="1"/>
      <c r="E868" s="1"/>
      <c r="F868" s="1"/>
      <c r="G868" s="1"/>
    </row>
    <row r="869" spans="1:7" x14ac:dyDescent="0.2">
      <c r="A869" s="1"/>
      <c r="B869" s="1"/>
      <c r="C869" s="1"/>
      <c r="D869" s="1"/>
      <c r="E869" s="1"/>
      <c r="F869" s="1"/>
      <c r="G869" s="1"/>
    </row>
    <row r="870" spans="1:7" x14ac:dyDescent="0.2">
      <c r="A870" s="1"/>
      <c r="B870" s="1"/>
      <c r="C870" s="1"/>
      <c r="D870" s="1"/>
      <c r="E870" s="1"/>
      <c r="F870" s="1"/>
      <c r="G870" s="1"/>
    </row>
    <row r="871" spans="1:7" x14ac:dyDescent="0.2">
      <c r="A871" s="1"/>
      <c r="B871" s="1"/>
      <c r="C871" s="1"/>
      <c r="D871" s="1"/>
      <c r="E871" s="1"/>
      <c r="F871" s="1"/>
      <c r="G871" s="1"/>
    </row>
    <row r="872" spans="1:7" x14ac:dyDescent="0.2">
      <c r="A872" s="1"/>
      <c r="B872" s="1"/>
      <c r="C872" s="1"/>
      <c r="D872" s="1"/>
      <c r="E872" s="1"/>
      <c r="F872" s="1"/>
      <c r="G872" s="1"/>
    </row>
    <row r="873" spans="1:7" x14ac:dyDescent="0.2">
      <c r="A873" s="1"/>
      <c r="B873" s="1"/>
      <c r="C873" s="1"/>
      <c r="D873" s="1"/>
      <c r="E873" s="1"/>
      <c r="F873" s="1"/>
      <c r="G873" s="1"/>
    </row>
    <row r="874" spans="1:7" x14ac:dyDescent="0.2">
      <c r="A874" s="1"/>
      <c r="B874" s="1"/>
      <c r="C874" s="1"/>
      <c r="D874" s="1"/>
      <c r="E874" s="1"/>
      <c r="F874" s="1"/>
      <c r="G874" s="1"/>
    </row>
    <row r="875" spans="1:7" x14ac:dyDescent="0.2">
      <c r="A875" s="1"/>
      <c r="B875" s="1"/>
      <c r="C875" s="1"/>
      <c r="D875" s="1"/>
      <c r="E875" s="1"/>
      <c r="F875" s="1"/>
      <c r="G875" s="1"/>
    </row>
    <row r="876" spans="1:7" x14ac:dyDescent="0.2">
      <c r="A876" s="1"/>
      <c r="B876" s="1"/>
      <c r="C876" s="1"/>
      <c r="D876" s="1"/>
      <c r="E876" s="1"/>
      <c r="F876" s="1"/>
      <c r="G876" s="1"/>
    </row>
    <row r="877" spans="1:7" x14ac:dyDescent="0.2">
      <c r="A877" s="1"/>
      <c r="B877" s="1"/>
      <c r="C877" s="1"/>
      <c r="D877" s="1"/>
      <c r="E877" s="1"/>
      <c r="F877" s="1"/>
      <c r="G877" s="1"/>
    </row>
    <row r="878" spans="1:7" x14ac:dyDescent="0.2">
      <c r="A878" s="1"/>
      <c r="B878" s="1"/>
      <c r="C878" s="1"/>
      <c r="D878" s="1"/>
      <c r="E878" s="1"/>
      <c r="F878" s="1"/>
      <c r="G878" s="1"/>
    </row>
    <row r="879" spans="1:7" x14ac:dyDescent="0.2">
      <c r="A879" s="1"/>
      <c r="B879" s="1"/>
      <c r="C879" s="1"/>
      <c r="D879" s="1"/>
      <c r="E879" s="1"/>
      <c r="F879" s="1"/>
      <c r="G879" s="1"/>
    </row>
    <row r="880" spans="1:7" x14ac:dyDescent="0.2">
      <c r="A880" s="1"/>
      <c r="B880" s="1"/>
      <c r="C880" s="1"/>
      <c r="D880" s="1"/>
      <c r="E880" s="1"/>
      <c r="F880" s="1"/>
      <c r="G880" s="1"/>
    </row>
    <row r="881" spans="1:7" x14ac:dyDescent="0.2">
      <c r="A881" s="1"/>
      <c r="B881" s="1"/>
      <c r="C881" s="1"/>
      <c r="D881" s="1"/>
      <c r="E881" s="1"/>
      <c r="F881" s="1"/>
      <c r="G881" s="1"/>
    </row>
    <row r="882" spans="1:7" x14ac:dyDescent="0.2">
      <c r="A882" s="1"/>
      <c r="B882" s="1"/>
      <c r="C882" s="1"/>
      <c r="D882" s="1"/>
      <c r="E882" s="1"/>
      <c r="F882" s="1"/>
      <c r="G882" s="1"/>
    </row>
    <row r="883" spans="1:7" x14ac:dyDescent="0.2">
      <c r="A883" s="1"/>
      <c r="B883" s="1"/>
      <c r="C883" s="1"/>
      <c r="D883" s="1"/>
      <c r="E883" s="1"/>
      <c r="F883" s="1"/>
      <c r="G883" s="1"/>
    </row>
    <row r="884" spans="1:7" x14ac:dyDescent="0.2">
      <c r="A884" s="1"/>
      <c r="B884" s="1"/>
      <c r="C884" s="1"/>
      <c r="D884" s="1"/>
      <c r="E884" s="1"/>
      <c r="F884" s="1"/>
      <c r="G884" s="1"/>
    </row>
    <row r="885" spans="1:7" x14ac:dyDescent="0.2">
      <c r="A885" s="1"/>
      <c r="B885" s="1"/>
      <c r="C885" s="1"/>
      <c r="D885" s="1"/>
      <c r="E885" s="1"/>
      <c r="F885" s="1"/>
      <c r="G885" s="1"/>
    </row>
    <row r="886" spans="1:7" x14ac:dyDescent="0.2">
      <c r="A886" s="1"/>
      <c r="B886" s="1"/>
      <c r="C886" s="1"/>
      <c r="D886" s="1"/>
      <c r="E886" s="1"/>
      <c r="F886" s="1"/>
      <c r="G886" s="1"/>
    </row>
    <row r="887" spans="1:7" x14ac:dyDescent="0.2">
      <c r="A887" s="1"/>
      <c r="B887" s="1"/>
      <c r="C887" s="1"/>
      <c r="D887" s="1"/>
      <c r="E887" s="1"/>
      <c r="F887" s="1"/>
      <c r="G887" s="1"/>
    </row>
    <row r="888" spans="1:7" x14ac:dyDescent="0.2">
      <c r="A888" s="1"/>
      <c r="B888" s="1"/>
      <c r="C888" s="1"/>
      <c r="D888" s="1"/>
      <c r="E888" s="1"/>
      <c r="F888" s="1"/>
      <c r="G888" s="1"/>
    </row>
    <row r="889" spans="1:7" x14ac:dyDescent="0.2">
      <c r="A889" s="1"/>
      <c r="B889" s="1"/>
      <c r="C889" s="1"/>
      <c r="D889" s="1"/>
      <c r="E889" s="1"/>
      <c r="F889" s="1"/>
      <c r="G889" s="1"/>
    </row>
    <row r="890" spans="1:7" x14ac:dyDescent="0.2">
      <c r="A890" s="1"/>
      <c r="B890" s="1"/>
      <c r="C890" s="1"/>
      <c r="D890" s="1"/>
      <c r="E890" s="1"/>
      <c r="F890" s="1"/>
      <c r="G890" s="1"/>
    </row>
    <row r="891" spans="1:7" x14ac:dyDescent="0.2">
      <c r="A891" s="1"/>
      <c r="B891" s="1"/>
      <c r="C891" s="1"/>
      <c r="D891" s="1"/>
      <c r="E891" s="1"/>
      <c r="F891" s="1"/>
      <c r="G891" s="1"/>
    </row>
    <row r="892" spans="1:7" x14ac:dyDescent="0.2">
      <c r="A892" s="1"/>
      <c r="B892" s="1"/>
      <c r="C892" s="1"/>
      <c r="D892" s="1"/>
      <c r="E892" s="1"/>
      <c r="F892" s="1"/>
      <c r="G892" s="1"/>
    </row>
    <row r="893" spans="1:7" x14ac:dyDescent="0.2">
      <c r="A893" s="1"/>
      <c r="B893" s="1"/>
      <c r="C893" s="1"/>
      <c r="D893" s="1"/>
      <c r="E893" s="1"/>
      <c r="F893" s="1"/>
      <c r="G893" s="1"/>
    </row>
    <row r="894" spans="1:7" x14ac:dyDescent="0.2">
      <c r="A894" s="1"/>
      <c r="B894" s="1"/>
      <c r="C894" s="1"/>
      <c r="D894" s="1"/>
      <c r="E894" s="1"/>
      <c r="F894" s="1"/>
      <c r="G894" s="1"/>
    </row>
    <row r="895" spans="1:7" x14ac:dyDescent="0.2">
      <c r="A895" s="1"/>
      <c r="B895" s="1"/>
      <c r="C895" s="1"/>
      <c r="D895" s="1"/>
      <c r="E895" s="1"/>
      <c r="F895" s="1"/>
      <c r="G895" s="1"/>
    </row>
    <row r="896" spans="1:7" x14ac:dyDescent="0.2">
      <c r="A896" s="1"/>
      <c r="B896" s="1"/>
      <c r="C896" s="1"/>
      <c r="D896" s="1"/>
      <c r="E896" s="1"/>
      <c r="F896" s="1"/>
      <c r="G896" s="1"/>
    </row>
    <row r="897" spans="1:7" x14ac:dyDescent="0.2">
      <c r="A897" s="1"/>
      <c r="B897" s="1"/>
      <c r="C897" s="1"/>
      <c r="D897" s="1"/>
      <c r="E897" s="1"/>
      <c r="F897" s="1"/>
      <c r="G897" s="1"/>
    </row>
    <row r="898" spans="1:7" x14ac:dyDescent="0.2">
      <c r="A898" s="1"/>
      <c r="B898" s="1"/>
      <c r="C898" s="1"/>
      <c r="D898" s="1"/>
      <c r="E898" s="1"/>
      <c r="F898" s="1"/>
      <c r="G898" s="1"/>
    </row>
    <row r="899" spans="1:7" x14ac:dyDescent="0.2">
      <c r="A899" s="1"/>
      <c r="B899" s="1"/>
      <c r="C899" s="1"/>
      <c r="D899" s="1"/>
      <c r="E899" s="1"/>
      <c r="F899" s="1"/>
      <c r="G899" s="1"/>
    </row>
    <row r="900" spans="1:7" x14ac:dyDescent="0.2">
      <c r="A900" s="1"/>
      <c r="B900" s="1"/>
      <c r="C900" s="1"/>
      <c r="D900" s="1"/>
      <c r="E900" s="1"/>
      <c r="F900" s="1"/>
      <c r="G900" s="1"/>
    </row>
    <row r="901" spans="1:7" x14ac:dyDescent="0.2">
      <c r="A901" s="1"/>
      <c r="B901" s="1"/>
      <c r="C901" s="1"/>
      <c r="D901" s="1"/>
      <c r="E901" s="1"/>
      <c r="F901" s="1"/>
      <c r="G901" s="1"/>
    </row>
    <row r="902" spans="1:7" x14ac:dyDescent="0.2">
      <c r="A902" s="1"/>
      <c r="B902" s="1"/>
      <c r="C902" s="1"/>
      <c r="D902" s="1"/>
      <c r="E902" s="1"/>
      <c r="F902" s="1"/>
      <c r="G902" s="1"/>
    </row>
    <row r="903" spans="1:7" x14ac:dyDescent="0.2">
      <c r="A903" s="1"/>
      <c r="B903" s="1"/>
      <c r="C903" s="1"/>
      <c r="D903" s="1"/>
      <c r="E903" s="1"/>
      <c r="F903" s="1"/>
      <c r="G903" s="1"/>
    </row>
    <row r="904" spans="1:7" x14ac:dyDescent="0.2">
      <c r="A904" s="1"/>
      <c r="B904" s="1"/>
      <c r="C904" s="1"/>
      <c r="D904" s="1"/>
      <c r="E904" s="1"/>
      <c r="F904" s="1"/>
      <c r="G904" s="1"/>
    </row>
    <row r="905" spans="1:7" x14ac:dyDescent="0.2">
      <c r="A905" s="1"/>
      <c r="B905" s="1"/>
      <c r="C905" s="1"/>
      <c r="D905" s="1"/>
      <c r="E905" s="1"/>
      <c r="F905" s="1"/>
      <c r="G905" s="1"/>
    </row>
    <row r="906" spans="1:7" x14ac:dyDescent="0.2">
      <c r="A906" s="1"/>
      <c r="B906" s="1"/>
      <c r="C906" s="1"/>
      <c r="D906" s="1"/>
      <c r="E906" s="1"/>
      <c r="F906" s="1"/>
      <c r="G906" s="1"/>
    </row>
    <row r="907" spans="1:7" x14ac:dyDescent="0.2">
      <c r="A907" s="1"/>
      <c r="B907" s="1"/>
      <c r="C907" s="1"/>
      <c r="D907" s="1"/>
      <c r="E907" s="1"/>
      <c r="F907" s="1"/>
      <c r="G907" s="1"/>
    </row>
    <row r="908" spans="1:7" x14ac:dyDescent="0.2">
      <c r="A908" s="1"/>
      <c r="B908" s="1"/>
      <c r="C908" s="1"/>
      <c r="D908" s="1"/>
      <c r="E908" s="1"/>
      <c r="F908" s="1"/>
      <c r="G908" s="1"/>
    </row>
    <row r="909" spans="1:7" x14ac:dyDescent="0.2">
      <c r="A909" s="1"/>
      <c r="B909" s="1"/>
      <c r="C909" s="1"/>
      <c r="D909" s="1"/>
      <c r="E909" s="1"/>
      <c r="F909" s="1"/>
      <c r="G909" s="1"/>
    </row>
    <row r="910" spans="1:7" x14ac:dyDescent="0.2">
      <c r="A910" s="1"/>
      <c r="B910" s="1"/>
      <c r="C910" s="1"/>
      <c r="D910" s="1"/>
      <c r="E910" s="1"/>
      <c r="F910" s="1"/>
      <c r="G910" s="1"/>
    </row>
    <row r="911" spans="1:7" x14ac:dyDescent="0.2">
      <c r="A911" s="1"/>
      <c r="B911" s="1"/>
      <c r="C911" s="1"/>
      <c r="D911" s="1"/>
      <c r="E911" s="1"/>
      <c r="F911" s="1"/>
      <c r="G911" s="1"/>
    </row>
    <row r="912" spans="1:7" x14ac:dyDescent="0.2">
      <c r="A912" s="1"/>
      <c r="B912" s="1"/>
      <c r="C912" s="1"/>
      <c r="D912" s="1"/>
      <c r="E912" s="1"/>
      <c r="F912" s="1"/>
      <c r="G912" s="1"/>
    </row>
    <row r="913" spans="1:7" x14ac:dyDescent="0.2">
      <c r="A913" s="1"/>
      <c r="B913" s="1"/>
      <c r="C913" s="1"/>
      <c r="D913" s="1"/>
      <c r="E913" s="1"/>
      <c r="F913" s="1"/>
      <c r="G913" s="1"/>
    </row>
    <row r="914" spans="1:7" x14ac:dyDescent="0.2">
      <c r="A914" s="1"/>
      <c r="B914" s="1"/>
      <c r="C914" s="1"/>
      <c r="D914" s="1"/>
      <c r="E914" s="1"/>
      <c r="F914" s="1"/>
      <c r="G914" s="1"/>
    </row>
    <row r="915" spans="1:7" x14ac:dyDescent="0.2">
      <c r="A915" s="1"/>
      <c r="B915" s="1"/>
      <c r="C915" s="1"/>
      <c r="D915" s="1"/>
      <c r="E915" s="1"/>
      <c r="F915" s="1"/>
      <c r="G915" s="1"/>
    </row>
    <row r="916" spans="1:7" x14ac:dyDescent="0.2">
      <c r="A916" s="1"/>
      <c r="B916" s="1"/>
      <c r="C916" s="1"/>
      <c r="D916" s="1"/>
      <c r="E916" s="1"/>
      <c r="F916" s="1"/>
      <c r="G916" s="1"/>
    </row>
    <row r="917" spans="1:7" x14ac:dyDescent="0.2">
      <c r="A917" s="1"/>
      <c r="B917" s="1"/>
      <c r="C917" s="1"/>
      <c r="D917" s="1"/>
      <c r="E917" s="1"/>
      <c r="F917" s="1"/>
      <c r="G917" s="1"/>
    </row>
    <row r="918" spans="1:7" x14ac:dyDescent="0.2">
      <c r="A918" s="1"/>
      <c r="B918" s="1"/>
      <c r="C918" s="1"/>
      <c r="D918" s="1"/>
      <c r="E918" s="1"/>
      <c r="F918" s="1"/>
      <c r="G918" s="1"/>
    </row>
    <row r="919" spans="1:7" x14ac:dyDescent="0.2">
      <c r="A919" s="1"/>
      <c r="B919" s="1"/>
      <c r="C919" s="1"/>
      <c r="D919" s="1"/>
      <c r="E919" s="1"/>
      <c r="F919" s="1"/>
      <c r="G919" s="1"/>
    </row>
    <row r="920" spans="1:7" x14ac:dyDescent="0.2">
      <c r="A920" s="1"/>
      <c r="B920" s="1"/>
      <c r="C920" s="1"/>
      <c r="D920" s="1"/>
      <c r="E920" s="1"/>
      <c r="F920" s="1"/>
      <c r="G920" s="1"/>
    </row>
    <row r="921" spans="1:7" x14ac:dyDescent="0.2">
      <c r="A921" s="1"/>
      <c r="B921" s="1"/>
      <c r="C921" s="1"/>
      <c r="D921" s="1"/>
      <c r="E921" s="1"/>
      <c r="F921" s="1"/>
      <c r="G921" s="1"/>
    </row>
    <row r="922" spans="1:7" x14ac:dyDescent="0.2">
      <c r="A922" s="1"/>
      <c r="B922" s="1"/>
      <c r="C922" s="1"/>
      <c r="D922" s="1"/>
      <c r="E922" s="1"/>
      <c r="F922" s="1"/>
      <c r="G922" s="1"/>
    </row>
    <row r="923" spans="1:7" x14ac:dyDescent="0.2">
      <c r="A923" s="1"/>
      <c r="B923" s="1"/>
      <c r="C923" s="1"/>
      <c r="D923" s="1"/>
      <c r="E923" s="1"/>
      <c r="F923" s="1"/>
      <c r="G923" s="1"/>
    </row>
    <row r="924" spans="1:7" x14ac:dyDescent="0.2">
      <c r="A924" s="1"/>
      <c r="B924" s="1"/>
      <c r="C924" s="1"/>
      <c r="D924" s="1"/>
      <c r="E924" s="1"/>
      <c r="F924" s="1"/>
      <c r="G924" s="1"/>
    </row>
    <row r="925" spans="1:7" x14ac:dyDescent="0.2">
      <c r="A925" s="1"/>
      <c r="B925" s="1"/>
      <c r="C925" s="1"/>
      <c r="D925" s="1"/>
      <c r="E925" s="1"/>
      <c r="F925" s="1"/>
      <c r="G925" s="1"/>
    </row>
    <row r="926" spans="1:7" x14ac:dyDescent="0.2">
      <c r="A926" s="1"/>
      <c r="B926" s="1"/>
      <c r="C926" s="1"/>
      <c r="D926" s="1"/>
      <c r="E926" s="1"/>
      <c r="F926" s="1"/>
      <c r="G926" s="1"/>
    </row>
    <row r="927" spans="1:7" x14ac:dyDescent="0.2">
      <c r="A927" s="1"/>
      <c r="B927" s="1"/>
      <c r="C927" s="1"/>
      <c r="D927" s="1"/>
      <c r="E927" s="1"/>
      <c r="F927" s="1"/>
      <c r="G927" s="1"/>
    </row>
    <row r="928" spans="1:7" x14ac:dyDescent="0.2">
      <c r="A928" s="1"/>
      <c r="B928" s="1"/>
      <c r="C928" s="1"/>
      <c r="D928" s="1"/>
      <c r="E928" s="1"/>
      <c r="F928" s="1"/>
      <c r="G928" s="1"/>
    </row>
    <row r="929" spans="1:7" x14ac:dyDescent="0.2">
      <c r="A929" s="1"/>
      <c r="B929" s="1"/>
      <c r="C929" s="1"/>
      <c r="D929" s="1"/>
      <c r="E929" s="1"/>
      <c r="F929" s="1"/>
      <c r="G929" s="1"/>
    </row>
    <row r="930" spans="1:7" x14ac:dyDescent="0.2">
      <c r="A930" s="1"/>
      <c r="B930" s="1"/>
      <c r="C930" s="1"/>
      <c r="D930" s="1"/>
      <c r="E930" s="1"/>
      <c r="F930" s="1"/>
      <c r="G930" s="1"/>
    </row>
    <row r="931" spans="1:7" x14ac:dyDescent="0.2">
      <c r="A931" s="1"/>
      <c r="B931" s="1"/>
      <c r="C931" s="1"/>
      <c r="D931" s="1"/>
      <c r="E931" s="1"/>
      <c r="F931" s="1"/>
      <c r="G931" s="1"/>
    </row>
    <row r="932" spans="1:7" x14ac:dyDescent="0.2">
      <c r="A932" s="1"/>
      <c r="B932" s="1"/>
      <c r="C932" s="1"/>
      <c r="D932" s="1"/>
      <c r="E932" s="1"/>
      <c r="F932" s="1"/>
      <c r="G932" s="1"/>
    </row>
    <row r="933" spans="1:7" x14ac:dyDescent="0.2">
      <c r="A933" s="1"/>
      <c r="B933" s="1"/>
      <c r="C933" s="1"/>
      <c r="D933" s="1"/>
      <c r="E933" s="1"/>
      <c r="F933" s="1"/>
      <c r="G933" s="1"/>
    </row>
    <row r="934" spans="1:7" x14ac:dyDescent="0.2">
      <c r="A934" s="1"/>
      <c r="B934" s="1"/>
      <c r="C934" s="1"/>
      <c r="D934" s="1"/>
      <c r="E934" s="1"/>
      <c r="F934" s="1"/>
      <c r="G934" s="1"/>
    </row>
    <row r="935" spans="1:7" x14ac:dyDescent="0.2">
      <c r="A935" s="1"/>
      <c r="B935" s="1"/>
      <c r="C935" s="1"/>
      <c r="D935" s="1"/>
      <c r="E935" s="1"/>
      <c r="F935" s="1"/>
      <c r="G935" s="1"/>
    </row>
    <row r="936" spans="1:7" x14ac:dyDescent="0.2">
      <c r="A936" s="1"/>
      <c r="B936" s="1"/>
      <c r="C936" s="1"/>
      <c r="D936" s="1"/>
      <c r="E936" s="1"/>
      <c r="F936" s="1"/>
      <c r="G936" s="1"/>
    </row>
    <row r="937" spans="1:7" x14ac:dyDescent="0.2">
      <c r="A937" s="1"/>
      <c r="B937" s="1"/>
      <c r="C937" s="1"/>
      <c r="D937" s="1"/>
      <c r="E937" s="1"/>
      <c r="F937" s="1"/>
      <c r="G937" s="1"/>
    </row>
    <row r="938" spans="1:7" x14ac:dyDescent="0.2">
      <c r="A938" s="1"/>
      <c r="B938" s="1"/>
      <c r="C938" s="1"/>
      <c r="D938" s="1"/>
      <c r="E938" s="1"/>
      <c r="F938" s="1"/>
      <c r="G938" s="1"/>
    </row>
    <row r="939" spans="1:7" x14ac:dyDescent="0.2">
      <c r="A939" s="1"/>
      <c r="B939" s="1"/>
      <c r="C939" s="1"/>
      <c r="D939" s="1"/>
      <c r="E939" s="1"/>
      <c r="F939" s="1"/>
      <c r="G939" s="1"/>
    </row>
    <row r="940" spans="1:7" x14ac:dyDescent="0.2">
      <c r="A940" s="1"/>
      <c r="B940" s="1"/>
      <c r="C940" s="1"/>
      <c r="D940" s="1"/>
      <c r="E940" s="1"/>
      <c r="F940" s="1"/>
      <c r="G940" s="1"/>
    </row>
    <row r="941" spans="1:7" x14ac:dyDescent="0.2">
      <c r="A941" s="1"/>
      <c r="B941" s="1"/>
      <c r="C941" s="1"/>
      <c r="D941" s="1"/>
      <c r="E941" s="1"/>
      <c r="F941" s="1"/>
      <c r="G941" s="1"/>
    </row>
    <row r="942" spans="1:7" x14ac:dyDescent="0.2">
      <c r="A942" s="1"/>
      <c r="B942" s="1"/>
      <c r="C942" s="1"/>
      <c r="D942" s="1"/>
      <c r="E942" s="1"/>
      <c r="F942" s="1"/>
      <c r="G942" s="1"/>
    </row>
    <row r="943" spans="1:7" x14ac:dyDescent="0.2">
      <c r="A943" s="1"/>
      <c r="B943" s="1"/>
      <c r="C943" s="1"/>
      <c r="D943" s="1"/>
      <c r="E943" s="1"/>
      <c r="F943" s="1"/>
      <c r="G943" s="1"/>
    </row>
    <row r="944" spans="1:7" x14ac:dyDescent="0.2">
      <c r="A944" s="1"/>
      <c r="B944" s="1"/>
      <c r="C944" s="1"/>
      <c r="D944" s="1"/>
      <c r="E944" s="1"/>
      <c r="F944" s="1"/>
      <c r="G944" s="1"/>
    </row>
    <row r="945" spans="1:7" x14ac:dyDescent="0.2">
      <c r="A945" s="1"/>
      <c r="B945" s="1"/>
      <c r="C945" s="1"/>
      <c r="D945" s="1"/>
      <c r="E945" s="1"/>
      <c r="F945" s="1"/>
      <c r="G945" s="1"/>
    </row>
    <row r="946" spans="1:7" x14ac:dyDescent="0.2">
      <c r="A946" s="1"/>
      <c r="B946" s="1"/>
      <c r="C946" s="1"/>
      <c r="D946" s="1"/>
      <c r="E946" s="1"/>
      <c r="F946" s="1"/>
      <c r="G946" s="1"/>
    </row>
    <row r="947" spans="1:7" x14ac:dyDescent="0.2">
      <c r="A947" s="1"/>
      <c r="B947" s="1"/>
      <c r="C947" s="1"/>
      <c r="D947" s="1"/>
      <c r="E947" s="1"/>
      <c r="F947" s="1"/>
      <c r="G947" s="1"/>
    </row>
    <row r="948" spans="1:7" x14ac:dyDescent="0.2">
      <c r="A948" s="1"/>
      <c r="B948" s="1"/>
      <c r="C948" s="1"/>
      <c r="D948" s="1"/>
      <c r="E948" s="1"/>
      <c r="F948" s="1"/>
      <c r="G948" s="1"/>
    </row>
    <row r="949" spans="1:7" x14ac:dyDescent="0.2">
      <c r="A949" s="1"/>
      <c r="B949" s="1"/>
      <c r="C949" s="1"/>
      <c r="D949" s="1"/>
      <c r="E949" s="1"/>
      <c r="F949" s="1"/>
      <c r="G949" s="1"/>
    </row>
    <row r="950" spans="1:7" x14ac:dyDescent="0.2">
      <c r="A950" s="1"/>
      <c r="B950" s="1"/>
      <c r="C950" s="1"/>
      <c r="D950" s="1"/>
      <c r="E950" s="1"/>
      <c r="F950" s="1"/>
      <c r="G950" s="1"/>
    </row>
    <row r="951" spans="1:7" x14ac:dyDescent="0.2">
      <c r="A951" s="1"/>
      <c r="B951" s="1"/>
      <c r="C951" s="1"/>
      <c r="D951" s="1"/>
      <c r="E951" s="1"/>
      <c r="F951" s="1"/>
      <c r="G951" s="1"/>
    </row>
    <row r="952" spans="1:7" x14ac:dyDescent="0.2">
      <c r="A952" s="1"/>
      <c r="B952" s="1"/>
      <c r="C952" s="1"/>
      <c r="D952" s="1"/>
      <c r="E952" s="1"/>
      <c r="F952" s="1"/>
      <c r="G952" s="1"/>
    </row>
    <row r="953" spans="1:7" x14ac:dyDescent="0.2">
      <c r="A953" s="1"/>
      <c r="B953" s="1"/>
      <c r="C953" s="1"/>
      <c r="D953" s="1"/>
      <c r="E953" s="1"/>
      <c r="F953" s="1"/>
      <c r="G953" s="1"/>
    </row>
    <row r="954" spans="1:7" x14ac:dyDescent="0.2">
      <c r="A954" s="1"/>
      <c r="B954" s="1"/>
      <c r="C954" s="1"/>
      <c r="D954" s="1"/>
      <c r="E954" s="1"/>
      <c r="F954" s="1"/>
      <c r="G954" s="1"/>
    </row>
    <row r="955" spans="1:7" x14ac:dyDescent="0.2">
      <c r="A955" s="1"/>
      <c r="B955" s="1"/>
      <c r="C955" s="1"/>
      <c r="D955" s="1"/>
      <c r="E955" s="1"/>
      <c r="F955" s="1"/>
      <c r="G955" s="1"/>
    </row>
    <row r="956" spans="1:7" x14ac:dyDescent="0.2">
      <c r="A956" s="1"/>
      <c r="B956" s="1"/>
      <c r="C956" s="1"/>
      <c r="D956" s="1"/>
      <c r="E956" s="1"/>
      <c r="F956" s="1"/>
      <c r="G956" s="1"/>
    </row>
    <row r="957" spans="1:7" x14ac:dyDescent="0.2">
      <c r="A957" s="1"/>
      <c r="B957" s="1"/>
      <c r="C957" s="1"/>
      <c r="D957" s="1"/>
      <c r="E957" s="1"/>
      <c r="F957" s="1"/>
      <c r="G957" s="1"/>
    </row>
    <row r="958" spans="1:7" x14ac:dyDescent="0.2">
      <c r="A958" s="1"/>
      <c r="B958" s="1"/>
      <c r="C958" s="1"/>
      <c r="D958" s="1"/>
      <c r="E958" s="1"/>
      <c r="F958" s="1"/>
      <c r="G958" s="1"/>
    </row>
    <row r="959" spans="1:7" x14ac:dyDescent="0.2">
      <c r="A959" s="1"/>
      <c r="B959" s="1"/>
      <c r="C959" s="1"/>
      <c r="D959" s="1"/>
      <c r="E959" s="1"/>
      <c r="F959" s="1"/>
      <c r="G959" s="1"/>
    </row>
    <row r="960" spans="1:7" x14ac:dyDescent="0.2">
      <c r="A960" s="1"/>
      <c r="B960" s="1"/>
      <c r="C960" s="1"/>
      <c r="D960" s="1"/>
      <c r="E960" s="1"/>
      <c r="F960" s="1"/>
      <c r="G960" s="1"/>
    </row>
    <row r="961" spans="1:7" x14ac:dyDescent="0.2">
      <c r="A961" s="1"/>
      <c r="B961" s="1"/>
      <c r="C961" s="1"/>
      <c r="D961" s="1"/>
      <c r="E961" s="1"/>
      <c r="F961" s="1"/>
      <c r="G961" s="1"/>
    </row>
    <row r="962" spans="1:7" x14ac:dyDescent="0.2">
      <c r="A962" s="1"/>
      <c r="B962" s="1"/>
      <c r="C962" s="1"/>
      <c r="D962" s="1"/>
      <c r="E962" s="1"/>
      <c r="F962" s="1"/>
      <c r="G962" s="1"/>
    </row>
    <row r="963" spans="1:7" x14ac:dyDescent="0.2">
      <c r="A963" s="1"/>
      <c r="B963" s="1"/>
      <c r="C963" s="1"/>
      <c r="D963" s="1"/>
      <c r="E963" s="1"/>
      <c r="F963" s="1"/>
      <c r="G963" s="1"/>
    </row>
    <row r="964" spans="1:7" x14ac:dyDescent="0.2">
      <c r="A964" s="1"/>
      <c r="B964" s="1"/>
      <c r="C964" s="1"/>
      <c r="D964" s="1"/>
      <c r="E964" s="1"/>
      <c r="F964" s="1"/>
      <c r="G964" s="1"/>
    </row>
    <row r="965" spans="1:7" x14ac:dyDescent="0.2">
      <c r="A965" s="1"/>
      <c r="B965" s="1"/>
      <c r="C965" s="1"/>
      <c r="D965" s="1"/>
      <c r="E965" s="1"/>
      <c r="F965" s="1"/>
      <c r="G965" s="1"/>
    </row>
    <row r="966" spans="1:7" x14ac:dyDescent="0.2">
      <c r="A966" s="1"/>
      <c r="B966" s="1"/>
      <c r="C966" s="1"/>
      <c r="D966" s="1"/>
      <c r="E966" s="1"/>
      <c r="F966" s="1"/>
      <c r="G966" s="1"/>
    </row>
    <row r="967" spans="1:7" x14ac:dyDescent="0.2">
      <c r="A967" s="1"/>
      <c r="B967" s="1"/>
      <c r="C967" s="1"/>
      <c r="D967" s="1"/>
      <c r="E967" s="1"/>
      <c r="F967" s="1"/>
      <c r="G967" s="1"/>
    </row>
    <row r="968" spans="1:7" x14ac:dyDescent="0.2">
      <c r="A968" s="1"/>
      <c r="B968" s="1"/>
      <c r="C968" s="1"/>
      <c r="D968" s="1"/>
      <c r="E968" s="1"/>
      <c r="F968" s="1"/>
      <c r="G968" s="1"/>
    </row>
    <row r="969" spans="1:7" x14ac:dyDescent="0.2">
      <c r="A969" s="1"/>
      <c r="B969" s="1"/>
      <c r="C969" s="1"/>
      <c r="D969" s="1"/>
      <c r="E969" s="1"/>
      <c r="F969" s="1"/>
      <c r="G969" s="1"/>
    </row>
    <row r="970" spans="1:7" x14ac:dyDescent="0.2">
      <c r="A970" s="1"/>
      <c r="B970" s="1"/>
      <c r="C970" s="1"/>
      <c r="D970" s="1"/>
      <c r="E970" s="1"/>
      <c r="F970" s="1"/>
      <c r="G970" s="1"/>
    </row>
    <row r="971" spans="1:7" x14ac:dyDescent="0.2">
      <c r="A971" s="1"/>
      <c r="B971" s="1"/>
      <c r="C971" s="1"/>
      <c r="D971" s="1"/>
      <c r="E971" s="1"/>
      <c r="F971" s="1"/>
      <c r="G971" s="1"/>
    </row>
    <row r="972" spans="1:7" x14ac:dyDescent="0.2">
      <c r="A972" s="1"/>
      <c r="B972" s="1"/>
      <c r="C972" s="1"/>
      <c r="D972" s="1"/>
      <c r="E972" s="1"/>
      <c r="F972" s="1"/>
      <c r="G972" s="1"/>
    </row>
    <row r="973" spans="1:7" x14ac:dyDescent="0.2">
      <c r="A973" s="1"/>
      <c r="B973" s="1"/>
      <c r="C973" s="1"/>
      <c r="D973" s="1"/>
      <c r="E973" s="1"/>
      <c r="F973" s="1"/>
      <c r="G973" s="1"/>
    </row>
    <row r="974" spans="1:7" x14ac:dyDescent="0.2">
      <c r="A974" s="1"/>
      <c r="B974" s="1"/>
      <c r="C974" s="1"/>
      <c r="D974" s="1"/>
      <c r="E974" s="1"/>
      <c r="F974" s="1"/>
      <c r="G974" s="1"/>
    </row>
    <row r="975" spans="1:7" x14ac:dyDescent="0.2">
      <c r="A975" s="1"/>
      <c r="B975" s="1"/>
      <c r="C975" s="1"/>
      <c r="D975" s="1"/>
      <c r="E975" s="1"/>
      <c r="F975" s="1"/>
      <c r="G975" s="1"/>
    </row>
    <row r="976" spans="1:7" x14ac:dyDescent="0.2">
      <c r="A976" s="1"/>
      <c r="B976" s="1"/>
      <c r="C976" s="1"/>
      <c r="D976" s="1"/>
      <c r="E976" s="1"/>
      <c r="F976" s="1"/>
      <c r="G976" s="1"/>
    </row>
    <row r="977" spans="1:7" x14ac:dyDescent="0.2">
      <c r="A977" s="1"/>
      <c r="B977" s="1"/>
      <c r="C977" s="1"/>
      <c r="D977" s="1"/>
      <c r="E977" s="1"/>
      <c r="F977" s="1"/>
      <c r="G977" s="1"/>
    </row>
    <row r="978" spans="1:7" x14ac:dyDescent="0.2">
      <c r="A978" s="1"/>
      <c r="B978" s="1"/>
      <c r="C978" s="1"/>
      <c r="D978" s="1"/>
      <c r="E978" s="1"/>
      <c r="F978" s="1"/>
      <c r="G978" s="1"/>
    </row>
    <row r="979" spans="1:7" x14ac:dyDescent="0.2">
      <c r="A979" s="1"/>
      <c r="B979" s="1"/>
      <c r="C979" s="1"/>
      <c r="D979" s="1"/>
      <c r="E979" s="1"/>
      <c r="F979" s="1"/>
      <c r="G979" s="1"/>
    </row>
    <row r="980" spans="1:7" x14ac:dyDescent="0.2">
      <c r="A980" s="1"/>
      <c r="B980" s="1"/>
      <c r="C980" s="1"/>
      <c r="D980" s="1"/>
      <c r="E980" s="1"/>
      <c r="F980" s="1"/>
      <c r="G980" s="1"/>
    </row>
    <row r="981" spans="1:7" x14ac:dyDescent="0.2">
      <c r="A981" s="1"/>
      <c r="B981" s="1"/>
      <c r="C981" s="1"/>
      <c r="D981" s="1"/>
      <c r="E981" s="1"/>
      <c r="F981" s="1"/>
      <c r="G981" s="1"/>
    </row>
    <row r="982" spans="1:7" x14ac:dyDescent="0.2">
      <c r="A982" s="1"/>
      <c r="B982" s="1"/>
      <c r="C982" s="1"/>
      <c r="D982" s="1"/>
      <c r="E982" s="1"/>
      <c r="F982" s="1"/>
      <c r="G982" s="1"/>
    </row>
    <row r="983" spans="1:7" x14ac:dyDescent="0.2">
      <c r="A983" s="1"/>
      <c r="B983" s="1"/>
      <c r="C983" s="1"/>
      <c r="D983" s="1"/>
      <c r="E983" s="1"/>
      <c r="F983" s="1"/>
      <c r="G983" s="1"/>
    </row>
    <row r="984" spans="1:7" x14ac:dyDescent="0.2">
      <c r="A984" s="1"/>
      <c r="B984" s="1"/>
      <c r="C984" s="1"/>
      <c r="D984" s="1"/>
      <c r="E984" s="1"/>
      <c r="F984" s="1"/>
      <c r="G984" s="1"/>
    </row>
    <row r="985" spans="1:7" x14ac:dyDescent="0.2">
      <c r="A985" s="1"/>
      <c r="B985" s="1"/>
      <c r="C985" s="1"/>
      <c r="D985" s="1"/>
      <c r="E985" s="1"/>
      <c r="F985" s="1"/>
      <c r="G985" s="1"/>
    </row>
    <row r="986" spans="1:7" x14ac:dyDescent="0.2">
      <c r="A986" s="1"/>
      <c r="B986" s="1"/>
      <c r="C986" s="1"/>
      <c r="D986" s="1"/>
      <c r="E986" s="1"/>
      <c r="F986" s="1"/>
      <c r="G986" s="1"/>
    </row>
    <row r="987" spans="1:7" x14ac:dyDescent="0.2">
      <c r="A987" s="1"/>
      <c r="B987" s="1"/>
      <c r="C987" s="1"/>
      <c r="D987" s="1"/>
      <c r="E987" s="1"/>
      <c r="F987" s="1"/>
      <c r="G987" s="1"/>
    </row>
    <row r="988" spans="1:7" x14ac:dyDescent="0.2">
      <c r="A988" s="1"/>
      <c r="B988" s="1"/>
      <c r="C988" s="1"/>
      <c r="D988" s="1"/>
      <c r="E988" s="1"/>
      <c r="F988" s="1"/>
      <c r="G988" s="1"/>
    </row>
    <row r="989" spans="1:7" x14ac:dyDescent="0.2">
      <c r="A989" s="1"/>
      <c r="B989" s="1"/>
      <c r="C989" s="1"/>
      <c r="D989" s="1"/>
      <c r="E989" s="1"/>
      <c r="F989" s="1"/>
      <c r="G989" s="1"/>
    </row>
    <row r="990" spans="1:7" x14ac:dyDescent="0.2">
      <c r="A990" s="1"/>
      <c r="B990" s="1"/>
      <c r="C990" s="1"/>
      <c r="D990" s="1"/>
      <c r="E990" s="1"/>
      <c r="F990" s="1"/>
      <c r="G990" s="1"/>
    </row>
    <row r="991" spans="1:7" x14ac:dyDescent="0.2">
      <c r="A991" s="1"/>
      <c r="B991" s="1"/>
      <c r="C991" s="1"/>
      <c r="D991" s="1"/>
      <c r="E991" s="1"/>
      <c r="F991" s="1"/>
      <c r="G991" s="1"/>
    </row>
    <row r="992" spans="1:7" x14ac:dyDescent="0.2">
      <c r="A992" s="1"/>
      <c r="B992" s="1"/>
      <c r="C992" s="1"/>
      <c r="D992" s="1"/>
      <c r="E992" s="1"/>
      <c r="F992" s="1"/>
      <c r="G992" s="1"/>
    </row>
    <row r="993" spans="1:7" x14ac:dyDescent="0.2">
      <c r="A993" s="1"/>
      <c r="B993" s="1"/>
      <c r="C993" s="1"/>
      <c r="D993" s="1"/>
      <c r="E993" s="1"/>
      <c r="F993" s="1"/>
      <c r="G993" s="1"/>
    </row>
    <row r="994" spans="1:7" x14ac:dyDescent="0.2">
      <c r="A994" s="1"/>
      <c r="B994" s="1"/>
      <c r="C994" s="1"/>
      <c r="D994" s="1"/>
      <c r="E994" s="1"/>
      <c r="F994" s="1"/>
      <c r="G994" s="1"/>
    </row>
    <row r="995" spans="1:7" x14ac:dyDescent="0.2">
      <c r="A995" s="1"/>
      <c r="B995" s="1"/>
      <c r="C995" s="1"/>
      <c r="D995" s="1"/>
      <c r="E995" s="1"/>
      <c r="F995" s="1"/>
      <c r="G995" s="1"/>
    </row>
    <row r="996" spans="1:7" x14ac:dyDescent="0.2">
      <c r="A996" s="1"/>
      <c r="B996" s="1"/>
      <c r="C996" s="1"/>
      <c r="D996" s="1"/>
      <c r="E996" s="1"/>
      <c r="F996" s="1"/>
      <c r="G996" s="1"/>
    </row>
    <row r="997" spans="1:7" x14ac:dyDescent="0.2">
      <c r="A997" s="1"/>
      <c r="B997" s="1"/>
      <c r="C997" s="1"/>
      <c r="D997" s="1"/>
      <c r="E997" s="1"/>
      <c r="F997" s="1"/>
      <c r="G997" s="1"/>
    </row>
    <row r="998" spans="1:7" x14ac:dyDescent="0.2">
      <c r="A998" s="1"/>
      <c r="B998" s="1"/>
      <c r="C998" s="1"/>
      <c r="D998" s="1"/>
      <c r="E998" s="1"/>
      <c r="F998" s="1"/>
      <c r="G998" s="1"/>
    </row>
    <row r="999" spans="1:7" x14ac:dyDescent="0.2">
      <c r="A999" s="1"/>
      <c r="B999" s="1"/>
      <c r="C999" s="1"/>
      <c r="D999" s="1"/>
      <c r="E999" s="1"/>
      <c r="F999" s="1"/>
      <c r="G999" s="1"/>
    </row>
    <row r="1000" spans="1:7" x14ac:dyDescent="0.2">
      <c r="A1000" s="1"/>
      <c r="B1000" s="1"/>
      <c r="C1000" s="1"/>
      <c r="D1000" s="1"/>
      <c r="E1000" s="1"/>
      <c r="F1000" s="1"/>
      <c r="G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2D6B-69AE-4C35-AE7F-DFCFD6478CA2}">
  <dimension ref="A1"/>
  <sheetViews>
    <sheetView showGridLines="0" zoomScaleNormal="100" workbookViewId="0">
      <selection activeCell="X25" sqref="X25"/>
    </sheetView>
  </sheetViews>
  <sheetFormatPr defaultRowHeight="12.75" x14ac:dyDescent="0.2"/>
  <sheetData/>
  <sheetProtection sheet="1" objects="1" scenarios="1" selectLockedCells="1" autoFilter="0"/>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9" r:id="rId4" name="Check Box 19">
              <controlPr defaultSize="0" autoFill="0" autoLine="0" autoPict="0">
                <anchor moveWithCells="1">
                  <from>
                    <xdr:col>4</xdr:col>
                    <xdr:colOff>581025</xdr:colOff>
                    <xdr:row>12</xdr:row>
                    <xdr:rowOff>104775</xdr:rowOff>
                  </from>
                  <to>
                    <xdr:col>6</xdr:col>
                    <xdr:colOff>95250</xdr:colOff>
                    <xdr:row>13</xdr:row>
                    <xdr:rowOff>142875</xdr:rowOff>
                  </to>
                </anchor>
              </controlPr>
            </control>
          </mc:Choice>
        </mc:AlternateContent>
        <mc:AlternateContent xmlns:mc="http://schemas.openxmlformats.org/markup-compatibility/2006">
          <mc:Choice Requires="x14">
            <control shapeId="10260" r:id="rId5" name="Check Box 20">
              <controlPr defaultSize="0" autoFill="0" autoLine="0" autoPict="0">
                <anchor moveWithCells="1">
                  <from>
                    <xdr:col>5</xdr:col>
                    <xdr:colOff>457200</xdr:colOff>
                    <xdr:row>12</xdr:row>
                    <xdr:rowOff>104775</xdr:rowOff>
                  </from>
                  <to>
                    <xdr:col>6</xdr:col>
                    <xdr:colOff>581025</xdr:colOff>
                    <xdr:row>13</xdr:row>
                    <xdr:rowOff>152400</xdr:rowOff>
                  </to>
                </anchor>
              </controlPr>
            </control>
          </mc:Choice>
        </mc:AlternateContent>
        <mc:AlternateContent xmlns:mc="http://schemas.openxmlformats.org/markup-compatibility/2006">
          <mc:Choice Requires="x14">
            <control shapeId="10261" r:id="rId6" name="Check Box 21">
              <controlPr defaultSize="0" autoFill="0" autoLine="0" autoPict="0">
                <anchor moveWithCells="1">
                  <from>
                    <xdr:col>6</xdr:col>
                    <xdr:colOff>342900</xdr:colOff>
                    <xdr:row>12</xdr:row>
                    <xdr:rowOff>104775</xdr:rowOff>
                  </from>
                  <to>
                    <xdr:col>7</xdr:col>
                    <xdr:colOff>457200</xdr:colOff>
                    <xdr:row>13</xdr:row>
                    <xdr:rowOff>142875</xdr:rowOff>
                  </to>
                </anchor>
              </controlPr>
            </control>
          </mc:Choice>
        </mc:AlternateContent>
        <mc:AlternateContent xmlns:mc="http://schemas.openxmlformats.org/markup-compatibility/2006">
          <mc:Choice Requires="x14">
            <control shapeId="10262" r:id="rId7" name="Scroll Bar 22">
              <controlPr defaultSize="0" autoPict="0">
                <anchor moveWithCells="1">
                  <from>
                    <xdr:col>8</xdr:col>
                    <xdr:colOff>66675</xdr:colOff>
                    <xdr:row>15</xdr:row>
                    <xdr:rowOff>57150</xdr:rowOff>
                  </from>
                  <to>
                    <xdr:col>8</xdr:col>
                    <xdr:colOff>257175</xdr:colOff>
                    <xdr:row>25</xdr:row>
                    <xdr:rowOff>123825</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3487-0655-4B5A-9160-68A8748FFC48}">
  <dimension ref="A1:AQ52"/>
  <sheetViews>
    <sheetView zoomScaleNormal="100" workbookViewId="0">
      <selection activeCell="L4" sqref="L4"/>
    </sheetView>
  </sheetViews>
  <sheetFormatPr defaultRowHeight="12.75" x14ac:dyDescent="0.2"/>
  <cols>
    <col min="1" max="1" width="13.85546875" bestFit="1" customWidth="1"/>
    <col min="2" max="2" width="15.140625" bestFit="1" customWidth="1"/>
    <col min="4" max="4" width="20.28515625" bestFit="1" customWidth="1"/>
    <col min="5" max="5" width="16.7109375" bestFit="1" customWidth="1"/>
    <col min="6" max="6" width="20.42578125" bestFit="1" customWidth="1"/>
    <col min="7" max="7" width="13.85546875" bestFit="1" customWidth="1"/>
    <col min="8" max="8" width="20.28515625" bestFit="1" customWidth="1"/>
    <col min="9" max="9" width="16.7109375" bestFit="1" customWidth="1"/>
    <col min="10" max="14" width="17.28515625" customWidth="1"/>
    <col min="16" max="16" width="24.28515625" bestFit="1" customWidth="1"/>
    <col min="17" max="17" width="19.5703125" bestFit="1" customWidth="1"/>
    <col min="18" max="18" width="15.140625" bestFit="1" customWidth="1"/>
    <col min="19" max="19" width="15.7109375" bestFit="1" customWidth="1"/>
    <col min="20" max="20" width="15.7109375" customWidth="1"/>
    <col min="22" max="22" width="24.28515625" bestFit="1" customWidth="1"/>
    <col min="24" max="24" width="10.5703125" bestFit="1" customWidth="1"/>
    <col min="27" max="27" width="16.42578125" bestFit="1" customWidth="1"/>
    <col min="28" max="28" width="16.140625" bestFit="1" customWidth="1"/>
    <col min="32" max="32" width="13.85546875" bestFit="1" customWidth="1"/>
    <col min="33" max="33" width="15.140625" bestFit="1" customWidth="1"/>
    <col min="34" max="34" width="5.7109375" customWidth="1"/>
    <col min="35" max="35" width="3" bestFit="1" customWidth="1"/>
    <col min="36" max="37" width="15.7109375" customWidth="1"/>
    <col min="39" max="39" width="13.85546875" bestFit="1" customWidth="1"/>
    <col min="40" max="40" width="16.7109375" bestFit="1" customWidth="1"/>
    <col min="42" max="42" width="13.85546875" bestFit="1" customWidth="1"/>
    <col min="43" max="43" width="16.7109375" bestFit="1" customWidth="1"/>
  </cols>
  <sheetData>
    <row r="1" spans="1:43" x14ac:dyDescent="0.2">
      <c r="A1" s="55" t="s">
        <v>207</v>
      </c>
      <c r="B1" t="s">
        <v>208</v>
      </c>
      <c r="D1" t="s">
        <v>222</v>
      </c>
      <c r="E1" t="s">
        <v>208</v>
      </c>
      <c r="G1" s="55" t="s">
        <v>207</v>
      </c>
      <c r="H1" t="s">
        <v>222</v>
      </c>
      <c r="I1" t="s">
        <v>208</v>
      </c>
      <c r="L1" t="b">
        <v>1</v>
      </c>
      <c r="M1" t="b">
        <v>1</v>
      </c>
      <c r="N1" t="b">
        <v>1</v>
      </c>
      <c r="P1" s="55" t="s">
        <v>201</v>
      </c>
      <c r="Q1" s="55" t="s">
        <v>109</v>
      </c>
      <c r="R1" t="s">
        <v>208</v>
      </c>
      <c r="S1" t="s">
        <v>209</v>
      </c>
      <c r="V1" t="str">
        <f ca="1">VLOOKUP(1,U:Y,2,0)</f>
        <v>Moto Guzzi V7 Stone</v>
      </c>
      <c r="W1" t="str">
        <f ca="1">VLOOKUP(1,U:Y,3,0)</f>
        <v>853cc</v>
      </c>
      <c r="X1" s="51">
        <f ca="1">VLOOKUP(1,U:Y,4,0)</f>
        <v>317629000</v>
      </c>
      <c r="Y1">
        <f ca="1">VLOOKUP(1,U:Y,5,0)</f>
        <v>461</v>
      </c>
      <c r="AA1">
        <v>1</v>
      </c>
      <c r="AB1">
        <f>COUNT(S:S)-9</f>
        <v>41</v>
      </c>
      <c r="AC1">
        <f>MIN(AA1:AB1)</f>
        <v>1</v>
      </c>
      <c r="AF1" s="55" t="s">
        <v>207</v>
      </c>
      <c r="AG1" t="s">
        <v>208</v>
      </c>
      <c r="AJ1" t="str">
        <f ca="1">VLOOKUP(1,$AI:$AK,2,0)</f>
        <v>Scooter</v>
      </c>
      <c r="AK1" s="53">
        <f ca="1">VLOOKUP(1,$AI:$AK,3,0)</f>
        <v>753773100</v>
      </c>
      <c r="AM1" s="55" t="s">
        <v>207</v>
      </c>
      <c r="AN1" t="s">
        <v>208</v>
      </c>
      <c r="AP1" s="55" t="s">
        <v>207</v>
      </c>
      <c r="AQ1" t="s">
        <v>208</v>
      </c>
    </row>
    <row r="2" spans="1:43" x14ac:dyDescent="0.2">
      <c r="A2" s="29">
        <v>1</v>
      </c>
      <c r="B2" s="46">
        <v>173417000</v>
      </c>
      <c r="D2" s="46">
        <v>3406238720.7977242</v>
      </c>
      <c r="E2" s="46">
        <v>4445561800</v>
      </c>
      <c r="G2" s="29" t="s">
        <v>210</v>
      </c>
      <c r="H2" s="46">
        <v>9029384.6153846141</v>
      </c>
      <c r="I2" s="46">
        <v>11738200</v>
      </c>
      <c r="J2" s="46"/>
      <c r="K2" s="49" t="s">
        <v>205</v>
      </c>
      <c r="L2" s="49" t="s">
        <v>223</v>
      </c>
      <c r="M2" s="49" t="s">
        <v>224</v>
      </c>
      <c r="N2" s="49" t="s">
        <v>225</v>
      </c>
      <c r="P2" t="s">
        <v>70</v>
      </c>
      <c r="Q2" t="s">
        <v>158</v>
      </c>
      <c r="R2" s="46">
        <v>67233000</v>
      </c>
      <c r="S2" s="54">
        <v>307</v>
      </c>
      <c r="AF2" s="29" t="s">
        <v>138</v>
      </c>
      <c r="AG2" s="46">
        <v>390820700</v>
      </c>
      <c r="AH2" s="46"/>
      <c r="AI2" s="46"/>
      <c r="AJ2" s="46"/>
      <c r="AK2" s="46"/>
      <c r="AM2" s="29" t="s">
        <v>194</v>
      </c>
      <c r="AN2" s="46">
        <v>2399268400</v>
      </c>
      <c r="AP2" s="29" t="s">
        <v>195</v>
      </c>
      <c r="AQ2" s="46">
        <v>1412997900</v>
      </c>
    </row>
    <row r="3" spans="1:43" x14ac:dyDescent="0.2">
      <c r="A3" s="29">
        <v>2</v>
      </c>
      <c r="B3" s="46">
        <v>152285900</v>
      </c>
      <c r="G3" s="29" t="s">
        <v>211</v>
      </c>
      <c r="H3" s="46">
        <v>1154788657.3056564</v>
      </c>
      <c r="I3" s="46">
        <v>1515957700</v>
      </c>
      <c r="J3" s="46"/>
      <c r="K3" s="46" t="s">
        <v>210</v>
      </c>
      <c r="L3" s="46">
        <f>IF($L$1=TRUE,SUMIFS(I:I,G:G,K3),NA())</f>
        <v>11738200</v>
      </c>
      <c r="M3" s="46">
        <f>IF($M$1=TRUE,SUMIFS(I:I,G:G,K3)-SUMIFS(H:H,G:G,K3),NA())</f>
        <v>2708815.3846153859</v>
      </c>
      <c r="N3" s="27">
        <f>IF($N$1=TRUE,M3/SUMIFS(H:H,G:G,K3),"")</f>
        <v>0.30000000000000021</v>
      </c>
      <c r="P3" t="s">
        <v>59</v>
      </c>
      <c r="Q3" t="s">
        <v>150</v>
      </c>
      <c r="R3" s="46">
        <v>34561100</v>
      </c>
      <c r="S3" s="54">
        <v>509</v>
      </c>
      <c r="U3">
        <f t="shared" ref="U3:U34" ca="1" si="0">RANK(X3,$X$3:$X$52)</f>
        <v>30</v>
      </c>
      <c r="V3" t="str" cm="1">
        <f t="array" aca="1" ref="V3:V52" ca="1">OFFSET($P$1,1,0,COUNT($R:$R))</f>
        <v>Aprilia SR GT 200</v>
      </c>
      <c r="W3" t="str" cm="1">
        <f t="array" aca="1" ref="W3:W52" ca="1">OFFSET($P$1,1,1,COUNT($R:$R))</f>
        <v>174cc</v>
      </c>
      <c r="X3" cm="1">
        <f t="array" aca="1" ref="X3:X52" ca="1">OFFSET($P$1,1,2,COUNT($R:$R))</f>
        <v>67233000</v>
      </c>
      <c r="Y3" cm="1">
        <f t="array" aca="1" ref="Y3:Y52" ca="1">OFFSET($P$1,1,3,COUNT($R:$R))</f>
        <v>307</v>
      </c>
      <c r="AA3" s="50" t="str" cm="1">
        <f t="array" aca="1" ref="AA3:AA12" ca="1">OFFSET($P$1,$AC$1,0,10)</f>
        <v>Aprilia SR GT 200</v>
      </c>
      <c r="AB3" s="51" cm="1">
        <f t="array" aca="1" ref="AB3:AB12" ca="1">OFFSET($P$1,$AC$1,2,10)</f>
        <v>67233000</v>
      </c>
      <c r="AF3" s="29" t="s">
        <v>128</v>
      </c>
      <c r="AG3" s="46">
        <v>171473000</v>
      </c>
      <c r="AH3" s="46"/>
      <c r="AI3">
        <f ca="1">RANK(AK3,$AK$3:$AK$19)</f>
        <v>5</v>
      </c>
      <c r="AJ3" s="46" t="str" cm="1">
        <f t="array" aca="1" ref="AJ3:AJ19" ca="1">OFFSET($AF$1,1,0,COUNT($AG:$AG))</f>
        <v>Adventure</v>
      </c>
      <c r="AK3" s="46" cm="1">
        <f t="array" aca="1" ref="AK3:AK19" ca="1">OFFSET($AF$1,1,1,COUNT($AG:$AG))</f>
        <v>390820700</v>
      </c>
      <c r="AM3" s="29" t="s">
        <v>196</v>
      </c>
      <c r="AN3" s="46">
        <v>2046293400</v>
      </c>
      <c r="AP3" s="29" t="s">
        <v>197</v>
      </c>
      <c r="AQ3" s="46">
        <v>1570042600</v>
      </c>
    </row>
    <row r="4" spans="1:43" x14ac:dyDescent="0.2">
      <c r="A4" s="29">
        <v>3</v>
      </c>
      <c r="B4" s="46">
        <v>195578000</v>
      </c>
      <c r="G4" s="29" t="s">
        <v>212</v>
      </c>
      <c r="H4" s="46">
        <v>1146854129.8331292</v>
      </c>
      <c r="I4" s="46">
        <v>1493211800</v>
      </c>
      <c r="J4" s="46"/>
      <c r="K4" s="46" t="s">
        <v>211</v>
      </c>
      <c r="L4" s="46">
        <f t="shared" ref="L4:L6" si="1">IF($L$1=TRUE,SUMIFS(I:I,G:G,K4),NA())</f>
        <v>1515957700</v>
      </c>
      <c r="M4" s="46">
        <f t="shared" ref="M4:M6" si="2">IF($M$1=TRUE,SUMIFS(I:I,G:G,K4)-SUMIFS(H:H,G:G,K4),NA())</f>
        <v>361169042.69434357</v>
      </c>
      <c r="N4" s="27">
        <f t="shared" ref="N4:N6" si="3">IF($N$1=TRUE,M4/SUMIFS(H:H,G:G,K4),"")</f>
        <v>0.31275769848399815</v>
      </c>
      <c r="P4" t="s">
        <v>24</v>
      </c>
      <c r="Q4" t="s">
        <v>133</v>
      </c>
      <c r="R4" s="46">
        <v>83558200</v>
      </c>
      <c r="S4" s="54">
        <v>418</v>
      </c>
      <c r="U4">
        <f t="shared" ca="1" si="0"/>
        <v>40</v>
      </c>
      <c r="V4" t="str">
        <f ca="1"/>
        <v>Bajaj CT125</v>
      </c>
      <c r="W4" t="str">
        <f ca="1"/>
        <v>125cc</v>
      </c>
      <c r="X4">
        <f ca="1"/>
        <v>34561100</v>
      </c>
      <c r="Y4">
        <f ca="1"/>
        <v>509</v>
      </c>
      <c r="AA4" s="50" t="str">
        <f ca="1"/>
        <v>Bajaj CT125</v>
      </c>
      <c r="AB4" s="51">
        <f ca="1"/>
        <v>34561100</v>
      </c>
      <c r="AF4" s="29" t="s">
        <v>123</v>
      </c>
      <c r="AG4" s="46">
        <v>114500000</v>
      </c>
      <c r="AH4" s="46"/>
      <c r="AI4">
        <f t="shared" ref="AI4:AI19" ca="1" si="4">RANK(AK4,$AK$3:$AK$19)</f>
        <v>8</v>
      </c>
      <c r="AJ4" s="46" t="str">
        <f ca="1"/>
        <v>Cafe racer</v>
      </c>
      <c r="AK4" s="46">
        <f ca="1"/>
        <v>171473000</v>
      </c>
      <c r="AP4" s="29" t="s">
        <v>198</v>
      </c>
      <c r="AQ4" s="46">
        <v>1462521300</v>
      </c>
    </row>
    <row r="5" spans="1:43" ht="15" x14ac:dyDescent="0.3">
      <c r="A5" s="29">
        <v>4</v>
      </c>
      <c r="B5" s="46">
        <v>105095800</v>
      </c>
      <c r="D5" s="47" t="s">
        <v>214</v>
      </c>
      <c r="E5" s="52">
        <f>GETPIVOTDATA("Sum of Total",$D$1)</f>
        <v>4445561800</v>
      </c>
      <c r="G5" s="29" t="s">
        <v>213</v>
      </c>
      <c r="H5" s="46">
        <v>1095566549.0435483</v>
      </c>
      <c r="I5" s="46">
        <v>1424654100</v>
      </c>
      <c r="J5" s="46"/>
      <c r="K5" s="46" t="s">
        <v>212</v>
      </c>
      <c r="L5" s="46">
        <f t="shared" si="1"/>
        <v>1493211800</v>
      </c>
      <c r="M5" s="46">
        <f t="shared" si="2"/>
        <v>346357670.16687083</v>
      </c>
      <c r="N5" s="27">
        <f t="shared" si="3"/>
        <v>0.30200673403623435</v>
      </c>
      <c r="P5" t="s">
        <v>74</v>
      </c>
      <c r="Q5" t="s">
        <v>159</v>
      </c>
      <c r="R5" s="46">
        <v>134016000</v>
      </c>
      <c r="S5" s="54">
        <v>384</v>
      </c>
      <c r="U5">
        <f t="shared" ca="1" si="0"/>
        <v>21</v>
      </c>
      <c r="V5" t="str">
        <f ca="1"/>
        <v>Bajaj Dominar 400</v>
      </c>
      <c r="W5" t="str">
        <f ca="1"/>
        <v>373cc</v>
      </c>
      <c r="X5">
        <f ca="1"/>
        <v>83558200</v>
      </c>
      <c r="Y5">
        <f ca="1"/>
        <v>418</v>
      </c>
      <c r="AA5" s="50" t="str">
        <f ca="1"/>
        <v>Bajaj Dominar 400</v>
      </c>
      <c r="AB5" s="51">
        <f ca="1"/>
        <v>83558200</v>
      </c>
      <c r="AF5" s="29" t="s">
        <v>151</v>
      </c>
      <c r="AG5" s="46">
        <v>53425100</v>
      </c>
      <c r="AH5" s="46"/>
      <c r="AI5">
        <f t="shared" ca="1" si="4"/>
        <v>10</v>
      </c>
      <c r="AJ5" s="46" t="str">
        <f ca="1"/>
        <v>Classic</v>
      </c>
      <c r="AK5" s="46">
        <f ca="1"/>
        <v>114500000</v>
      </c>
    </row>
    <row r="6" spans="1:43" ht="15" x14ac:dyDescent="0.3">
      <c r="A6" s="29">
        <v>5</v>
      </c>
      <c r="B6" s="46">
        <v>171255800</v>
      </c>
      <c r="D6" s="47" t="s">
        <v>215</v>
      </c>
      <c r="E6" s="52">
        <f>GETPIVOTDATA("Sum of Total",$D$1)-GETPIVOTDATA("Sum of Mark up Rate",$D$1)</f>
        <v>1039323079.2022758</v>
      </c>
      <c r="K6" t="s">
        <v>213</v>
      </c>
      <c r="L6" s="46">
        <f t="shared" si="1"/>
        <v>1424654100</v>
      </c>
      <c r="M6" s="46">
        <f t="shared" si="2"/>
        <v>329087550.95645165</v>
      </c>
      <c r="N6" s="27">
        <f t="shared" si="3"/>
        <v>0.30038116008904409</v>
      </c>
      <c r="P6" t="s">
        <v>34</v>
      </c>
      <c r="Q6" t="s">
        <v>139</v>
      </c>
      <c r="R6" s="46">
        <v>136320000</v>
      </c>
      <c r="S6" s="54">
        <v>426</v>
      </c>
      <c r="U6">
        <f t="shared" ca="1" si="0"/>
        <v>11</v>
      </c>
      <c r="V6" t="str">
        <f ca="1"/>
        <v>Benelli 502C</v>
      </c>
      <c r="W6" t="str">
        <f ca="1"/>
        <v>500cc</v>
      </c>
      <c r="X6">
        <f ca="1"/>
        <v>134016000</v>
      </c>
      <c r="Y6">
        <f ca="1"/>
        <v>384</v>
      </c>
      <c r="AA6" s="50" t="str">
        <f ca="1"/>
        <v>Benelli 502C</v>
      </c>
      <c r="AB6" s="51">
        <f ca="1"/>
        <v>134016000</v>
      </c>
      <c r="AF6" s="29" t="s">
        <v>144</v>
      </c>
      <c r="AG6" s="46">
        <v>635461000</v>
      </c>
      <c r="AH6" s="46"/>
      <c r="AI6">
        <f t="shared" ca="1" si="4"/>
        <v>15</v>
      </c>
      <c r="AJ6" s="46" t="str">
        <f ca="1"/>
        <v>Commuter</v>
      </c>
      <c r="AK6" s="46">
        <f ca="1"/>
        <v>53425100</v>
      </c>
    </row>
    <row r="7" spans="1:43" x14ac:dyDescent="0.2">
      <c r="A7" s="29">
        <v>6</v>
      </c>
      <c r="B7" s="46">
        <v>110759200</v>
      </c>
      <c r="D7" s="47" t="s">
        <v>216</v>
      </c>
      <c r="E7" s="27">
        <f>E6/GETPIVOTDATA("Sum of Mark up Rate",$D$1)</f>
        <v>0.30512338223871505</v>
      </c>
      <c r="P7" t="s">
        <v>84</v>
      </c>
      <c r="Q7">
        <v>0</v>
      </c>
      <c r="R7" s="46">
        <v>225865000</v>
      </c>
      <c r="S7" s="54">
        <v>227</v>
      </c>
      <c r="U7">
        <f t="shared" ca="1" si="0"/>
        <v>10</v>
      </c>
      <c r="V7" t="str">
        <f ca="1"/>
        <v>BMW G 310 GS</v>
      </c>
      <c r="W7" t="str">
        <f ca="1"/>
        <v>313cc</v>
      </c>
      <c r="X7">
        <f ca="1"/>
        <v>136320000</v>
      </c>
      <c r="Y7">
        <f ca="1"/>
        <v>426</v>
      </c>
      <c r="AA7" s="50" t="str">
        <f ca="1"/>
        <v>BMW G 310 GS</v>
      </c>
      <c r="AB7" s="51">
        <f ca="1"/>
        <v>136320000</v>
      </c>
      <c r="AF7" s="29" t="s">
        <v>153</v>
      </c>
      <c r="AG7" s="46">
        <v>306517800</v>
      </c>
      <c r="AH7" s="46"/>
      <c r="AI7">
        <f t="shared" ca="1" si="4"/>
        <v>2</v>
      </c>
      <c r="AJ7" s="46" t="str">
        <f ca="1"/>
        <v>Cruiser</v>
      </c>
      <c r="AK7" s="46">
        <f ca="1"/>
        <v>635461000</v>
      </c>
    </row>
    <row r="8" spans="1:43" x14ac:dyDescent="0.2">
      <c r="A8" s="29">
        <v>7</v>
      </c>
      <c r="B8" s="46">
        <v>129450900</v>
      </c>
      <c r="P8" t="s">
        <v>47</v>
      </c>
      <c r="Q8" t="s">
        <v>145</v>
      </c>
      <c r="R8" s="46">
        <v>228850000</v>
      </c>
      <c r="S8" s="54">
        <v>575</v>
      </c>
      <c r="U8">
        <f t="shared" ca="1" si="0"/>
        <v>3</v>
      </c>
      <c r="V8" t="str">
        <f ca="1"/>
        <v>BMW R nineT</v>
      </c>
      <c r="W8">
        <f ca="1"/>
        <v>0</v>
      </c>
      <c r="X8">
        <f ca="1"/>
        <v>225865000</v>
      </c>
      <c r="Y8">
        <f ca="1"/>
        <v>227</v>
      </c>
      <c r="AA8" s="50" t="str">
        <f ca="1"/>
        <v>BMW R nineT</v>
      </c>
      <c r="AB8" s="51">
        <f ca="1"/>
        <v>225865000</v>
      </c>
      <c r="AF8" s="29" t="s">
        <v>163</v>
      </c>
      <c r="AG8" s="46">
        <v>543494000</v>
      </c>
      <c r="AH8" s="46"/>
      <c r="AI8">
        <f t="shared" ca="1" si="4"/>
        <v>7</v>
      </c>
      <c r="AJ8" s="46" t="str">
        <f ca="1"/>
        <v>Dual-sport</v>
      </c>
      <c r="AK8" s="46">
        <f ca="1"/>
        <v>306517800</v>
      </c>
    </row>
    <row r="9" spans="1:43" x14ac:dyDescent="0.2">
      <c r="A9" s="29">
        <v>8</v>
      </c>
      <c r="B9" s="46">
        <v>144301800</v>
      </c>
      <c r="P9" t="s">
        <v>18</v>
      </c>
      <c r="Q9" t="s">
        <v>115</v>
      </c>
      <c r="R9" s="46">
        <v>75440000</v>
      </c>
      <c r="S9" s="54">
        <v>230</v>
      </c>
      <c r="U9">
        <f t="shared" ca="1" si="0"/>
        <v>2</v>
      </c>
      <c r="V9" t="str">
        <f ca="1"/>
        <v>Bristol Bobber 650</v>
      </c>
      <c r="W9" t="str">
        <f ca="1"/>
        <v>649cc</v>
      </c>
      <c r="X9">
        <f ca="1"/>
        <v>228850000</v>
      </c>
      <c r="Y9">
        <f ca="1"/>
        <v>575</v>
      </c>
      <c r="AA9" s="50" t="str">
        <f ca="1"/>
        <v>Bristol Bobber 650</v>
      </c>
      <c r="AB9" s="51">
        <f ca="1"/>
        <v>228850000</v>
      </c>
      <c r="AF9" s="29" t="s">
        <v>117</v>
      </c>
      <c r="AG9" s="46">
        <v>552254000</v>
      </c>
      <c r="AH9" s="46"/>
      <c r="AI9">
        <f t="shared" ca="1" si="4"/>
        <v>4</v>
      </c>
      <c r="AJ9" s="46" t="str">
        <f ca="1"/>
        <v>Heritage</v>
      </c>
      <c r="AK9" s="46">
        <f ca="1"/>
        <v>543494000</v>
      </c>
    </row>
    <row r="10" spans="1:43" x14ac:dyDescent="0.2">
      <c r="A10" s="29">
        <v>9</v>
      </c>
      <c r="B10" s="46">
        <v>121906400</v>
      </c>
      <c r="P10" t="s">
        <v>16</v>
      </c>
      <c r="Q10" t="s">
        <v>127</v>
      </c>
      <c r="R10" s="46">
        <v>70620000</v>
      </c>
      <c r="S10" s="54">
        <v>428</v>
      </c>
      <c r="U10">
        <f t="shared" ca="1" si="0"/>
        <v>24</v>
      </c>
      <c r="V10" t="str">
        <f ca="1"/>
        <v>Bristol Veloce 500</v>
      </c>
      <c r="W10" t="str">
        <f ca="1"/>
        <v>471cc</v>
      </c>
      <c r="X10">
        <f ca="1"/>
        <v>75440000</v>
      </c>
      <c r="Y10">
        <f ca="1"/>
        <v>230</v>
      </c>
      <c r="AA10" s="50" t="str">
        <f ca="1"/>
        <v>Bristol Veloce 500</v>
      </c>
      <c r="AB10" s="51">
        <f ca="1"/>
        <v>75440000</v>
      </c>
      <c r="AF10" s="29" t="s">
        <v>131</v>
      </c>
      <c r="AG10" s="46">
        <v>63700000</v>
      </c>
      <c r="AH10" s="46"/>
      <c r="AI10">
        <f t="shared" ca="1" si="4"/>
        <v>3</v>
      </c>
      <c r="AJ10" s="46" t="str">
        <f ca="1"/>
        <v>Naked bike</v>
      </c>
      <c r="AK10" s="46">
        <f ca="1"/>
        <v>552254000</v>
      </c>
    </row>
    <row r="11" spans="1:43" x14ac:dyDescent="0.2">
      <c r="A11" s="29">
        <v>10</v>
      </c>
      <c r="B11" s="46">
        <v>128942300</v>
      </c>
      <c r="P11" t="s">
        <v>90</v>
      </c>
      <c r="Q11" t="s">
        <v>127</v>
      </c>
      <c r="R11" s="46">
        <v>81840000</v>
      </c>
      <c r="S11" s="54">
        <v>496</v>
      </c>
      <c r="U11">
        <f t="shared" ca="1" si="0"/>
        <v>29</v>
      </c>
      <c r="V11" t="str">
        <f ca="1"/>
        <v>CFMoto 300NK</v>
      </c>
      <c r="W11" t="str">
        <f ca="1"/>
        <v>292cc</v>
      </c>
      <c r="X11">
        <f ca="1"/>
        <v>70620000</v>
      </c>
      <c r="Y11">
        <f ca="1"/>
        <v>428</v>
      </c>
      <c r="AA11" s="50" t="str">
        <f ca="1"/>
        <v>CFMoto 300NK</v>
      </c>
      <c r="AB11" s="51">
        <f ca="1"/>
        <v>70620000</v>
      </c>
      <c r="AF11" s="29" t="s">
        <v>134</v>
      </c>
      <c r="AG11" s="46">
        <v>753773100</v>
      </c>
      <c r="AH11" s="46"/>
      <c r="AI11">
        <f t="shared" ca="1" si="4"/>
        <v>14</v>
      </c>
      <c r="AJ11" s="46" t="str">
        <f ca="1"/>
        <v>Retro</v>
      </c>
      <c r="AK11" s="46">
        <f ca="1"/>
        <v>63700000</v>
      </c>
    </row>
    <row r="12" spans="1:43" x14ac:dyDescent="0.2">
      <c r="A12" s="29">
        <v>11</v>
      </c>
      <c r="B12" s="46">
        <v>100593700</v>
      </c>
      <c r="P12" t="s">
        <v>53</v>
      </c>
      <c r="Q12" t="s">
        <v>145</v>
      </c>
      <c r="R12" s="46">
        <v>147315000</v>
      </c>
      <c r="S12" s="54">
        <v>427</v>
      </c>
      <c r="U12">
        <f t="shared" ca="1" si="0"/>
        <v>23</v>
      </c>
      <c r="V12" t="str">
        <f ca="1"/>
        <v>CFMoto 300SR</v>
      </c>
      <c r="W12" t="str">
        <f ca="1"/>
        <v>292cc</v>
      </c>
      <c r="X12">
        <f ca="1"/>
        <v>81840000</v>
      </c>
      <c r="Y12">
        <f ca="1"/>
        <v>496</v>
      </c>
      <c r="AA12" s="50" t="str">
        <f ca="1"/>
        <v>CFMoto 300SR</v>
      </c>
      <c r="AB12" s="51">
        <f ca="1"/>
        <v>81840000</v>
      </c>
      <c r="AF12" s="29" t="s">
        <v>142</v>
      </c>
      <c r="AG12" s="46">
        <v>89680000</v>
      </c>
      <c r="AH12" s="46"/>
      <c r="AI12">
        <f t="shared" ca="1" si="4"/>
        <v>1</v>
      </c>
      <c r="AJ12" s="46" t="str">
        <f ca="1"/>
        <v>Scooter</v>
      </c>
      <c r="AK12" s="46">
        <f ca="1"/>
        <v>753773100</v>
      </c>
    </row>
    <row r="13" spans="1:43" x14ac:dyDescent="0.2">
      <c r="A13" s="29">
        <v>12</v>
      </c>
      <c r="B13" s="46">
        <v>158048600</v>
      </c>
      <c r="P13" t="s">
        <v>66</v>
      </c>
      <c r="Q13" t="s">
        <v>156</v>
      </c>
      <c r="R13" s="46">
        <v>102295000</v>
      </c>
      <c r="S13" s="54">
        <v>205</v>
      </c>
      <c r="U13">
        <f t="shared" ca="1" si="0"/>
        <v>7</v>
      </c>
      <c r="V13" t="str">
        <f ca="1"/>
        <v>CFMoto 650MT</v>
      </c>
      <c r="W13" t="str">
        <f ca="1"/>
        <v>649cc</v>
      </c>
      <c r="X13">
        <f ca="1"/>
        <v>147315000</v>
      </c>
      <c r="Y13">
        <f ca="1"/>
        <v>427</v>
      </c>
      <c r="AF13" s="29" t="s">
        <v>112</v>
      </c>
      <c r="AG13" s="46">
        <v>372471000</v>
      </c>
      <c r="AH13" s="46"/>
      <c r="AI13">
        <f t="shared" ca="1" si="4"/>
        <v>12</v>
      </c>
      <c r="AJ13" s="46" t="str">
        <f ca="1"/>
        <v>Scrambler</v>
      </c>
      <c r="AK13" s="46">
        <f ca="1"/>
        <v>89680000</v>
      </c>
    </row>
    <row r="14" spans="1:43" x14ac:dyDescent="0.2">
      <c r="A14" s="29">
        <v>13</v>
      </c>
      <c r="B14" s="46">
        <v>115194100</v>
      </c>
      <c r="P14" t="s">
        <v>28</v>
      </c>
      <c r="Q14" t="s">
        <v>136</v>
      </c>
      <c r="R14" s="46">
        <v>73875200</v>
      </c>
      <c r="S14" s="54">
        <v>448</v>
      </c>
      <c r="U14">
        <f t="shared" ca="1" si="0"/>
        <v>17</v>
      </c>
      <c r="V14" t="str">
        <f ca="1"/>
        <v>Harley-Davidson Street 750</v>
      </c>
      <c r="W14" t="str">
        <f ca="1"/>
        <v>749cc</v>
      </c>
      <c r="X14">
        <f ca="1"/>
        <v>102295000</v>
      </c>
      <c r="Y14">
        <f ca="1"/>
        <v>205</v>
      </c>
      <c r="AF14" s="29" t="s">
        <v>132</v>
      </c>
      <c r="AG14" s="46">
        <v>83558200</v>
      </c>
      <c r="AH14" s="46"/>
      <c r="AI14">
        <f t="shared" ca="1" si="4"/>
        <v>6</v>
      </c>
      <c r="AJ14" s="46" t="str">
        <f ca="1"/>
        <v>Sport</v>
      </c>
      <c r="AK14" s="46">
        <f ca="1"/>
        <v>372471000</v>
      </c>
    </row>
    <row r="15" spans="1:43" x14ac:dyDescent="0.2">
      <c r="A15" s="29">
        <v>14</v>
      </c>
      <c r="B15" s="46">
        <v>199164800</v>
      </c>
      <c r="P15" t="s">
        <v>6</v>
      </c>
      <c r="Q15" t="s">
        <v>115</v>
      </c>
      <c r="R15" s="46">
        <v>143541000</v>
      </c>
      <c r="S15" s="54">
        <v>369</v>
      </c>
      <c r="U15">
        <f t="shared" ca="1" si="0"/>
        <v>26</v>
      </c>
      <c r="V15" t="str">
        <f ca="1"/>
        <v>Honda ADV 160</v>
      </c>
      <c r="W15" t="str">
        <f ca="1"/>
        <v>157cc</v>
      </c>
      <c r="X15">
        <f ca="1"/>
        <v>73875200</v>
      </c>
      <c r="Y15">
        <f ca="1"/>
        <v>448</v>
      </c>
      <c r="AF15" s="29" t="s">
        <v>146</v>
      </c>
      <c r="AG15" s="46">
        <v>27215500</v>
      </c>
      <c r="AH15" s="46"/>
      <c r="AI15">
        <f t="shared" ca="1" si="4"/>
        <v>13</v>
      </c>
      <c r="AJ15" s="46" t="str">
        <f ca="1"/>
        <v>Sport touring</v>
      </c>
      <c r="AK15" s="46">
        <f ca="1"/>
        <v>83558200</v>
      </c>
    </row>
    <row r="16" spans="1:43" x14ac:dyDescent="0.2">
      <c r="A16" s="29">
        <v>15</v>
      </c>
      <c r="B16" s="46">
        <v>153205700</v>
      </c>
      <c r="P16" t="s">
        <v>55</v>
      </c>
      <c r="Q16" t="s">
        <v>150</v>
      </c>
      <c r="R16" s="46">
        <v>23703700</v>
      </c>
      <c r="S16" s="54">
        <v>293</v>
      </c>
      <c r="U16">
        <f t="shared" ca="1" si="0"/>
        <v>9</v>
      </c>
      <c r="V16" t="str">
        <f ca="1"/>
        <v>Honda CBR500R</v>
      </c>
      <c r="W16" t="str">
        <f ca="1"/>
        <v>471cc</v>
      </c>
      <c r="X16">
        <f ca="1"/>
        <v>143541000</v>
      </c>
      <c r="Y16">
        <f ca="1"/>
        <v>369</v>
      </c>
      <c r="AF16" s="29" t="s">
        <v>160</v>
      </c>
      <c r="AG16" s="46">
        <v>48151800</v>
      </c>
      <c r="AH16" s="46"/>
      <c r="AI16">
        <f t="shared" ca="1" si="4"/>
        <v>17</v>
      </c>
      <c r="AJ16" s="46" t="str">
        <f ca="1"/>
        <v>Standard</v>
      </c>
      <c r="AK16" s="46">
        <f ca="1"/>
        <v>27215500</v>
      </c>
    </row>
    <row r="17" spans="1:37" x14ac:dyDescent="0.2">
      <c r="A17" s="29">
        <v>16</v>
      </c>
      <c r="B17" s="46">
        <v>75438800</v>
      </c>
      <c r="P17" t="s">
        <v>61</v>
      </c>
      <c r="Q17" t="s">
        <v>154</v>
      </c>
      <c r="R17" s="46">
        <v>83190800</v>
      </c>
      <c r="S17" s="54">
        <v>292</v>
      </c>
      <c r="U17">
        <f t="shared" ca="1" si="0"/>
        <v>47</v>
      </c>
      <c r="V17" t="str">
        <f ca="1"/>
        <v>Honda Click 125i</v>
      </c>
      <c r="W17" t="str">
        <f ca="1"/>
        <v>125cc</v>
      </c>
      <c r="X17">
        <f ca="1"/>
        <v>23703700</v>
      </c>
      <c r="Y17">
        <f ca="1"/>
        <v>293</v>
      </c>
      <c r="AF17" s="29" t="s">
        <v>149</v>
      </c>
      <c r="AG17" s="46">
        <v>147315000</v>
      </c>
      <c r="AH17" s="46"/>
      <c r="AI17">
        <f t="shared" ca="1" si="4"/>
        <v>16</v>
      </c>
      <c r="AJ17" s="46" t="str">
        <f ca="1"/>
        <v>Street</v>
      </c>
      <c r="AK17" s="46">
        <f ca="1"/>
        <v>48151800</v>
      </c>
    </row>
    <row r="18" spans="1:37" x14ac:dyDescent="0.2">
      <c r="A18" s="29">
        <v>17</v>
      </c>
      <c r="B18" s="46">
        <v>182334200</v>
      </c>
      <c r="P18" t="s">
        <v>86</v>
      </c>
      <c r="Q18" t="s">
        <v>166</v>
      </c>
      <c r="R18" s="46">
        <v>170300000</v>
      </c>
      <c r="S18" s="54">
        <v>262</v>
      </c>
      <c r="U18">
        <f t="shared" ca="1" si="0"/>
        <v>22</v>
      </c>
      <c r="V18" t="str">
        <f ca="1"/>
        <v>Honda CRF300L</v>
      </c>
      <c r="W18" t="str">
        <f ca="1"/>
        <v>286cc</v>
      </c>
      <c r="X18">
        <f ca="1"/>
        <v>83190800</v>
      </c>
      <c r="Y18">
        <f ca="1"/>
        <v>292</v>
      </c>
      <c r="AF18" s="29" t="s">
        <v>121</v>
      </c>
      <c r="AG18" s="46">
        <v>91751600</v>
      </c>
      <c r="AH18" s="46"/>
      <c r="AI18">
        <f t="shared" ca="1" si="4"/>
        <v>9</v>
      </c>
      <c r="AJ18" s="46" t="str">
        <f ca="1"/>
        <v>Touring</v>
      </c>
      <c r="AK18" s="46">
        <f ca="1"/>
        <v>147315000</v>
      </c>
    </row>
    <row r="19" spans="1:37" x14ac:dyDescent="0.2">
      <c r="A19" s="29">
        <v>18</v>
      </c>
      <c r="B19" s="46">
        <v>141175700</v>
      </c>
      <c r="P19" t="s">
        <v>38</v>
      </c>
      <c r="Q19" t="s">
        <v>133</v>
      </c>
      <c r="R19" s="46">
        <v>89680000</v>
      </c>
      <c r="S19" s="54">
        <v>304</v>
      </c>
      <c r="U19">
        <f t="shared" ca="1" si="0"/>
        <v>5</v>
      </c>
      <c r="V19" t="str">
        <f ca="1"/>
        <v>Honda Rebel 1100</v>
      </c>
      <c r="W19" t="str">
        <f ca="1"/>
        <v>1084cc</v>
      </c>
      <c r="X19">
        <f ca="1"/>
        <v>170300000</v>
      </c>
      <c r="Y19">
        <f ca="1"/>
        <v>262</v>
      </c>
      <c r="AI19">
        <f t="shared" ca="1" si="4"/>
        <v>11</v>
      </c>
      <c r="AJ19" t="str">
        <f ca="1"/>
        <v>Underbone</v>
      </c>
      <c r="AK19" s="46">
        <f ca="1"/>
        <v>91751600</v>
      </c>
    </row>
    <row r="20" spans="1:37" x14ac:dyDescent="0.2">
      <c r="A20" s="29">
        <v>19</v>
      </c>
      <c r="B20" s="46">
        <v>89101900</v>
      </c>
      <c r="P20" t="s">
        <v>92</v>
      </c>
      <c r="Q20" t="s">
        <v>168</v>
      </c>
      <c r="R20" s="46">
        <v>112999000</v>
      </c>
      <c r="S20" s="54">
        <v>391</v>
      </c>
      <c r="U20">
        <f t="shared" ca="1" si="0"/>
        <v>19</v>
      </c>
      <c r="V20" t="str">
        <f ca="1"/>
        <v>Husqvarna Svartpilen 401</v>
      </c>
      <c r="W20" t="str">
        <f ca="1"/>
        <v>373cc</v>
      </c>
      <c r="X20">
        <f ca="1"/>
        <v>89680000</v>
      </c>
      <c r="Y20">
        <f ca="1"/>
        <v>304</v>
      </c>
    </row>
    <row r="21" spans="1:37" x14ac:dyDescent="0.2">
      <c r="A21" s="29">
        <v>20</v>
      </c>
      <c r="B21" s="46">
        <v>71876800</v>
      </c>
      <c r="P21" t="s">
        <v>82</v>
      </c>
      <c r="Q21" t="s">
        <v>162</v>
      </c>
      <c r="R21" s="46">
        <v>75023000</v>
      </c>
      <c r="S21" s="54">
        <v>377</v>
      </c>
      <c r="U21">
        <f t="shared" ca="1" si="0"/>
        <v>15</v>
      </c>
      <c r="V21" t="str">
        <f ca="1"/>
        <v>Italjet Dragster 200</v>
      </c>
      <c r="W21" t="str">
        <f ca="1"/>
        <v>181cc</v>
      </c>
      <c r="X21">
        <f ca="1"/>
        <v>112999000</v>
      </c>
      <c r="Y21">
        <f ca="1"/>
        <v>391</v>
      </c>
    </row>
    <row r="22" spans="1:37" x14ac:dyDescent="0.2">
      <c r="A22" s="29">
        <v>21</v>
      </c>
      <c r="B22" s="46">
        <v>147760500</v>
      </c>
      <c r="P22" t="s">
        <v>10</v>
      </c>
      <c r="Q22" t="s">
        <v>120</v>
      </c>
      <c r="R22" s="46">
        <v>86700000</v>
      </c>
      <c r="S22" s="54">
        <v>255</v>
      </c>
      <c r="U22">
        <f t="shared" ca="1" si="0"/>
        <v>25</v>
      </c>
      <c r="V22" t="str">
        <f ca="1"/>
        <v>Kawasaki KLX 230</v>
      </c>
      <c r="W22" t="str">
        <f ca="1"/>
        <v>233cc</v>
      </c>
      <c r="X22">
        <f ca="1"/>
        <v>75023000</v>
      </c>
      <c r="Y22">
        <f ca="1"/>
        <v>377</v>
      </c>
    </row>
    <row r="23" spans="1:37" x14ac:dyDescent="0.2">
      <c r="A23" s="29">
        <v>22</v>
      </c>
      <c r="B23" s="46">
        <v>170132200</v>
      </c>
      <c r="P23" t="s">
        <v>44</v>
      </c>
      <c r="Q23" t="s">
        <v>120</v>
      </c>
      <c r="R23" s="46">
        <v>129421000</v>
      </c>
      <c r="S23" s="54">
        <v>391</v>
      </c>
      <c r="U23">
        <f t="shared" ca="1" si="0"/>
        <v>20</v>
      </c>
      <c r="V23" t="str">
        <f ca="1"/>
        <v>Kawasaki Ninja 400</v>
      </c>
      <c r="W23" t="str">
        <f ca="1"/>
        <v>399cc</v>
      </c>
      <c r="X23">
        <f ca="1"/>
        <v>86700000</v>
      </c>
      <c r="Y23">
        <f ca="1"/>
        <v>255</v>
      </c>
    </row>
    <row r="24" spans="1:37" x14ac:dyDescent="0.2">
      <c r="A24" s="29">
        <v>23</v>
      </c>
      <c r="B24" s="46">
        <v>138171000</v>
      </c>
      <c r="P24" t="s">
        <v>49</v>
      </c>
      <c r="Q24" t="s">
        <v>147</v>
      </c>
      <c r="R24" s="46">
        <v>27215500</v>
      </c>
      <c r="S24" s="54">
        <v>395</v>
      </c>
      <c r="U24">
        <f t="shared" ca="1" si="0"/>
        <v>12</v>
      </c>
      <c r="V24" t="str">
        <f ca="1"/>
        <v>Kawasaki Z400</v>
      </c>
      <c r="W24" t="str">
        <f ca="1"/>
        <v>399cc</v>
      </c>
      <c r="X24">
        <f ca="1"/>
        <v>129421000</v>
      </c>
      <c r="Y24">
        <f ca="1"/>
        <v>391</v>
      </c>
    </row>
    <row r="25" spans="1:37" x14ac:dyDescent="0.2">
      <c r="A25" s="29">
        <v>24</v>
      </c>
      <c r="B25" s="46">
        <v>149633300</v>
      </c>
      <c r="P25" t="s">
        <v>88</v>
      </c>
      <c r="Q25" t="s">
        <v>167</v>
      </c>
      <c r="R25" s="46">
        <v>209051000</v>
      </c>
      <c r="S25" s="54">
        <v>349</v>
      </c>
      <c r="U25">
        <f t="shared" ca="1" si="0"/>
        <v>46</v>
      </c>
      <c r="V25" t="str">
        <f ca="1"/>
        <v>Keeway RKS 150 Sport</v>
      </c>
      <c r="W25" t="str">
        <f ca="1"/>
        <v>149cc</v>
      </c>
      <c r="X25">
        <f ca="1"/>
        <v>27215500</v>
      </c>
      <c r="Y25">
        <f ca="1"/>
        <v>395</v>
      </c>
    </row>
    <row r="26" spans="1:37" x14ac:dyDescent="0.2">
      <c r="A26" s="29">
        <v>25</v>
      </c>
      <c r="B26" s="46">
        <v>184962300</v>
      </c>
      <c r="P26" t="s">
        <v>20</v>
      </c>
      <c r="Q26" t="s">
        <v>130</v>
      </c>
      <c r="R26" s="46">
        <v>21716000</v>
      </c>
      <c r="S26" s="54">
        <v>122</v>
      </c>
      <c r="U26">
        <f t="shared" ca="1" si="0"/>
        <v>4</v>
      </c>
      <c r="V26" t="str">
        <f ca="1"/>
        <v>KTM 790 Duke</v>
      </c>
      <c r="W26" t="str">
        <f ca="1"/>
        <v>799cc</v>
      </c>
      <c r="X26">
        <f ca="1"/>
        <v>209051000</v>
      </c>
      <c r="Y26">
        <f ca="1"/>
        <v>349</v>
      </c>
    </row>
    <row r="27" spans="1:37" x14ac:dyDescent="0.2">
      <c r="A27" s="29">
        <v>26</v>
      </c>
      <c r="B27" s="46">
        <v>177020800</v>
      </c>
      <c r="P27" t="s">
        <v>32</v>
      </c>
      <c r="Q27" t="s">
        <v>130</v>
      </c>
      <c r="R27" s="46">
        <v>60390000</v>
      </c>
      <c r="S27" s="54">
        <v>305</v>
      </c>
      <c r="U27">
        <f t="shared" ca="1" si="0"/>
        <v>48</v>
      </c>
      <c r="V27" t="str">
        <f ca="1"/>
        <v>KTM Duke 200</v>
      </c>
      <c r="W27" t="str">
        <f ca="1"/>
        <v>199cc</v>
      </c>
      <c r="X27">
        <f ca="1"/>
        <v>21716000</v>
      </c>
      <c r="Y27">
        <f ca="1"/>
        <v>122</v>
      </c>
    </row>
    <row r="28" spans="1:37" x14ac:dyDescent="0.2">
      <c r="A28" s="29">
        <v>27</v>
      </c>
      <c r="B28" s="46">
        <v>154963200</v>
      </c>
      <c r="P28" t="s">
        <v>99</v>
      </c>
      <c r="Q28" t="s">
        <v>171</v>
      </c>
      <c r="R28" s="46">
        <v>317629000</v>
      </c>
      <c r="S28" s="54">
        <v>461</v>
      </c>
      <c r="U28">
        <f t="shared" ca="1" si="0"/>
        <v>32</v>
      </c>
      <c r="V28" t="str">
        <f ca="1"/>
        <v>KTM RC 200</v>
      </c>
      <c r="W28" t="str">
        <f ca="1"/>
        <v>199cc</v>
      </c>
      <c r="X28">
        <f ca="1"/>
        <v>60390000</v>
      </c>
      <c r="Y28">
        <f ca="1"/>
        <v>305</v>
      </c>
    </row>
    <row r="29" spans="1:37" x14ac:dyDescent="0.2">
      <c r="A29" s="29">
        <v>28</v>
      </c>
      <c r="B29" s="46">
        <v>152515700</v>
      </c>
      <c r="P29" t="s">
        <v>76</v>
      </c>
      <c r="Q29" t="s">
        <v>145</v>
      </c>
      <c r="R29" s="46">
        <v>109593000</v>
      </c>
      <c r="S29" s="54">
        <v>297</v>
      </c>
      <c r="U29">
        <f t="shared" ca="1" si="0"/>
        <v>1</v>
      </c>
      <c r="V29" t="str">
        <f ca="1"/>
        <v>Moto Guzzi V7 Stone</v>
      </c>
      <c r="W29" t="str">
        <f ca="1"/>
        <v>853cc</v>
      </c>
      <c r="X29">
        <f ca="1"/>
        <v>317629000</v>
      </c>
      <c r="Y29">
        <f ca="1"/>
        <v>461</v>
      </c>
    </row>
    <row r="30" spans="1:37" x14ac:dyDescent="0.2">
      <c r="A30" s="29">
        <v>29</v>
      </c>
      <c r="B30" s="46">
        <v>145642200</v>
      </c>
      <c r="P30" t="s">
        <v>51</v>
      </c>
      <c r="Q30" t="s">
        <v>148</v>
      </c>
      <c r="R30" s="46">
        <v>27851700</v>
      </c>
      <c r="S30" s="54">
        <v>353</v>
      </c>
      <c r="U30">
        <f t="shared" ca="1" si="0"/>
        <v>16</v>
      </c>
      <c r="V30" t="str">
        <f ca="1"/>
        <v>Moto Morini X-Cape 650</v>
      </c>
      <c r="W30" t="str">
        <f ca="1"/>
        <v>649cc</v>
      </c>
      <c r="X30">
        <f ca="1"/>
        <v>109593000</v>
      </c>
      <c r="Y30">
        <f ca="1"/>
        <v>297</v>
      </c>
    </row>
    <row r="31" spans="1:37" x14ac:dyDescent="0.2">
      <c r="A31" s="29">
        <v>30</v>
      </c>
      <c r="B31" s="46">
        <v>158382600</v>
      </c>
      <c r="P31" t="s">
        <v>14</v>
      </c>
      <c r="Q31" t="s">
        <v>125</v>
      </c>
      <c r="R31" s="46">
        <v>114500000</v>
      </c>
      <c r="S31" s="54">
        <v>458</v>
      </c>
      <c r="U31">
        <f t="shared" ca="1" si="0"/>
        <v>45</v>
      </c>
      <c r="V31" t="str">
        <f ca="1"/>
        <v>Motorstar Xplorer 250R</v>
      </c>
      <c r="W31" t="str">
        <f ca="1"/>
        <v>223cc</v>
      </c>
      <c r="X31">
        <f ca="1"/>
        <v>27851700</v>
      </c>
      <c r="Y31">
        <f ca="1"/>
        <v>353</v>
      </c>
    </row>
    <row r="32" spans="1:37" x14ac:dyDescent="0.2">
      <c r="A32" s="29">
        <v>31</v>
      </c>
      <c r="B32" s="46">
        <v>147250600</v>
      </c>
      <c r="P32" t="s">
        <v>63</v>
      </c>
      <c r="Q32" t="s">
        <v>150</v>
      </c>
      <c r="R32" s="46">
        <v>18864000</v>
      </c>
      <c r="S32" s="54">
        <v>393</v>
      </c>
      <c r="U32">
        <f t="shared" ca="1" si="0"/>
        <v>14</v>
      </c>
      <c r="V32" t="str">
        <f ca="1"/>
        <v>Royal Enfield Classic 350</v>
      </c>
      <c r="W32" t="str">
        <f ca="1"/>
        <v>349cc</v>
      </c>
      <c r="X32">
        <f ca="1"/>
        <v>114500000</v>
      </c>
      <c r="Y32">
        <f ca="1"/>
        <v>458</v>
      </c>
    </row>
    <row r="33" spans="16:25" x14ac:dyDescent="0.2">
      <c r="P33" t="s">
        <v>30</v>
      </c>
      <c r="Q33" t="s">
        <v>137</v>
      </c>
      <c r="R33" s="46">
        <v>33717800</v>
      </c>
      <c r="S33" s="54">
        <v>422</v>
      </c>
      <c r="U33">
        <f t="shared" ca="1" si="0"/>
        <v>49</v>
      </c>
      <c r="V33" t="str">
        <f ca="1"/>
        <v>Rusi Flash 125</v>
      </c>
      <c r="W33" t="str">
        <f ca="1"/>
        <v>125cc</v>
      </c>
      <c r="X33">
        <f ca="1"/>
        <v>18864000</v>
      </c>
      <c r="Y33">
        <f ca="1"/>
        <v>393</v>
      </c>
    </row>
    <row r="34" spans="16:25" x14ac:dyDescent="0.2">
      <c r="P34" t="s">
        <v>96</v>
      </c>
      <c r="Q34" t="s">
        <v>137</v>
      </c>
      <c r="R34" s="46">
        <v>33654400</v>
      </c>
      <c r="S34" s="54">
        <v>416</v>
      </c>
      <c r="U34">
        <f t="shared" ca="1" si="0"/>
        <v>41</v>
      </c>
      <c r="V34" t="str">
        <f ca="1"/>
        <v>Suzuki Avenis 125</v>
      </c>
      <c r="W34" t="str">
        <f ca="1"/>
        <v>124cc</v>
      </c>
      <c r="X34">
        <f ca="1"/>
        <v>33717800</v>
      </c>
      <c r="Y34">
        <f ca="1"/>
        <v>422</v>
      </c>
    </row>
    <row r="35" spans="16:25" x14ac:dyDescent="0.2">
      <c r="P35" t="s">
        <v>42</v>
      </c>
      <c r="Q35" t="s">
        <v>143</v>
      </c>
      <c r="R35" s="46">
        <v>37125000</v>
      </c>
      <c r="S35" s="54">
        <v>297</v>
      </c>
      <c r="U35">
        <f t="shared" ref="U35:U52" ca="1" si="5">RANK(X35,$X$3:$X$52)</f>
        <v>42</v>
      </c>
      <c r="V35" t="str">
        <f ca="1"/>
        <v>Suzuki Burgman Street 125</v>
      </c>
      <c r="W35" t="str">
        <f ca="1"/>
        <v>124cc</v>
      </c>
      <c r="X35">
        <f ca="1"/>
        <v>33654400</v>
      </c>
      <c r="Y35">
        <f ca="1"/>
        <v>416</v>
      </c>
    </row>
    <row r="36" spans="16:25" x14ac:dyDescent="0.2">
      <c r="P36" t="s">
        <v>12</v>
      </c>
      <c r="Q36" t="s">
        <v>122</v>
      </c>
      <c r="R36" s="46">
        <v>38368000</v>
      </c>
      <c r="S36" s="54">
        <v>320</v>
      </c>
      <c r="U36">
        <f t="shared" ca="1" si="5"/>
        <v>39</v>
      </c>
      <c r="V36" t="str">
        <f ca="1"/>
        <v>Suzuki GSX-S150</v>
      </c>
      <c r="W36" t="str">
        <f ca="1"/>
        <v>147cc</v>
      </c>
      <c r="X36">
        <f ca="1"/>
        <v>37125000</v>
      </c>
      <c r="Y36">
        <f ca="1"/>
        <v>297</v>
      </c>
    </row>
    <row r="37" spans="16:25" x14ac:dyDescent="0.2">
      <c r="P37" t="s">
        <v>101</v>
      </c>
      <c r="Q37" t="s">
        <v>122</v>
      </c>
      <c r="R37" s="46">
        <v>13851000</v>
      </c>
      <c r="S37" s="54">
        <v>190</v>
      </c>
      <c r="U37">
        <f t="shared" ca="1" si="5"/>
        <v>38</v>
      </c>
      <c r="V37" t="str">
        <f ca="1"/>
        <v>Suzuki Raider R150 Fi</v>
      </c>
      <c r="W37" t="str">
        <f ca="1"/>
        <v>150cc</v>
      </c>
      <c r="X37">
        <f ca="1"/>
        <v>38368000</v>
      </c>
      <c r="Y37">
        <f ca="1"/>
        <v>320</v>
      </c>
    </row>
    <row r="38" spans="16:25" x14ac:dyDescent="0.2">
      <c r="P38" t="s">
        <v>64</v>
      </c>
      <c r="Q38" t="s">
        <v>147</v>
      </c>
      <c r="R38" s="46">
        <v>33408000</v>
      </c>
      <c r="S38" s="54">
        <v>261</v>
      </c>
      <c r="U38">
        <f t="shared" ca="1" si="5"/>
        <v>50</v>
      </c>
      <c r="V38" t="str">
        <f ca="1"/>
        <v>SYM Husky 150</v>
      </c>
      <c r="W38" t="str">
        <f ca="1"/>
        <v>150cc</v>
      </c>
      <c r="X38">
        <f ca="1"/>
        <v>13851000</v>
      </c>
      <c r="Y38">
        <f ca="1"/>
        <v>190</v>
      </c>
    </row>
    <row r="39" spans="16:25" x14ac:dyDescent="0.2">
      <c r="P39" t="s">
        <v>36</v>
      </c>
      <c r="Q39" t="s">
        <v>141</v>
      </c>
      <c r="R39" s="46">
        <v>28251000</v>
      </c>
      <c r="S39" s="54">
        <v>219</v>
      </c>
      <c r="U39">
        <f t="shared" ca="1" si="5"/>
        <v>43</v>
      </c>
      <c r="V39" t="str">
        <f ca="1"/>
        <v>SYM Jet X 150</v>
      </c>
      <c r="W39" t="str">
        <f ca="1"/>
        <v>149cc</v>
      </c>
      <c r="X39">
        <f ca="1"/>
        <v>33408000</v>
      </c>
      <c r="Y39">
        <f ca="1"/>
        <v>261</v>
      </c>
    </row>
    <row r="40" spans="16:25" x14ac:dyDescent="0.2">
      <c r="P40" t="s">
        <v>80</v>
      </c>
      <c r="Q40" t="s">
        <v>161</v>
      </c>
      <c r="R40" s="46">
        <v>144474000</v>
      </c>
      <c r="S40" s="54">
        <v>363</v>
      </c>
      <c r="U40">
        <f t="shared" ca="1" si="5"/>
        <v>44</v>
      </c>
      <c r="V40" t="str">
        <f ca="1"/>
        <v>TVS Apache RTR 200 4V</v>
      </c>
      <c r="W40" t="str">
        <f ca="1"/>
        <v>197cc</v>
      </c>
      <c r="X40">
        <f ca="1"/>
        <v>28251000</v>
      </c>
      <c r="Y40">
        <f ca="1"/>
        <v>219</v>
      </c>
    </row>
    <row r="41" spans="16:25" x14ac:dyDescent="0.2">
      <c r="P41" t="s">
        <v>40</v>
      </c>
      <c r="Q41" t="s">
        <v>122</v>
      </c>
      <c r="R41" s="46">
        <v>72660000</v>
      </c>
      <c r="S41" s="54">
        <v>346</v>
      </c>
      <c r="U41">
        <f t="shared" ca="1" si="5"/>
        <v>8</v>
      </c>
      <c r="V41" t="str">
        <f ca="1"/>
        <v>Vespa GTS Super 300</v>
      </c>
      <c r="W41" t="str">
        <f ca="1"/>
        <v>278cc</v>
      </c>
      <c r="X41">
        <f ca="1"/>
        <v>144474000</v>
      </c>
      <c r="Y41">
        <f ca="1"/>
        <v>363</v>
      </c>
    </row>
    <row r="42" spans="16:25" x14ac:dyDescent="0.2">
      <c r="P42" t="s">
        <v>46</v>
      </c>
      <c r="Q42" t="s">
        <v>119</v>
      </c>
      <c r="R42" s="46">
        <v>45260000</v>
      </c>
      <c r="S42" s="54">
        <v>365</v>
      </c>
      <c r="U42">
        <f t="shared" ca="1" si="5"/>
        <v>27</v>
      </c>
      <c r="V42" t="str">
        <f ca="1"/>
        <v>Vespa Primavera 150</v>
      </c>
      <c r="W42" t="str">
        <f ca="1"/>
        <v>150cc</v>
      </c>
      <c r="X42">
        <f ca="1"/>
        <v>72660000</v>
      </c>
      <c r="Y42">
        <f ca="1"/>
        <v>346</v>
      </c>
    </row>
    <row r="43" spans="16:25" x14ac:dyDescent="0.2">
      <c r="P43" t="s">
        <v>78</v>
      </c>
      <c r="Q43" t="s">
        <v>147</v>
      </c>
      <c r="R43" s="46">
        <v>48151800</v>
      </c>
      <c r="S43" s="54">
        <v>482</v>
      </c>
      <c r="U43">
        <f t="shared" ca="1" si="5"/>
        <v>35</v>
      </c>
      <c r="V43" t="str">
        <f ca="1"/>
        <v>Yamaha Aerox 155</v>
      </c>
      <c r="W43" t="str">
        <f ca="1"/>
        <v>155cc</v>
      </c>
      <c r="X43">
        <f ca="1"/>
        <v>45260000</v>
      </c>
      <c r="Y43">
        <f ca="1"/>
        <v>365</v>
      </c>
    </row>
    <row r="44" spans="16:25" x14ac:dyDescent="0.2">
      <c r="P44" t="s">
        <v>8</v>
      </c>
      <c r="Q44" t="s">
        <v>119</v>
      </c>
      <c r="R44" s="46">
        <v>56070000</v>
      </c>
      <c r="S44" s="54">
        <v>315</v>
      </c>
      <c r="U44">
        <f t="shared" ca="1" si="5"/>
        <v>34</v>
      </c>
      <c r="V44" t="str">
        <f ca="1"/>
        <v>Yamaha FZi 150</v>
      </c>
      <c r="W44" t="str">
        <f ca="1"/>
        <v>149cc</v>
      </c>
      <c r="X44">
        <f ca="1"/>
        <v>48151800</v>
      </c>
      <c r="Y44">
        <f ca="1"/>
        <v>482</v>
      </c>
    </row>
    <row r="45" spans="16:25" x14ac:dyDescent="0.2">
      <c r="P45" t="s">
        <v>26</v>
      </c>
      <c r="Q45" t="s">
        <v>119</v>
      </c>
      <c r="R45" s="46">
        <v>41013000</v>
      </c>
      <c r="S45" s="54">
        <v>270</v>
      </c>
      <c r="U45">
        <f t="shared" ca="1" si="5"/>
        <v>33</v>
      </c>
      <c r="V45" t="str">
        <f ca="1"/>
        <v>Yamaha MT-15</v>
      </c>
      <c r="W45" t="str">
        <f ca="1"/>
        <v>155cc</v>
      </c>
      <c r="X45">
        <f ca="1"/>
        <v>56070000</v>
      </c>
      <c r="Y45">
        <f ca="1"/>
        <v>315</v>
      </c>
    </row>
    <row r="46" spans="16:25" x14ac:dyDescent="0.2">
      <c r="P46" t="s">
        <v>94</v>
      </c>
      <c r="Q46" t="s">
        <v>169</v>
      </c>
      <c r="R46" s="46">
        <v>148304000</v>
      </c>
      <c r="S46" s="54">
        <v>496</v>
      </c>
      <c r="U46">
        <f t="shared" ca="1" si="5"/>
        <v>36</v>
      </c>
      <c r="V46" t="str">
        <f ca="1"/>
        <v>Yamaha NMAX 155</v>
      </c>
      <c r="W46" t="str">
        <f ca="1"/>
        <v>155cc</v>
      </c>
      <c r="X46">
        <f ca="1"/>
        <v>41013000</v>
      </c>
      <c r="Y46">
        <f ca="1"/>
        <v>270</v>
      </c>
    </row>
    <row r="47" spans="16:25" x14ac:dyDescent="0.2">
      <c r="P47" t="s">
        <v>57</v>
      </c>
      <c r="Q47" t="s">
        <v>119</v>
      </c>
      <c r="R47" s="46">
        <v>39532600</v>
      </c>
      <c r="S47" s="54">
        <v>314</v>
      </c>
      <c r="U47">
        <f t="shared" ca="1" si="5"/>
        <v>6</v>
      </c>
      <c r="V47" t="str">
        <f ca="1"/>
        <v>Yamaha Serow 250</v>
      </c>
      <c r="W47" t="str">
        <f ca="1"/>
        <v>249cc</v>
      </c>
      <c r="X47">
        <f ca="1"/>
        <v>148304000</v>
      </c>
      <c r="Y47">
        <f ca="1"/>
        <v>496</v>
      </c>
    </row>
    <row r="48" spans="16:25" x14ac:dyDescent="0.2">
      <c r="P48" t="s">
        <v>72</v>
      </c>
      <c r="Q48" t="s">
        <v>127</v>
      </c>
      <c r="R48" s="46">
        <v>71775000</v>
      </c>
      <c r="S48" s="54">
        <v>225</v>
      </c>
      <c r="U48">
        <f t="shared" ca="1" si="5"/>
        <v>37</v>
      </c>
      <c r="V48" t="str">
        <f ca="1"/>
        <v>Yamaha Sniper 155</v>
      </c>
      <c r="W48" t="str">
        <f ca="1"/>
        <v>155cc</v>
      </c>
      <c r="X48">
        <f ca="1"/>
        <v>39532600</v>
      </c>
      <c r="Y48">
        <f ca="1"/>
        <v>314</v>
      </c>
    </row>
    <row r="49" spans="16:25" x14ac:dyDescent="0.2">
      <c r="P49" t="s">
        <v>22</v>
      </c>
      <c r="Q49" t="s">
        <v>119</v>
      </c>
      <c r="R49" s="46">
        <v>63700000</v>
      </c>
      <c r="S49" s="54">
        <v>350</v>
      </c>
      <c r="U49">
        <f t="shared" ca="1" si="5"/>
        <v>28</v>
      </c>
      <c r="V49" t="str">
        <f ca="1"/>
        <v>Yamaha XMAX 300</v>
      </c>
      <c r="W49" t="str">
        <f ca="1"/>
        <v>292cc</v>
      </c>
      <c r="X49">
        <f ca="1"/>
        <v>71775000</v>
      </c>
      <c r="Y49">
        <f ca="1"/>
        <v>225</v>
      </c>
    </row>
    <row r="50" spans="16:25" x14ac:dyDescent="0.2">
      <c r="P50" t="s">
        <v>68</v>
      </c>
      <c r="Q50" t="s">
        <v>157</v>
      </c>
      <c r="R50" s="46">
        <v>117056000</v>
      </c>
      <c r="S50" s="54">
        <v>472</v>
      </c>
      <c r="U50">
        <f t="shared" ca="1" si="5"/>
        <v>31</v>
      </c>
      <c r="V50" t="str">
        <f ca="1"/>
        <v>Yamaha XSR155</v>
      </c>
      <c r="W50" t="str">
        <f ca="1"/>
        <v>155cc</v>
      </c>
      <c r="X50">
        <f ca="1"/>
        <v>63700000</v>
      </c>
      <c r="Y50">
        <f ca="1"/>
        <v>350</v>
      </c>
    </row>
    <row r="51" spans="16:25" x14ac:dyDescent="0.2">
      <c r="P51" t="s">
        <v>97</v>
      </c>
      <c r="Q51" t="s">
        <v>170</v>
      </c>
      <c r="R51" s="46">
        <v>96033000</v>
      </c>
      <c r="S51" s="54">
        <v>357</v>
      </c>
      <c r="U51">
        <f t="shared" ca="1" si="5"/>
        <v>13</v>
      </c>
      <c r="V51" t="str">
        <f ca="1"/>
        <v>Zontes 310X</v>
      </c>
      <c r="W51" t="str">
        <f ca="1"/>
        <v>312cc</v>
      </c>
      <c r="X51">
        <f ca="1"/>
        <v>117056000</v>
      </c>
      <c r="Y51">
        <f ca="1"/>
        <v>472</v>
      </c>
    </row>
    <row r="52" spans="16:25" x14ac:dyDescent="0.2">
      <c r="U52">
        <f t="shared" ca="1" si="5"/>
        <v>18</v>
      </c>
      <c r="V52" t="str">
        <f ca="1"/>
        <v>Zontes GK350</v>
      </c>
      <c r="W52" t="str">
        <f ca="1"/>
        <v>348cc</v>
      </c>
      <c r="X52">
        <f ca="1"/>
        <v>96033000</v>
      </c>
      <c r="Y52">
        <f ca="1"/>
        <v>357</v>
      </c>
    </row>
  </sheetData>
  <sheetProtection sheet="1" objects="1" scenarios="1" pivotTables="0"/>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D530-89B0-41A5-B014-97FCE9364520}">
  <dimension ref="A1:AA54"/>
  <sheetViews>
    <sheetView showGridLines="0" zoomScale="145" zoomScaleNormal="145" workbookViewId="0">
      <selection activeCell="H11" sqref="H3"/>
      <pivotSelection pane="bottomRight" showHeader="1" axis="axisRow" activeRow="10" activeCol="7" previousRow="10" previousCol="7" click="1" r:id="rId4">
        <pivotArea dataOnly="0" labelOnly="1" fieldPosition="0">
          <references count="1">
            <reference field="9" count="0"/>
          </references>
        </pivotArea>
      </pivotSelection>
    </sheetView>
  </sheetViews>
  <sheetFormatPr defaultRowHeight="12.75" x14ac:dyDescent="0.2"/>
  <cols>
    <col min="1" max="1" width="16.5703125" bestFit="1" customWidth="1"/>
    <col min="2" max="2" width="32.28515625" customWidth="1"/>
    <col min="4" max="4" width="14.85546875" bestFit="1" customWidth="1"/>
    <col min="6" max="6" width="10.42578125" customWidth="1"/>
    <col min="8" max="8" width="11.7109375" bestFit="1" customWidth="1"/>
    <col min="9" max="9" width="13.5703125" bestFit="1" customWidth="1"/>
    <col min="10" max="10" width="13.5703125" customWidth="1"/>
    <col min="11" max="11" width="9.42578125" customWidth="1"/>
    <col min="12" max="12" width="11.7109375" bestFit="1" customWidth="1"/>
    <col min="13" max="13" width="14.140625" bestFit="1" customWidth="1"/>
    <col min="14" max="14" width="20.85546875" bestFit="1" customWidth="1"/>
    <col min="15" max="15" width="24" bestFit="1" customWidth="1"/>
    <col min="17" max="17" width="30.7109375" bestFit="1" customWidth="1"/>
    <col min="18" max="18" width="24.28515625" bestFit="1" customWidth="1"/>
    <col min="19" max="19" width="20.85546875" bestFit="1" customWidth="1"/>
    <col min="20" max="20" width="13.28515625" bestFit="1" customWidth="1"/>
    <col min="21" max="21" width="17.28515625" bestFit="1" customWidth="1"/>
    <col min="22" max="23" width="11" customWidth="1"/>
    <col min="24" max="24" width="4.85546875" customWidth="1"/>
    <col min="25" max="29" width="11.7109375" bestFit="1" customWidth="1"/>
    <col min="30" max="30" width="12.85546875" bestFit="1" customWidth="1"/>
    <col min="31" max="32" width="11.7109375" bestFit="1" customWidth="1"/>
    <col min="33" max="34" width="10.5703125" bestFit="1" customWidth="1"/>
    <col min="35" max="35" width="14.28515625" bestFit="1" customWidth="1"/>
  </cols>
  <sheetData>
    <row r="1" spans="1:27" ht="16.5" x14ac:dyDescent="0.2">
      <c r="A1" s="24" t="s">
        <v>106</v>
      </c>
      <c r="B1" s="24"/>
      <c r="D1" s="4" t="s">
        <v>105</v>
      </c>
      <c r="E1" s="4" t="s">
        <v>184</v>
      </c>
      <c r="F1" s="4" t="s">
        <v>185</v>
      </c>
    </row>
    <row r="2" spans="1:27" x14ac:dyDescent="0.2">
      <c r="D2" t="s">
        <v>134</v>
      </c>
      <c r="E2">
        <v>12</v>
      </c>
      <c r="F2" s="27">
        <v>0.24</v>
      </c>
    </row>
    <row r="3" spans="1:27" x14ac:dyDescent="0.2">
      <c r="A3" t="s">
        <v>172</v>
      </c>
      <c r="B3" s="25">
        <v>257872</v>
      </c>
      <c r="D3" t="s">
        <v>117</v>
      </c>
      <c r="E3">
        <v>7</v>
      </c>
      <c r="F3" s="27">
        <v>0.14000000000000001</v>
      </c>
      <c r="H3" s="55" t="s">
        <v>188</v>
      </c>
      <c r="I3" t="s">
        <v>187</v>
      </c>
      <c r="L3" s="55" t="s">
        <v>188</v>
      </c>
      <c r="M3" s="30" t="s">
        <v>193</v>
      </c>
      <c r="N3" s="32" t="s">
        <v>191</v>
      </c>
      <c r="O3" s="30" t="s">
        <v>190</v>
      </c>
      <c r="Q3" s="55" t="s">
        <v>105</v>
      </c>
      <c r="R3" s="28" t="s">
        <v>104</v>
      </c>
      <c r="S3" t="s">
        <v>191</v>
      </c>
      <c r="U3" s="36" t="s">
        <v>107</v>
      </c>
      <c r="V3" s="37" t="s">
        <v>184</v>
      </c>
      <c r="W3" s="36" t="s">
        <v>185</v>
      </c>
      <c r="Y3" s="37" t="s">
        <v>105</v>
      </c>
      <c r="Z3" s="37" t="s">
        <v>184</v>
      </c>
      <c r="AA3" s="37" t="s">
        <v>185</v>
      </c>
    </row>
    <row r="4" spans="1:27" x14ac:dyDescent="0.2">
      <c r="A4" t="s">
        <v>173</v>
      </c>
      <c r="B4" s="25">
        <v>25940.221080674808</v>
      </c>
      <c r="D4" t="s">
        <v>112</v>
      </c>
      <c r="E4">
        <v>4</v>
      </c>
      <c r="F4" s="27">
        <v>0.08</v>
      </c>
      <c r="H4" s="29">
        <v>2020</v>
      </c>
      <c r="I4" s="30">
        <v>5</v>
      </c>
      <c r="J4" s="30"/>
      <c r="K4" s="30"/>
      <c r="L4" s="29" t="s">
        <v>134</v>
      </c>
      <c r="M4" s="30">
        <v>12</v>
      </c>
      <c r="N4" s="31">
        <v>2245500</v>
      </c>
      <c r="O4" s="31">
        <v>187125</v>
      </c>
      <c r="Q4" t="s">
        <v>134</v>
      </c>
      <c r="R4" t="s">
        <v>80</v>
      </c>
      <c r="S4" s="31">
        <v>398000</v>
      </c>
      <c r="U4" t="s">
        <v>113</v>
      </c>
      <c r="V4" s="38">
        <f>COUNTIFS(CLEANED_MotorPH_Products_List_2!E:E,'Product Analysis'!U4)</f>
        <v>9</v>
      </c>
      <c r="W4" s="33">
        <f>V4/SUM($V$4:$V$8)</f>
        <v>0.18</v>
      </c>
      <c r="Y4" t="s">
        <v>134</v>
      </c>
      <c r="Z4" s="30">
        <f>COUNTIFS(CLEANED_MotorPH_Products_List_2!C:C,'Product Analysis'!Y4)</f>
        <v>12</v>
      </c>
      <c r="AA4" s="33">
        <f>Z4/SUM($Z$4:$Z$20)</f>
        <v>0.24</v>
      </c>
    </row>
    <row r="5" spans="1:27" x14ac:dyDescent="0.2">
      <c r="A5" t="s">
        <v>174</v>
      </c>
      <c r="B5" s="25">
        <v>204950</v>
      </c>
      <c r="D5" t="s">
        <v>138</v>
      </c>
      <c r="E5">
        <v>4</v>
      </c>
      <c r="F5" s="27">
        <v>0.08</v>
      </c>
      <c r="H5" s="29">
        <v>2021</v>
      </c>
      <c r="I5" s="30">
        <v>8</v>
      </c>
      <c r="J5" s="30"/>
      <c r="K5" s="30"/>
      <c r="L5" s="29" t="s">
        <v>144</v>
      </c>
      <c r="M5" s="30">
        <v>4</v>
      </c>
      <c r="N5" s="31">
        <v>1896000</v>
      </c>
      <c r="O5" s="31">
        <v>474000</v>
      </c>
      <c r="R5" t="s">
        <v>72</v>
      </c>
      <c r="S5" s="31">
        <v>319000</v>
      </c>
      <c r="U5" t="s">
        <v>118</v>
      </c>
      <c r="V5" s="38">
        <f>COUNTIFS(CLEANED_MotorPH_Products_List_2!E:E,'Product Analysis'!U5)</f>
        <v>37</v>
      </c>
      <c r="W5" s="33">
        <f t="shared" ref="W5:W8" si="0">V5/SUM($V$4:$V$8)</f>
        <v>0.74</v>
      </c>
      <c r="Y5" t="s">
        <v>144</v>
      </c>
      <c r="Z5" s="30">
        <f>COUNTIFS(CLEANED_MotorPH_Products_List_2!C:C,'Product Analysis'!Y5)</f>
        <v>4</v>
      </c>
      <c r="AA5" s="33">
        <f t="shared" ref="AA5:AA20" si="1">Z5/SUM($Z$4:$Z$20)</f>
        <v>0.08</v>
      </c>
    </row>
    <row r="6" spans="1:27" x14ac:dyDescent="0.2">
      <c r="A6" t="s">
        <v>175</v>
      </c>
      <c r="B6" s="25">
        <v>178000</v>
      </c>
      <c r="D6" t="s">
        <v>144</v>
      </c>
      <c r="E6">
        <v>4</v>
      </c>
      <c r="F6" s="27">
        <v>0.08</v>
      </c>
      <c r="H6" s="29">
        <v>2022</v>
      </c>
      <c r="I6" s="30">
        <v>16</v>
      </c>
      <c r="J6" s="30"/>
      <c r="K6" s="30"/>
      <c r="L6" s="29" t="s">
        <v>117</v>
      </c>
      <c r="M6" s="30">
        <v>7</v>
      </c>
      <c r="N6" s="31">
        <v>1705000</v>
      </c>
      <c r="O6" s="31">
        <v>243571.42857142858</v>
      </c>
      <c r="R6" t="s">
        <v>92</v>
      </c>
      <c r="S6" s="31">
        <v>289000</v>
      </c>
      <c r="U6" t="s">
        <v>129</v>
      </c>
      <c r="V6" s="38">
        <f>COUNTIFS(CLEANED_MotorPH_Products_List_2!E:E,'Product Analysis'!U6)</f>
        <v>1</v>
      </c>
      <c r="W6" s="33">
        <f t="shared" si="0"/>
        <v>0.02</v>
      </c>
      <c r="Y6" t="s">
        <v>117</v>
      </c>
      <c r="Z6" s="30">
        <f>COUNTIFS(CLEANED_MotorPH_Products_List_2!C:C,'Product Analysis'!Y6)</f>
        <v>7</v>
      </c>
      <c r="AA6" s="33">
        <f t="shared" si="1"/>
        <v>0.14000000000000001</v>
      </c>
    </row>
    <row r="7" spans="1:27" x14ac:dyDescent="0.2">
      <c r="A7" t="s">
        <v>176</v>
      </c>
      <c r="B7" s="25">
        <v>183425.0623162339</v>
      </c>
      <c r="D7" t="s">
        <v>121</v>
      </c>
      <c r="E7">
        <v>3</v>
      </c>
      <c r="F7" s="27">
        <v>0.06</v>
      </c>
      <c r="H7" s="29">
        <v>2023</v>
      </c>
      <c r="I7" s="30">
        <v>21</v>
      </c>
      <c r="J7" s="30"/>
      <c r="K7" s="30"/>
      <c r="L7" s="29" t="s">
        <v>163</v>
      </c>
      <c r="M7" s="30">
        <v>2</v>
      </c>
      <c r="N7" s="31">
        <v>1684000</v>
      </c>
      <c r="O7" s="31">
        <v>842000</v>
      </c>
      <c r="R7" t="s">
        <v>70</v>
      </c>
      <c r="S7" s="31">
        <v>219000</v>
      </c>
      <c r="U7" t="s">
        <v>155</v>
      </c>
      <c r="V7" s="38">
        <f>COUNTIFS(CLEANED_MotorPH_Products_List_2!E:E,'Product Analysis'!U7)</f>
        <v>2</v>
      </c>
      <c r="W7" s="33">
        <f t="shared" si="0"/>
        <v>0.04</v>
      </c>
      <c r="Y7" t="s">
        <v>163</v>
      </c>
      <c r="Z7" s="30">
        <f>COUNTIFS(CLEANED_MotorPH_Products_List_2!C:C,'Product Analysis'!Y7)</f>
        <v>2</v>
      </c>
      <c r="AA7" s="33">
        <f t="shared" si="1"/>
        <v>0.04</v>
      </c>
    </row>
    <row r="8" spans="1:27" x14ac:dyDescent="0.2">
      <c r="A8" t="s">
        <v>177</v>
      </c>
      <c r="B8" s="25">
        <v>33644753485.714287</v>
      </c>
      <c r="D8" t="s">
        <v>153</v>
      </c>
      <c r="E8">
        <v>3</v>
      </c>
      <c r="F8" s="27">
        <v>0.06</v>
      </c>
      <c r="H8" s="29" t="s">
        <v>186</v>
      </c>
      <c r="I8" s="30">
        <v>50</v>
      </c>
      <c r="J8" s="30"/>
      <c r="K8" s="30"/>
      <c r="L8" s="29" t="s">
        <v>112</v>
      </c>
      <c r="M8" s="30">
        <v>4</v>
      </c>
      <c r="N8" s="31">
        <v>1092000</v>
      </c>
      <c r="O8" s="31">
        <v>273000</v>
      </c>
      <c r="R8" t="s">
        <v>40</v>
      </c>
      <c r="S8" s="31">
        <v>210000</v>
      </c>
      <c r="U8" t="s">
        <v>164</v>
      </c>
      <c r="V8" s="38">
        <f>COUNTIFS(CLEANED_MotorPH_Products_List_2!E:E,'Product Analysis'!U8)</f>
        <v>1</v>
      </c>
      <c r="W8" s="33">
        <f t="shared" si="0"/>
        <v>0.02</v>
      </c>
      <c r="Y8" t="s">
        <v>112</v>
      </c>
      <c r="Z8" s="30">
        <f>COUNTIFS(CLEANED_MotorPH_Products_List_2!C:C,'Product Analysis'!Y8)</f>
        <v>4</v>
      </c>
      <c r="AA8" s="33">
        <f t="shared" si="1"/>
        <v>0.08</v>
      </c>
    </row>
    <row r="9" spans="1:27" x14ac:dyDescent="0.2">
      <c r="A9" t="s">
        <v>178</v>
      </c>
      <c r="B9" s="25">
        <v>4.6426709545186817</v>
      </c>
      <c r="D9" t="s">
        <v>128</v>
      </c>
      <c r="E9">
        <v>2</v>
      </c>
      <c r="F9" s="27">
        <v>0.04</v>
      </c>
      <c r="I9" s="30"/>
      <c r="J9" s="30"/>
      <c r="K9" s="30"/>
      <c r="L9" s="29" t="s">
        <v>138</v>
      </c>
      <c r="M9" s="30">
        <v>4</v>
      </c>
      <c r="N9" s="31">
        <v>1015900</v>
      </c>
      <c r="O9" s="31">
        <v>253975</v>
      </c>
      <c r="R9" t="s">
        <v>28</v>
      </c>
      <c r="S9" s="31">
        <v>164900</v>
      </c>
      <c r="Y9" t="s">
        <v>138</v>
      </c>
      <c r="Z9" s="30">
        <f>COUNTIFS(CLEANED_MotorPH_Products_List_2!C:C,'Product Analysis'!Y9)</f>
        <v>4</v>
      </c>
      <c r="AA9" s="33">
        <f t="shared" si="1"/>
        <v>0.08</v>
      </c>
    </row>
    <row r="10" spans="1:27" x14ac:dyDescent="0.2">
      <c r="A10" t="s">
        <v>179</v>
      </c>
      <c r="B10" s="25">
        <v>1.8317017205274888</v>
      </c>
      <c r="D10" t="s">
        <v>151</v>
      </c>
      <c r="E10">
        <v>2</v>
      </c>
      <c r="F10" s="27">
        <v>0.04</v>
      </c>
      <c r="H10" s="55" t="s">
        <v>188</v>
      </c>
      <c r="I10" s="30" t="s">
        <v>189</v>
      </c>
      <c r="J10" s="34" t="s">
        <v>192</v>
      </c>
      <c r="K10" s="30"/>
      <c r="L10" s="29" t="s">
        <v>153</v>
      </c>
      <c r="M10" s="30">
        <v>3</v>
      </c>
      <c r="N10" s="31">
        <v>782900</v>
      </c>
      <c r="O10" s="31">
        <v>260966.66666666666</v>
      </c>
      <c r="R10" t="s">
        <v>26</v>
      </c>
      <c r="S10" s="31">
        <v>151900</v>
      </c>
      <c r="U10" s="36" t="s">
        <v>108</v>
      </c>
      <c r="V10" s="37" t="s">
        <v>184</v>
      </c>
      <c r="W10" s="36" t="s">
        <v>185</v>
      </c>
      <c r="Y10" t="s">
        <v>153</v>
      </c>
      <c r="Z10" s="30">
        <f>COUNTIFS(CLEANED_MotorPH_Products_List_2!C:C,'Product Analysis'!Y10)</f>
        <v>3</v>
      </c>
      <c r="AA10" s="33">
        <f t="shared" si="1"/>
        <v>0.06</v>
      </c>
    </row>
    <row r="11" spans="1:27" x14ac:dyDescent="0.2">
      <c r="A11" t="s">
        <v>180</v>
      </c>
      <c r="B11" s="25">
        <v>947000</v>
      </c>
      <c r="D11" t="s">
        <v>163</v>
      </c>
      <c r="E11">
        <v>2</v>
      </c>
      <c r="F11" s="27">
        <v>0.04</v>
      </c>
      <c r="H11" s="29">
        <v>2021</v>
      </c>
      <c r="I11" s="30">
        <v>5</v>
      </c>
      <c r="J11" s="33">
        <f>I11/$I$15</f>
        <v>0.1</v>
      </c>
      <c r="K11" s="30"/>
      <c r="L11" s="29" t="s">
        <v>128</v>
      </c>
      <c r="M11" s="30">
        <v>2</v>
      </c>
      <c r="N11" s="31">
        <v>597000</v>
      </c>
      <c r="O11" s="31">
        <v>298500</v>
      </c>
      <c r="R11" t="s">
        <v>64</v>
      </c>
      <c r="S11" s="31">
        <v>128000</v>
      </c>
      <c r="U11" t="s">
        <v>114</v>
      </c>
      <c r="V11" s="30">
        <f>COUNTIFS(CLEANED_MotorPH_Products_List_2!F:F,'Product Analysis'!U11)</f>
        <v>34</v>
      </c>
      <c r="W11" s="33">
        <f>V11/SUM($V$11:$V$14)</f>
        <v>0.68</v>
      </c>
      <c r="Y11" t="s">
        <v>128</v>
      </c>
      <c r="Z11" s="30">
        <f>COUNTIFS(CLEANED_MotorPH_Products_List_2!C:C,'Product Analysis'!Y11)</f>
        <v>2</v>
      </c>
      <c r="AA11" s="33">
        <f t="shared" si="1"/>
        <v>0.04</v>
      </c>
    </row>
    <row r="12" spans="1:27" x14ac:dyDescent="0.2">
      <c r="A12" t="s">
        <v>181</v>
      </c>
      <c r="B12" s="25">
        <v>48000</v>
      </c>
      <c r="D12" t="s">
        <v>123</v>
      </c>
      <c r="E12">
        <v>1</v>
      </c>
      <c r="F12" s="27">
        <v>0.02</v>
      </c>
      <c r="H12" s="29">
        <v>2022</v>
      </c>
      <c r="I12" s="30">
        <v>7</v>
      </c>
      <c r="J12" s="33">
        <f t="shared" ref="J12:J14" si="2">I12/$I$15</f>
        <v>0.14000000000000001</v>
      </c>
      <c r="K12" s="30"/>
      <c r="L12" s="29" t="s">
        <v>149</v>
      </c>
      <c r="M12" s="30">
        <v>1</v>
      </c>
      <c r="N12" s="31">
        <v>345000</v>
      </c>
      <c r="O12" s="31">
        <v>345000</v>
      </c>
      <c r="R12" t="s">
        <v>46</v>
      </c>
      <c r="S12" s="31">
        <v>124000</v>
      </c>
      <c r="U12" t="s">
        <v>124</v>
      </c>
      <c r="V12" s="30">
        <f>COUNTIFS(CLEANED_MotorPH_Products_List_2!F:F,'Product Analysis'!U12)</f>
        <v>13</v>
      </c>
      <c r="W12" s="33">
        <f t="shared" ref="W12:W14" si="3">V12/SUM($V$11:$V$14)</f>
        <v>0.26</v>
      </c>
      <c r="Y12" t="s">
        <v>149</v>
      </c>
      <c r="Z12" s="30">
        <f>COUNTIFS(CLEANED_MotorPH_Products_List_2!C:C,'Product Analysis'!Y12)</f>
        <v>1</v>
      </c>
      <c r="AA12" s="33">
        <f t="shared" si="1"/>
        <v>0.02</v>
      </c>
    </row>
    <row r="13" spans="1:27" x14ac:dyDescent="0.2">
      <c r="A13" t="s">
        <v>182</v>
      </c>
      <c r="B13" s="25">
        <v>995000</v>
      </c>
      <c r="D13" t="s">
        <v>131</v>
      </c>
      <c r="E13">
        <v>1</v>
      </c>
      <c r="F13" s="27">
        <v>0.02</v>
      </c>
      <c r="H13" s="29">
        <v>2023</v>
      </c>
      <c r="I13" s="30">
        <v>17</v>
      </c>
      <c r="J13" s="33">
        <f t="shared" si="2"/>
        <v>0.34</v>
      </c>
      <c r="K13" s="30"/>
      <c r="L13" s="29" t="s">
        <v>121</v>
      </c>
      <c r="M13" s="30">
        <v>3</v>
      </c>
      <c r="N13" s="31">
        <v>318700</v>
      </c>
      <c r="O13" s="31">
        <v>106233.33333333333</v>
      </c>
      <c r="R13" t="s">
        <v>55</v>
      </c>
      <c r="S13" s="31">
        <v>80900</v>
      </c>
      <c r="U13" t="s">
        <v>140</v>
      </c>
      <c r="V13" s="30">
        <f>COUNTIFS(CLEANED_MotorPH_Products_List_2!F:F,'Product Analysis'!U13)</f>
        <v>2</v>
      </c>
      <c r="W13" s="33">
        <f t="shared" si="3"/>
        <v>0.04</v>
      </c>
      <c r="Y13" t="s">
        <v>121</v>
      </c>
      <c r="Z13" s="30">
        <f>COUNTIFS(CLEANED_MotorPH_Products_List_2!C:C,'Product Analysis'!Y13)</f>
        <v>3</v>
      </c>
      <c r="AA13" s="33">
        <f t="shared" si="1"/>
        <v>0.06</v>
      </c>
    </row>
    <row r="14" spans="1:27" x14ac:dyDescent="0.2">
      <c r="A14" t="s">
        <v>183</v>
      </c>
      <c r="B14" s="25">
        <v>12893600</v>
      </c>
      <c r="D14" t="s">
        <v>132</v>
      </c>
      <c r="E14">
        <v>1</v>
      </c>
      <c r="F14" s="27">
        <v>0.02</v>
      </c>
      <c r="H14" s="29">
        <v>2024</v>
      </c>
      <c r="I14" s="30">
        <v>21</v>
      </c>
      <c r="J14" s="33">
        <f t="shared" si="2"/>
        <v>0.42</v>
      </c>
      <c r="K14" s="30"/>
      <c r="L14" s="29" t="s">
        <v>142</v>
      </c>
      <c r="M14" s="30">
        <v>1</v>
      </c>
      <c r="N14" s="31">
        <v>295000</v>
      </c>
      <c r="O14" s="31">
        <v>295000</v>
      </c>
      <c r="R14" t="s">
        <v>96</v>
      </c>
      <c r="S14" s="31">
        <v>80900</v>
      </c>
      <c r="U14" t="s">
        <v>165</v>
      </c>
      <c r="V14" s="30">
        <f>COUNTIFS(CLEANED_MotorPH_Products_List_2!F:F,'Product Analysis'!U14)</f>
        <v>1</v>
      </c>
      <c r="W14" s="33">
        <f t="shared" si="3"/>
        <v>0.02</v>
      </c>
      <c r="Y14" t="s">
        <v>142</v>
      </c>
      <c r="Z14" s="30">
        <f>COUNTIFS(CLEANED_MotorPH_Products_List_2!C:C,'Product Analysis'!Y14)</f>
        <v>1</v>
      </c>
      <c r="AA14" s="33">
        <f t="shared" si="1"/>
        <v>0.02</v>
      </c>
    </row>
    <row r="15" spans="1:27" ht="13.5" thickBot="1" x14ac:dyDescent="0.25">
      <c r="A15" s="23" t="s">
        <v>184</v>
      </c>
      <c r="B15" s="26">
        <v>50</v>
      </c>
      <c r="D15" t="s">
        <v>142</v>
      </c>
      <c r="E15">
        <v>1</v>
      </c>
      <c r="F15" s="27">
        <v>0.02</v>
      </c>
      <c r="H15" s="29" t="s">
        <v>186</v>
      </c>
      <c r="I15" s="30">
        <v>50</v>
      </c>
      <c r="J15" s="35"/>
      <c r="K15" s="30"/>
      <c r="L15" s="29" t="s">
        <v>123</v>
      </c>
      <c r="M15" s="30">
        <v>1</v>
      </c>
      <c r="N15" s="31">
        <v>250000</v>
      </c>
      <c r="O15" s="31">
        <v>250000</v>
      </c>
      <c r="R15" t="s">
        <v>30</v>
      </c>
      <c r="S15" s="31">
        <v>79900</v>
      </c>
      <c r="Y15" t="s">
        <v>123</v>
      </c>
      <c r="Z15" s="30">
        <f>COUNTIFS(CLEANED_MotorPH_Products_List_2!C:C,'Product Analysis'!Y15)</f>
        <v>1</v>
      </c>
      <c r="AA15" s="33">
        <f t="shared" si="1"/>
        <v>0.02</v>
      </c>
    </row>
    <row r="16" spans="1:27" x14ac:dyDescent="0.2">
      <c r="D16" t="s">
        <v>146</v>
      </c>
      <c r="E16">
        <v>1</v>
      </c>
      <c r="F16" s="27">
        <v>0.02</v>
      </c>
      <c r="L16" s="29" t="s">
        <v>132</v>
      </c>
      <c r="M16" s="30">
        <v>1</v>
      </c>
      <c r="N16" s="31">
        <v>199900</v>
      </c>
      <c r="O16" s="31">
        <v>199900</v>
      </c>
      <c r="Q16" t="s">
        <v>144</v>
      </c>
      <c r="R16" t="s">
        <v>86</v>
      </c>
      <c r="S16" s="31">
        <v>650000</v>
      </c>
      <c r="U16" s="36" t="s">
        <v>109</v>
      </c>
      <c r="V16" s="37" t="s">
        <v>184</v>
      </c>
      <c r="W16" s="36" t="s">
        <v>185</v>
      </c>
      <c r="Y16" t="s">
        <v>132</v>
      </c>
      <c r="Z16" s="30">
        <f>COUNTIFS(CLEANED_MotorPH_Products_List_2!C:C,'Product Analysis'!Y16)</f>
        <v>1</v>
      </c>
      <c r="AA16" s="33">
        <f t="shared" si="1"/>
        <v>0.02</v>
      </c>
    </row>
    <row r="17" spans="4:27" x14ac:dyDescent="0.2">
      <c r="D17" t="s">
        <v>149</v>
      </c>
      <c r="E17">
        <v>1</v>
      </c>
      <c r="F17" s="27">
        <v>0.02</v>
      </c>
      <c r="L17" s="29" t="s">
        <v>131</v>
      </c>
      <c r="M17" s="30">
        <v>1</v>
      </c>
      <c r="N17" s="31">
        <v>182000</v>
      </c>
      <c r="O17" s="31">
        <v>182000</v>
      </c>
      <c r="R17" t="s">
        <v>66</v>
      </c>
      <c r="S17" s="31">
        <v>499000</v>
      </c>
      <c r="U17" t="s">
        <v>115</v>
      </c>
      <c r="V17" s="30">
        <f>COUNTIFS(CLEANED_MotorPH_Products_List_2!G:G,'Product Analysis'!U17)</f>
        <v>2</v>
      </c>
      <c r="W17" s="33">
        <f>V17/SUM($V$17:$V$46)</f>
        <v>4.0816326530612242E-2</v>
      </c>
      <c r="Y17" t="s">
        <v>131</v>
      </c>
      <c r="Z17" s="30">
        <f>COUNTIFS(CLEANED_MotorPH_Products_List_2!C:C,'Product Analysis'!Y17)</f>
        <v>1</v>
      </c>
      <c r="AA17" s="33">
        <f t="shared" si="1"/>
        <v>0.02</v>
      </c>
    </row>
    <row r="18" spans="4:27" x14ac:dyDescent="0.2">
      <c r="D18" t="s">
        <v>160</v>
      </c>
      <c r="E18">
        <v>1</v>
      </c>
      <c r="F18" s="27">
        <v>0.02</v>
      </c>
      <c r="L18" s="29" t="s">
        <v>151</v>
      </c>
      <c r="M18" s="30">
        <v>2</v>
      </c>
      <c r="N18" s="31">
        <v>115900</v>
      </c>
      <c r="O18" s="31">
        <v>57950</v>
      </c>
      <c r="R18" t="s">
        <v>47</v>
      </c>
      <c r="S18" s="31">
        <v>398000</v>
      </c>
      <c r="U18" t="s">
        <v>119</v>
      </c>
      <c r="V18" s="30">
        <f>COUNTIFS(CLEANED_MotorPH_Products_List_2!G:G,'Product Analysis'!U18)</f>
        <v>5</v>
      </c>
      <c r="W18" s="33">
        <f t="shared" ref="W18:W46" si="4">V18/SUM($V$17:$V$46)</f>
        <v>0.10204081632653061</v>
      </c>
      <c r="Y18" t="s">
        <v>151</v>
      </c>
      <c r="Z18" s="30">
        <f>COUNTIFS(CLEANED_MotorPH_Products_List_2!C:C,'Product Analysis'!Y18)</f>
        <v>2</v>
      </c>
      <c r="AA18" s="33">
        <f t="shared" si="1"/>
        <v>0.04</v>
      </c>
    </row>
    <row r="19" spans="4:27" x14ac:dyDescent="0.2">
      <c r="L19" s="29" t="s">
        <v>160</v>
      </c>
      <c r="M19" s="30">
        <v>1</v>
      </c>
      <c r="N19" s="31">
        <v>99900</v>
      </c>
      <c r="O19" s="31">
        <v>99900</v>
      </c>
      <c r="R19" t="s">
        <v>74</v>
      </c>
      <c r="S19" s="31">
        <v>349000</v>
      </c>
      <c r="U19" t="s">
        <v>120</v>
      </c>
      <c r="V19" s="30">
        <f>COUNTIFS(CLEANED_MotorPH_Products_List_2!G:G,'Product Analysis'!U19)</f>
        <v>2</v>
      </c>
      <c r="W19" s="33">
        <f t="shared" si="4"/>
        <v>4.0816326530612242E-2</v>
      </c>
      <c r="Y19" t="s">
        <v>160</v>
      </c>
      <c r="Z19" s="30">
        <f>COUNTIFS(CLEANED_MotorPH_Products_List_2!C:C,'Product Analysis'!Y19)</f>
        <v>1</v>
      </c>
      <c r="AA19" s="33">
        <f t="shared" si="1"/>
        <v>0.02</v>
      </c>
    </row>
    <row r="20" spans="4:27" x14ac:dyDescent="0.2">
      <c r="L20" s="29" t="s">
        <v>146</v>
      </c>
      <c r="M20" s="30">
        <v>1</v>
      </c>
      <c r="N20" s="31">
        <v>68900</v>
      </c>
      <c r="O20" s="31">
        <v>68900</v>
      </c>
      <c r="Q20" t="s">
        <v>117</v>
      </c>
      <c r="R20" t="s">
        <v>88</v>
      </c>
      <c r="S20" s="31">
        <v>599000</v>
      </c>
      <c r="U20" t="s">
        <v>122</v>
      </c>
      <c r="V20" s="30">
        <f>COUNTIFS(CLEANED_MotorPH_Products_List_2!G:G,'Product Analysis'!U20)</f>
        <v>3</v>
      </c>
      <c r="W20" s="33">
        <f t="shared" si="4"/>
        <v>6.1224489795918366E-2</v>
      </c>
      <c r="Y20" t="s">
        <v>146</v>
      </c>
      <c r="Z20" s="30">
        <f>COUNTIFS(CLEANED_MotorPH_Products_List_2!C:C,'Product Analysis'!Y20)</f>
        <v>1</v>
      </c>
      <c r="AA20" s="33">
        <f t="shared" si="1"/>
        <v>0.02</v>
      </c>
    </row>
    <row r="21" spans="4:27" x14ac:dyDescent="0.2">
      <c r="L21" s="29" t="s">
        <v>186</v>
      </c>
      <c r="M21" s="30">
        <v>50</v>
      </c>
      <c r="N21" s="31">
        <v>12893600</v>
      </c>
      <c r="O21" s="31">
        <v>257872</v>
      </c>
      <c r="R21" t="s">
        <v>44</v>
      </c>
      <c r="S21" s="31">
        <v>331000</v>
      </c>
      <c r="U21" t="s">
        <v>125</v>
      </c>
      <c r="V21" s="30">
        <f>COUNTIFS(CLEANED_MotorPH_Products_List_2!G:G,'Product Analysis'!U21)</f>
        <v>1</v>
      </c>
      <c r="W21" s="33">
        <f t="shared" si="4"/>
        <v>2.0408163265306121E-2</v>
      </c>
    </row>
    <row r="22" spans="4:27" x14ac:dyDescent="0.2">
      <c r="R22" t="s">
        <v>8</v>
      </c>
      <c r="S22" s="31">
        <v>178000</v>
      </c>
      <c r="U22" t="s">
        <v>127</v>
      </c>
      <c r="V22" s="30">
        <f>COUNTIFS(CLEANED_MotorPH_Products_List_2!G:G,'Product Analysis'!U22)</f>
        <v>3</v>
      </c>
      <c r="W22" s="33">
        <f t="shared" si="4"/>
        <v>6.1224489795918366E-2</v>
      </c>
    </row>
    <row r="23" spans="4:27" x14ac:dyDescent="0.2">
      <c r="R23" t="s">
        <v>20</v>
      </c>
      <c r="S23" s="31">
        <v>178000</v>
      </c>
      <c r="U23" t="s">
        <v>130</v>
      </c>
      <c r="V23" s="30">
        <f>COUNTIFS(CLEANED_MotorPH_Products_List_2!G:G,'Product Analysis'!U23)</f>
        <v>2</v>
      </c>
      <c r="W23" s="33">
        <f t="shared" si="4"/>
        <v>4.0816326530612242E-2</v>
      </c>
    </row>
    <row r="24" spans="4:27" x14ac:dyDescent="0.2">
      <c r="R24" t="s">
        <v>16</v>
      </c>
      <c r="S24" s="31">
        <v>165000</v>
      </c>
      <c r="U24" t="s">
        <v>133</v>
      </c>
      <c r="V24" s="30">
        <f>COUNTIFS(CLEANED_MotorPH_Products_List_2!G:G,'Product Analysis'!U24)</f>
        <v>2</v>
      </c>
      <c r="W24" s="33">
        <f t="shared" si="4"/>
        <v>4.0816326530612242E-2</v>
      </c>
    </row>
    <row r="25" spans="4:27" x14ac:dyDescent="0.2">
      <c r="R25" t="s">
        <v>36</v>
      </c>
      <c r="S25" s="31">
        <v>129000</v>
      </c>
      <c r="U25" t="s">
        <v>136</v>
      </c>
      <c r="V25" s="30">
        <f>COUNTIFS(CLEANED_MotorPH_Products_List_2!G:G,'Product Analysis'!U25)</f>
        <v>1</v>
      </c>
      <c r="W25" s="33">
        <f t="shared" si="4"/>
        <v>2.0408163265306121E-2</v>
      </c>
    </row>
    <row r="26" spans="4:27" x14ac:dyDescent="0.2">
      <c r="R26" t="s">
        <v>42</v>
      </c>
      <c r="S26" s="31">
        <v>125000</v>
      </c>
      <c r="U26" t="s">
        <v>137</v>
      </c>
      <c r="V26" s="30">
        <f>COUNTIFS(CLEANED_MotorPH_Products_List_2!G:G,'Product Analysis'!U26)</f>
        <v>2</v>
      </c>
      <c r="W26" s="33">
        <f t="shared" si="4"/>
        <v>4.0816326530612242E-2</v>
      </c>
    </row>
    <row r="27" spans="4:27" x14ac:dyDescent="0.2">
      <c r="Q27" t="s">
        <v>163</v>
      </c>
      <c r="R27" t="s">
        <v>84</v>
      </c>
      <c r="S27" s="31">
        <v>995000</v>
      </c>
      <c r="U27" t="s">
        <v>139</v>
      </c>
      <c r="V27" s="30">
        <f>COUNTIFS(CLEANED_MotorPH_Products_List_2!G:G,'Product Analysis'!U27)</f>
        <v>1</v>
      </c>
      <c r="W27" s="33">
        <f t="shared" si="4"/>
        <v>2.0408163265306121E-2</v>
      </c>
    </row>
    <row r="28" spans="4:27" x14ac:dyDescent="0.2">
      <c r="R28" t="s">
        <v>99</v>
      </c>
      <c r="S28" s="31">
        <v>689000</v>
      </c>
      <c r="U28" t="s">
        <v>141</v>
      </c>
      <c r="V28" s="30">
        <f>COUNTIFS(CLEANED_MotorPH_Products_List_2!G:G,'Product Analysis'!U28)</f>
        <v>1</v>
      </c>
      <c r="W28" s="33">
        <f t="shared" si="4"/>
        <v>2.0408163265306121E-2</v>
      </c>
    </row>
    <row r="29" spans="4:27" x14ac:dyDescent="0.2">
      <c r="Q29" t="s">
        <v>112</v>
      </c>
      <c r="R29" t="s">
        <v>6</v>
      </c>
      <c r="S29" s="31">
        <v>389000</v>
      </c>
      <c r="U29" t="s">
        <v>143</v>
      </c>
      <c r="V29" s="30">
        <f>COUNTIFS(CLEANED_MotorPH_Products_List_2!G:G,'Product Analysis'!U29)</f>
        <v>1</v>
      </c>
      <c r="W29" s="33">
        <f t="shared" si="4"/>
        <v>2.0408163265306121E-2</v>
      </c>
    </row>
    <row r="30" spans="4:27" x14ac:dyDescent="0.2">
      <c r="R30" t="s">
        <v>10</v>
      </c>
      <c r="S30" s="31">
        <v>340000</v>
      </c>
      <c r="U30" t="s">
        <v>145</v>
      </c>
      <c r="V30" s="30">
        <f>COUNTIFS(CLEANED_MotorPH_Products_List_2!G:G,'Product Analysis'!U30)</f>
        <v>3</v>
      </c>
      <c r="W30" s="33">
        <f t="shared" si="4"/>
        <v>6.1224489795918366E-2</v>
      </c>
    </row>
    <row r="31" spans="4:27" x14ac:dyDescent="0.2">
      <c r="R31" t="s">
        <v>32</v>
      </c>
      <c r="S31" s="31">
        <v>198000</v>
      </c>
      <c r="U31" t="s">
        <v>147</v>
      </c>
      <c r="V31" s="30">
        <f>COUNTIFS(CLEANED_MotorPH_Products_List_2!G:G,'Product Analysis'!U31)</f>
        <v>3</v>
      </c>
      <c r="W31" s="33">
        <f t="shared" si="4"/>
        <v>6.1224489795918366E-2</v>
      </c>
    </row>
    <row r="32" spans="4:27" x14ac:dyDescent="0.2">
      <c r="R32" t="s">
        <v>90</v>
      </c>
      <c r="S32" s="31">
        <v>165000</v>
      </c>
      <c r="U32" t="s">
        <v>148</v>
      </c>
      <c r="V32" s="30">
        <f>COUNTIFS(CLEANED_MotorPH_Products_List_2!G:G,'Product Analysis'!U32)</f>
        <v>1</v>
      </c>
      <c r="W32" s="33">
        <f t="shared" si="4"/>
        <v>2.0408163265306121E-2</v>
      </c>
    </row>
    <row r="33" spans="17:23" x14ac:dyDescent="0.2">
      <c r="Q33" t="s">
        <v>138</v>
      </c>
      <c r="R33" t="s">
        <v>76</v>
      </c>
      <c r="S33" s="31">
        <v>369000</v>
      </c>
      <c r="U33" t="s">
        <v>150</v>
      </c>
      <c r="V33" s="30">
        <f>COUNTIFS(CLEANED_MotorPH_Products_List_2!G:G,'Product Analysis'!U33)</f>
        <v>3</v>
      </c>
      <c r="W33" s="33">
        <f t="shared" si="4"/>
        <v>6.1224489795918366E-2</v>
      </c>
    </row>
    <row r="34" spans="17:23" x14ac:dyDescent="0.2">
      <c r="R34" t="s">
        <v>34</v>
      </c>
      <c r="S34" s="31">
        <v>320000</v>
      </c>
      <c r="U34" t="s">
        <v>154</v>
      </c>
      <c r="V34" s="30">
        <f>COUNTIFS(CLEANED_MotorPH_Products_List_2!G:G,'Product Analysis'!U34)</f>
        <v>1</v>
      </c>
      <c r="W34" s="33">
        <f t="shared" si="4"/>
        <v>2.0408163265306121E-2</v>
      </c>
    </row>
    <row r="35" spans="17:23" x14ac:dyDescent="0.2">
      <c r="R35" t="s">
        <v>68</v>
      </c>
      <c r="S35" s="31">
        <v>248000</v>
      </c>
      <c r="U35" t="s">
        <v>156</v>
      </c>
      <c r="V35" s="30">
        <f>COUNTIFS(CLEANED_MotorPH_Products_List_2!G:G,'Product Analysis'!U35)</f>
        <v>1</v>
      </c>
      <c r="W35" s="33">
        <f t="shared" si="4"/>
        <v>2.0408163265306121E-2</v>
      </c>
    </row>
    <row r="36" spans="17:23" x14ac:dyDescent="0.2">
      <c r="R36" t="s">
        <v>51</v>
      </c>
      <c r="S36" s="31">
        <v>78900</v>
      </c>
      <c r="U36" t="s">
        <v>157</v>
      </c>
      <c r="V36" s="30">
        <f>COUNTIFS(CLEANED_MotorPH_Products_List_2!G:G,'Product Analysis'!U36)</f>
        <v>1</v>
      </c>
      <c r="W36" s="33">
        <f t="shared" si="4"/>
        <v>2.0408163265306121E-2</v>
      </c>
    </row>
    <row r="37" spans="17:23" x14ac:dyDescent="0.2">
      <c r="Q37" t="s">
        <v>153</v>
      </c>
      <c r="R37" t="s">
        <v>94</v>
      </c>
      <c r="S37" s="31">
        <v>299000</v>
      </c>
      <c r="U37" t="s">
        <v>158</v>
      </c>
      <c r="V37" s="30">
        <f>COUNTIFS(CLEANED_MotorPH_Products_List_2!G:G,'Product Analysis'!U37)</f>
        <v>1</v>
      </c>
      <c r="W37" s="33">
        <f t="shared" si="4"/>
        <v>2.0408163265306121E-2</v>
      </c>
    </row>
    <row r="38" spans="17:23" x14ac:dyDescent="0.2">
      <c r="R38" t="s">
        <v>61</v>
      </c>
      <c r="S38" s="31">
        <v>284900</v>
      </c>
      <c r="U38" t="s">
        <v>159</v>
      </c>
      <c r="V38" s="30">
        <f>COUNTIFS(CLEANED_MotorPH_Products_List_2!G:G,'Product Analysis'!U38)</f>
        <v>1</v>
      </c>
      <c r="W38" s="33">
        <f t="shared" si="4"/>
        <v>2.0408163265306121E-2</v>
      </c>
    </row>
    <row r="39" spans="17:23" x14ac:dyDescent="0.2">
      <c r="R39" t="s">
        <v>82</v>
      </c>
      <c r="S39" s="31">
        <v>199000</v>
      </c>
      <c r="U39" t="s">
        <v>161</v>
      </c>
      <c r="V39" s="30">
        <f>COUNTIFS(CLEANED_MotorPH_Products_List_2!G:G,'Product Analysis'!U39)</f>
        <v>1</v>
      </c>
      <c r="W39" s="33">
        <f t="shared" si="4"/>
        <v>2.0408163265306121E-2</v>
      </c>
    </row>
    <row r="40" spans="17:23" x14ac:dyDescent="0.2">
      <c r="Q40" t="s">
        <v>128</v>
      </c>
      <c r="R40" t="s">
        <v>18</v>
      </c>
      <c r="S40" s="31">
        <v>328000</v>
      </c>
      <c r="U40" t="s">
        <v>162</v>
      </c>
      <c r="V40" s="30">
        <f>COUNTIFS(CLEANED_MotorPH_Products_List_2!G:G,'Product Analysis'!U40)</f>
        <v>1</v>
      </c>
      <c r="W40" s="33">
        <f t="shared" si="4"/>
        <v>2.0408163265306121E-2</v>
      </c>
    </row>
    <row r="41" spans="17:23" x14ac:dyDescent="0.2">
      <c r="R41" t="s">
        <v>97</v>
      </c>
      <c r="S41" s="31">
        <v>269000</v>
      </c>
      <c r="U41" t="s">
        <v>166</v>
      </c>
      <c r="V41" s="30">
        <f>COUNTIFS(CLEANED_MotorPH_Products_List_2!G:G,'Product Analysis'!U41)</f>
        <v>1</v>
      </c>
      <c r="W41" s="33">
        <f t="shared" si="4"/>
        <v>2.0408163265306121E-2</v>
      </c>
    </row>
    <row r="42" spans="17:23" x14ac:dyDescent="0.2">
      <c r="Q42" t="s">
        <v>149</v>
      </c>
      <c r="R42" t="s">
        <v>53</v>
      </c>
      <c r="S42" s="31">
        <v>345000</v>
      </c>
      <c r="U42" t="s">
        <v>167</v>
      </c>
      <c r="V42" s="30">
        <f>COUNTIFS(CLEANED_MotorPH_Products_List_2!G:G,'Product Analysis'!U42)</f>
        <v>1</v>
      </c>
      <c r="W42" s="33">
        <f t="shared" si="4"/>
        <v>2.0408163265306121E-2</v>
      </c>
    </row>
    <row r="43" spans="17:23" x14ac:dyDescent="0.2">
      <c r="Q43" t="s">
        <v>121</v>
      </c>
      <c r="R43" t="s">
        <v>57</v>
      </c>
      <c r="S43" s="31">
        <v>125900</v>
      </c>
      <c r="U43" t="s">
        <v>168</v>
      </c>
      <c r="V43" s="30">
        <f>COUNTIFS(CLEANED_MotorPH_Products_List_2!G:G,'Product Analysis'!U43)</f>
        <v>1</v>
      </c>
      <c r="W43" s="33">
        <f t="shared" si="4"/>
        <v>2.0408163265306121E-2</v>
      </c>
    </row>
    <row r="44" spans="17:23" x14ac:dyDescent="0.2">
      <c r="R44" t="s">
        <v>12</v>
      </c>
      <c r="S44" s="31">
        <v>119900</v>
      </c>
      <c r="U44" t="s">
        <v>169</v>
      </c>
      <c r="V44" s="30">
        <f>COUNTIFS(CLEANED_MotorPH_Products_List_2!G:G,'Product Analysis'!U44)</f>
        <v>1</v>
      </c>
      <c r="W44" s="33">
        <f t="shared" si="4"/>
        <v>2.0408163265306121E-2</v>
      </c>
    </row>
    <row r="45" spans="17:23" x14ac:dyDescent="0.2">
      <c r="R45" t="s">
        <v>101</v>
      </c>
      <c r="S45" s="31">
        <v>72900</v>
      </c>
      <c r="U45" t="s">
        <v>170</v>
      </c>
      <c r="V45" s="30">
        <f>COUNTIFS(CLEANED_MotorPH_Products_List_2!G:G,'Product Analysis'!U45)</f>
        <v>1</v>
      </c>
      <c r="W45" s="33">
        <f t="shared" si="4"/>
        <v>2.0408163265306121E-2</v>
      </c>
    </row>
    <row r="46" spans="17:23" x14ac:dyDescent="0.2">
      <c r="Q46" t="s">
        <v>142</v>
      </c>
      <c r="R46" t="s">
        <v>38</v>
      </c>
      <c r="S46" s="31">
        <v>295000</v>
      </c>
      <c r="U46" t="s">
        <v>171</v>
      </c>
      <c r="V46" s="30">
        <f>COUNTIFS(CLEANED_MotorPH_Products_List_2!G:G,'Product Analysis'!U46)</f>
        <v>1</v>
      </c>
      <c r="W46" s="33">
        <f t="shared" si="4"/>
        <v>2.0408163265306121E-2</v>
      </c>
    </row>
    <row r="47" spans="17:23" x14ac:dyDescent="0.2">
      <c r="Q47" t="s">
        <v>123</v>
      </c>
      <c r="R47" t="s">
        <v>14</v>
      </c>
      <c r="S47" s="31">
        <v>250000</v>
      </c>
    </row>
    <row r="48" spans="17:23" x14ac:dyDescent="0.2">
      <c r="Q48" t="s">
        <v>132</v>
      </c>
      <c r="R48" t="s">
        <v>24</v>
      </c>
      <c r="S48" s="31">
        <v>199900</v>
      </c>
    </row>
    <row r="49" spans="17:19" x14ac:dyDescent="0.2">
      <c r="Q49" t="s">
        <v>131</v>
      </c>
      <c r="R49" t="s">
        <v>22</v>
      </c>
      <c r="S49" s="31">
        <v>182000</v>
      </c>
    </row>
    <row r="50" spans="17:19" x14ac:dyDescent="0.2">
      <c r="Q50" t="s">
        <v>151</v>
      </c>
      <c r="R50" t="s">
        <v>59</v>
      </c>
      <c r="S50" s="31">
        <v>67900</v>
      </c>
    </row>
    <row r="51" spans="17:19" x14ac:dyDescent="0.2">
      <c r="R51" t="s">
        <v>63</v>
      </c>
      <c r="S51" s="31">
        <v>48000</v>
      </c>
    </row>
    <row r="52" spans="17:19" x14ac:dyDescent="0.2">
      <c r="Q52" t="s">
        <v>160</v>
      </c>
      <c r="R52" t="s">
        <v>78</v>
      </c>
      <c r="S52" s="31">
        <v>99900</v>
      </c>
    </row>
    <row r="53" spans="17:19" x14ac:dyDescent="0.2">
      <c r="Q53" t="s">
        <v>146</v>
      </c>
      <c r="R53" t="s">
        <v>49</v>
      </c>
      <c r="S53" s="31">
        <v>68900</v>
      </c>
    </row>
    <row r="54" spans="17:19" x14ac:dyDescent="0.2">
      <c r="Q54" t="s">
        <v>186</v>
      </c>
      <c r="S54" s="31">
        <v>12893600</v>
      </c>
    </row>
  </sheetData>
  <sheetProtection sheet="1" objects="1" scenarios="1" selectLockedCells="1" pivotTables="0"/>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51"/>
  <sheetViews>
    <sheetView workbookViewId="0">
      <selection activeCell="I19" sqref="I19"/>
    </sheetView>
  </sheetViews>
  <sheetFormatPr defaultColWidth="12.5703125" defaultRowHeight="15.75" customHeight="1" x14ac:dyDescent="0.2"/>
  <cols>
    <col min="1" max="1" width="14" customWidth="1"/>
    <col min="2" max="2" width="23.42578125" customWidth="1"/>
    <col min="3" max="3" width="14.7109375" customWidth="1"/>
    <col min="4" max="4" width="15.42578125" customWidth="1"/>
    <col min="5" max="5" width="21" customWidth="1"/>
    <col min="6" max="8" width="19.42578125" customWidth="1"/>
    <col min="9" max="9" width="15.85546875" customWidth="1"/>
    <col min="10" max="10" width="14.5703125" customWidth="1"/>
  </cols>
  <sheetData>
    <row r="1" spans="1:11" ht="48.75" customHeight="1" x14ac:dyDescent="0.2">
      <c r="A1" s="2" t="s">
        <v>103</v>
      </c>
      <c r="B1" s="3" t="s">
        <v>104</v>
      </c>
      <c r="C1" s="4" t="s">
        <v>105</v>
      </c>
      <c r="D1" s="5" t="s">
        <v>106</v>
      </c>
      <c r="E1" s="6" t="s">
        <v>107</v>
      </c>
      <c r="F1" s="6" t="s">
        <v>108</v>
      </c>
      <c r="G1" s="6" t="s">
        <v>109</v>
      </c>
      <c r="H1" s="6" t="s">
        <v>110</v>
      </c>
      <c r="I1" s="6" t="s">
        <v>3</v>
      </c>
      <c r="J1" s="7" t="s">
        <v>111</v>
      </c>
      <c r="K1" s="48" t="s">
        <v>217</v>
      </c>
    </row>
    <row r="2" spans="1:11" ht="15" x14ac:dyDescent="0.3">
      <c r="A2" s="8">
        <v>1</v>
      </c>
      <c r="B2" s="9" t="s">
        <v>6</v>
      </c>
      <c r="C2" s="9" t="s">
        <v>112</v>
      </c>
      <c r="D2" s="10">
        <v>389000</v>
      </c>
      <c r="E2" s="11" t="s">
        <v>113</v>
      </c>
      <c r="F2" s="11" t="s">
        <v>114</v>
      </c>
      <c r="G2" s="11" t="s">
        <v>115</v>
      </c>
      <c r="H2" s="11" t="s">
        <v>116</v>
      </c>
      <c r="I2" s="11">
        <v>2021</v>
      </c>
      <c r="J2" s="12">
        <v>2023</v>
      </c>
      <c r="K2" t="s">
        <v>218</v>
      </c>
    </row>
    <row r="3" spans="1:11" ht="15" x14ac:dyDescent="0.3">
      <c r="A3" s="13">
        <v>2</v>
      </c>
      <c r="B3" s="14" t="s">
        <v>8</v>
      </c>
      <c r="C3" s="14" t="s">
        <v>117</v>
      </c>
      <c r="D3" s="15">
        <v>178000</v>
      </c>
      <c r="E3" s="16" t="s">
        <v>118</v>
      </c>
      <c r="F3" s="16" t="s">
        <v>114</v>
      </c>
      <c r="G3" s="16" t="s">
        <v>119</v>
      </c>
      <c r="H3" s="16" t="s">
        <v>116</v>
      </c>
      <c r="I3" s="16">
        <v>2022</v>
      </c>
      <c r="J3" s="17">
        <v>2023</v>
      </c>
      <c r="K3" t="s">
        <v>219</v>
      </c>
    </row>
    <row r="4" spans="1:11" ht="15" x14ac:dyDescent="0.3">
      <c r="A4" s="13">
        <v>3</v>
      </c>
      <c r="B4" s="14" t="s">
        <v>10</v>
      </c>
      <c r="C4" s="14" t="s">
        <v>112</v>
      </c>
      <c r="D4" s="15">
        <v>340000</v>
      </c>
      <c r="E4" s="16" t="s">
        <v>113</v>
      </c>
      <c r="F4" s="16" t="s">
        <v>114</v>
      </c>
      <c r="G4" s="16" t="s">
        <v>120</v>
      </c>
      <c r="H4" s="16" t="s">
        <v>116</v>
      </c>
      <c r="I4" s="16">
        <v>2023</v>
      </c>
      <c r="J4" s="17">
        <v>2024</v>
      </c>
      <c r="K4" t="s">
        <v>218</v>
      </c>
    </row>
    <row r="5" spans="1:11" ht="15" x14ac:dyDescent="0.3">
      <c r="A5" s="13">
        <v>4</v>
      </c>
      <c r="B5" s="14" t="s">
        <v>12</v>
      </c>
      <c r="C5" s="14" t="s">
        <v>121</v>
      </c>
      <c r="D5" s="15">
        <v>119900</v>
      </c>
      <c r="E5" s="16" t="s">
        <v>118</v>
      </c>
      <c r="F5" s="16" t="s">
        <v>114</v>
      </c>
      <c r="G5" s="16" t="s">
        <v>122</v>
      </c>
      <c r="H5" s="16" t="s">
        <v>116</v>
      </c>
      <c r="I5" s="16">
        <v>2020</v>
      </c>
      <c r="J5" s="17">
        <v>2021</v>
      </c>
      <c r="K5" t="s">
        <v>219</v>
      </c>
    </row>
    <row r="6" spans="1:11" ht="15" x14ac:dyDescent="0.3">
      <c r="A6" s="13">
        <v>5</v>
      </c>
      <c r="B6" s="14" t="s">
        <v>14</v>
      </c>
      <c r="C6" s="14" t="s">
        <v>123</v>
      </c>
      <c r="D6" s="15">
        <v>250000</v>
      </c>
      <c r="E6" s="16" t="s">
        <v>118</v>
      </c>
      <c r="F6" s="16" t="s">
        <v>124</v>
      </c>
      <c r="G6" s="16" t="s">
        <v>125</v>
      </c>
      <c r="H6" s="16" t="s">
        <v>126</v>
      </c>
      <c r="I6" s="16">
        <v>2022</v>
      </c>
      <c r="J6" s="17">
        <v>2023</v>
      </c>
      <c r="K6" t="s">
        <v>218</v>
      </c>
    </row>
    <row r="7" spans="1:11" ht="15" x14ac:dyDescent="0.3">
      <c r="A7" s="13">
        <v>6</v>
      </c>
      <c r="B7" s="14" t="s">
        <v>16</v>
      </c>
      <c r="C7" s="14" t="s">
        <v>117</v>
      </c>
      <c r="D7" s="15">
        <v>165000</v>
      </c>
      <c r="E7" s="16" t="s">
        <v>118</v>
      </c>
      <c r="F7" s="16" t="s">
        <v>114</v>
      </c>
      <c r="G7" s="16" t="s">
        <v>127</v>
      </c>
      <c r="H7" s="16" t="s">
        <v>116</v>
      </c>
      <c r="I7" s="16">
        <v>2021</v>
      </c>
      <c r="J7" s="17">
        <v>2022</v>
      </c>
      <c r="K7" t="s">
        <v>218</v>
      </c>
    </row>
    <row r="8" spans="1:11" ht="15" x14ac:dyDescent="0.3">
      <c r="A8" s="13">
        <v>7</v>
      </c>
      <c r="B8" s="14" t="s">
        <v>18</v>
      </c>
      <c r="C8" s="14" t="s">
        <v>128</v>
      </c>
      <c r="D8" s="15">
        <v>328000</v>
      </c>
      <c r="E8" s="16" t="s">
        <v>129</v>
      </c>
      <c r="F8" s="16" t="s">
        <v>124</v>
      </c>
      <c r="G8" s="16" t="s">
        <v>115</v>
      </c>
      <c r="H8" s="16" t="s">
        <v>116</v>
      </c>
      <c r="I8" s="16">
        <v>2022</v>
      </c>
      <c r="J8" s="17">
        <v>2023</v>
      </c>
      <c r="K8" t="s">
        <v>218</v>
      </c>
    </row>
    <row r="9" spans="1:11" ht="15" x14ac:dyDescent="0.3">
      <c r="A9" s="13">
        <v>8</v>
      </c>
      <c r="B9" s="14" t="s">
        <v>20</v>
      </c>
      <c r="C9" s="14" t="s">
        <v>117</v>
      </c>
      <c r="D9" s="15">
        <v>178000</v>
      </c>
      <c r="E9" s="16" t="s">
        <v>118</v>
      </c>
      <c r="F9" s="16" t="s">
        <v>114</v>
      </c>
      <c r="G9" s="16" t="s">
        <v>130</v>
      </c>
      <c r="H9" s="16" t="s">
        <v>116</v>
      </c>
      <c r="I9" s="16">
        <v>2023</v>
      </c>
      <c r="J9" s="17">
        <v>2024</v>
      </c>
      <c r="K9" t="s">
        <v>219</v>
      </c>
    </row>
    <row r="10" spans="1:11" ht="15" x14ac:dyDescent="0.3">
      <c r="A10" s="13">
        <v>9</v>
      </c>
      <c r="B10" s="14" t="s">
        <v>22</v>
      </c>
      <c r="C10" s="14" t="s">
        <v>131</v>
      </c>
      <c r="D10" s="15">
        <v>182000</v>
      </c>
      <c r="E10" s="16" t="s">
        <v>118</v>
      </c>
      <c r="F10" s="16" t="s">
        <v>114</v>
      </c>
      <c r="G10" s="16" t="s">
        <v>119</v>
      </c>
      <c r="H10" s="16" t="s">
        <v>116</v>
      </c>
      <c r="I10" s="16">
        <v>2022</v>
      </c>
      <c r="J10" s="17">
        <v>2023</v>
      </c>
      <c r="K10" t="s">
        <v>219</v>
      </c>
    </row>
    <row r="11" spans="1:11" ht="15" x14ac:dyDescent="0.3">
      <c r="A11" s="13">
        <v>10</v>
      </c>
      <c r="B11" s="14" t="s">
        <v>24</v>
      </c>
      <c r="C11" s="14" t="s">
        <v>132</v>
      </c>
      <c r="D11" s="15">
        <v>199900</v>
      </c>
      <c r="E11" s="16" t="s">
        <v>118</v>
      </c>
      <c r="F11" s="16" t="s">
        <v>114</v>
      </c>
      <c r="G11" s="16" t="s">
        <v>133</v>
      </c>
      <c r="H11" s="16" t="s">
        <v>116</v>
      </c>
      <c r="I11" s="16">
        <v>2021</v>
      </c>
      <c r="J11" s="17">
        <v>2022</v>
      </c>
      <c r="K11" t="s">
        <v>218</v>
      </c>
    </row>
    <row r="12" spans="1:11" ht="15" x14ac:dyDescent="0.3">
      <c r="A12" s="13">
        <v>11</v>
      </c>
      <c r="B12" s="14" t="s">
        <v>26</v>
      </c>
      <c r="C12" s="14" t="s">
        <v>134</v>
      </c>
      <c r="D12" s="15">
        <v>151900</v>
      </c>
      <c r="E12" s="16" t="s">
        <v>118</v>
      </c>
      <c r="F12" s="16" t="s">
        <v>114</v>
      </c>
      <c r="G12" s="16" t="s">
        <v>119</v>
      </c>
      <c r="H12" s="16" t="s">
        <v>135</v>
      </c>
      <c r="I12" s="16">
        <v>2022</v>
      </c>
      <c r="J12" s="17">
        <v>2023</v>
      </c>
      <c r="K12" t="s">
        <v>219</v>
      </c>
    </row>
    <row r="13" spans="1:11" ht="15" x14ac:dyDescent="0.3">
      <c r="A13" s="13">
        <v>12</v>
      </c>
      <c r="B13" s="14" t="s">
        <v>28</v>
      </c>
      <c r="C13" s="14" t="s">
        <v>134</v>
      </c>
      <c r="D13" s="15">
        <v>164900</v>
      </c>
      <c r="E13" s="16" t="s">
        <v>118</v>
      </c>
      <c r="F13" s="16" t="s">
        <v>114</v>
      </c>
      <c r="G13" s="16" t="s">
        <v>136</v>
      </c>
      <c r="H13" s="16" t="s">
        <v>135</v>
      </c>
      <c r="I13" s="16">
        <v>2023</v>
      </c>
      <c r="J13" s="17">
        <v>2024</v>
      </c>
      <c r="K13" t="s">
        <v>219</v>
      </c>
    </row>
    <row r="14" spans="1:11" ht="15" x14ac:dyDescent="0.3">
      <c r="A14" s="13">
        <v>13</v>
      </c>
      <c r="B14" s="14" t="s">
        <v>30</v>
      </c>
      <c r="C14" s="14" t="s">
        <v>134</v>
      </c>
      <c r="D14" s="15">
        <v>79900</v>
      </c>
      <c r="E14" s="16" t="s">
        <v>118</v>
      </c>
      <c r="F14" s="16" t="s">
        <v>124</v>
      </c>
      <c r="G14" s="16" t="s">
        <v>137</v>
      </c>
      <c r="H14" s="16" t="s">
        <v>135</v>
      </c>
      <c r="I14" s="16">
        <v>2023</v>
      </c>
      <c r="J14" s="17">
        <v>2024</v>
      </c>
      <c r="K14" t="s">
        <v>219</v>
      </c>
    </row>
    <row r="15" spans="1:11" ht="15" x14ac:dyDescent="0.3">
      <c r="A15" s="13">
        <v>14</v>
      </c>
      <c r="B15" s="14" t="s">
        <v>32</v>
      </c>
      <c r="C15" s="14" t="s">
        <v>112</v>
      </c>
      <c r="D15" s="15">
        <v>198000</v>
      </c>
      <c r="E15" s="16" t="s">
        <v>118</v>
      </c>
      <c r="F15" s="16" t="s">
        <v>114</v>
      </c>
      <c r="G15" s="16" t="s">
        <v>130</v>
      </c>
      <c r="H15" s="16" t="s">
        <v>116</v>
      </c>
      <c r="I15" s="16">
        <v>2021</v>
      </c>
      <c r="J15" s="17">
        <v>2022</v>
      </c>
      <c r="K15" t="s">
        <v>219</v>
      </c>
    </row>
    <row r="16" spans="1:11" ht="15" x14ac:dyDescent="0.3">
      <c r="A16" s="13">
        <v>15</v>
      </c>
      <c r="B16" s="14" t="s">
        <v>34</v>
      </c>
      <c r="C16" s="14" t="s">
        <v>138</v>
      </c>
      <c r="D16" s="15">
        <v>320000</v>
      </c>
      <c r="E16" s="16" t="s">
        <v>118</v>
      </c>
      <c r="F16" s="16" t="s">
        <v>114</v>
      </c>
      <c r="G16" s="16" t="s">
        <v>139</v>
      </c>
      <c r="H16" s="16" t="s">
        <v>116</v>
      </c>
      <c r="I16" s="16">
        <v>2023</v>
      </c>
      <c r="J16" s="17">
        <v>2024</v>
      </c>
      <c r="K16" t="s">
        <v>218</v>
      </c>
    </row>
    <row r="17" spans="1:11" ht="15" x14ac:dyDescent="0.3">
      <c r="A17" s="13">
        <v>16</v>
      </c>
      <c r="B17" s="14" t="s">
        <v>36</v>
      </c>
      <c r="C17" s="14" t="s">
        <v>117</v>
      </c>
      <c r="D17" s="15">
        <v>129000</v>
      </c>
      <c r="E17" s="16" t="s">
        <v>118</v>
      </c>
      <c r="F17" s="16" t="s">
        <v>140</v>
      </c>
      <c r="G17" s="16" t="s">
        <v>141</v>
      </c>
      <c r="H17" s="16" t="s">
        <v>126</v>
      </c>
      <c r="I17" s="16">
        <v>2022</v>
      </c>
      <c r="J17" s="17">
        <v>2023</v>
      </c>
      <c r="K17" t="s">
        <v>219</v>
      </c>
    </row>
    <row r="18" spans="1:11" ht="15" x14ac:dyDescent="0.3">
      <c r="A18" s="13">
        <v>17</v>
      </c>
      <c r="B18" s="14" t="s">
        <v>38</v>
      </c>
      <c r="C18" s="14" t="s">
        <v>142</v>
      </c>
      <c r="D18" s="15">
        <v>295000</v>
      </c>
      <c r="E18" s="16" t="s">
        <v>118</v>
      </c>
      <c r="F18" s="16" t="s">
        <v>114</v>
      </c>
      <c r="G18" s="16" t="s">
        <v>133</v>
      </c>
      <c r="H18" s="16" t="s">
        <v>116</v>
      </c>
      <c r="I18" s="16">
        <v>2023</v>
      </c>
      <c r="J18" s="17">
        <v>2024</v>
      </c>
      <c r="K18" t="s">
        <v>218</v>
      </c>
    </row>
    <row r="19" spans="1:11" ht="15" x14ac:dyDescent="0.3">
      <c r="A19" s="13">
        <v>18</v>
      </c>
      <c r="B19" s="14" t="s">
        <v>40</v>
      </c>
      <c r="C19" s="14" t="s">
        <v>134</v>
      </c>
      <c r="D19" s="15">
        <v>210000</v>
      </c>
      <c r="E19" s="16" t="s">
        <v>118</v>
      </c>
      <c r="F19" s="16" t="s">
        <v>124</v>
      </c>
      <c r="G19" s="16" t="s">
        <v>122</v>
      </c>
      <c r="H19" s="16" t="s">
        <v>135</v>
      </c>
      <c r="I19" s="16">
        <v>2022</v>
      </c>
      <c r="J19" s="17">
        <v>2023</v>
      </c>
      <c r="K19" t="s">
        <v>219</v>
      </c>
    </row>
    <row r="20" spans="1:11" ht="15" x14ac:dyDescent="0.3">
      <c r="A20" s="13">
        <v>19</v>
      </c>
      <c r="B20" s="14" t="s">
        <v>42</v>
      </c>
      <c r="C20" s="14" t="s">
        <v>117</v>
      </c>
      <c r="D20" s="15">
        <v>125000</v>
      </c>
      <c r="E20" s="16" t="s">
        <v>118</v>
      </c>
      <c r="F20" s="16" t="s">
        <v>114</v>
      </c>
      <c r="G20" s="16" t="s">
        <v>143</v>
      </c>
      <c r="H20" s="16" t="s">
        <v>116</v>
      </c>
      <c r="I20" s="16">
        <v>2021</v>
      </c>
      <c r="J20" s="17">
        <v>2022</v>
      </c>
      <c r="K20" t="s">
        <v>219</v>
      </c>
    </row>
    <row r="21" spans="1:11" ht="15" x14ac:dyDescent="0.3">
      <c r="A21" s="13">
        <v>20</v>
      </c>
      <c r="B21" s="14" t="s">
        <v>44</v>
      </c>
      <c r="C21" s="14" t="s">
        <v>117</v>
      </c>
      <c r="D21" s="15">
        <v>331000</v>
      </c>
      <c r="E21" s="16" t="s">
        <v>113</v>
      </c>
      <c r="F21" s="16" t="s">
        <v>114</v>
      </c>
      <c r="G21" s="16" t="s">
        <v>120</v>
      </c>
      <c r="H21" s="16" t="s">
        <v>116</v>
      </c>
      <c r="I21" s="16">
        <v>2023</v>
      </c>
      <c r="J21" s="17">
        <v>2024</v>
      </c>
      <c r="K21" t="s">
        <v>218</v>
      </c>
    </row>
    <row r="22" spans="1:11" ht="15" x14ac:dyDescent="0.3">
      <c r="A22" s="13">
        <v>21</v>
      </c>
      <c r="B22" s="14" t="s">
        <v>46</v>
      </c>
      <c r="C22" s="14" t="s">
        <v>134</v>
      </c>
      <c r="D22" s="15">
        <v>124000</v>
      </c>
      <c r="E22" s="16" t="s">
        <v>118</v>
      </c>
      <c r="F22" s="16" t="s">
        <v>114</v>
      </c>
      <c r="G22" s="16" t="s">
        <v>119</v>
      </c>
      <c r="H22" s="16" t="s">
        <v>135</v>
      </c>
      <c r="I22" s="16">
        <v>2022</v>
      </c>
      <c r="J22" s="17">
        <v>2023</v>
      </c>
      <c r="K22" t="s">
        <v>219</v>
      </c>
    </row>
    <row r="23" spans="1:11" ht="15" x14ac:dyDescent="0.3">
      <c r="A23" s="13">
        <v>22</v>
      </c>
      <c r="B23" s="14" t="s">
        <v>47</v>
      </c>
      <c r="C23" s="14" t="s">
        <v>144</v>
      </c>
      <c r="D23" s="15">
        <v>398000</v>
      </c>
      <c r="E23" s="16" t="s">
        <v>113</v>
      </c>
      <c r="F23" s="16" t="s">
        <v>114</v>
      </c>
      <c r="G23" s="16" t="s">
        <v>145</v>
      </c>
      <c r="H23" s="16" t="s">
        <v>116</v>
      </c>
      <c r="I23" s="16">
        <v>2022</v>
      </c>
      <c r="J23" s="17">
        <v>2023</v>
      </c>
      <c r="K23" t="s">
        <v>220</v>
      </c>
    </row>
    <row r="24" spans="1:11" ht="15" x14ac:dyDescent="0.3">
      <c r="A24" s="13">
        <v>23</v>
      </c>
      <c r="B24" s="14" t="s">
        <v>49</v>
      </c>
      <c r="C24" s="14" t="s">
        <v>146</v>
      </c>
      <c r="D24" s="15">
        <v>68900</v>
      </c>
      <c r="E24" s="16" t="s">
        <v>118</v>
      </c>
      <c r="F24" s="16" t="s">
        <v>124</v>
      </c>
      <c r="G24" s="16" t="s">
        <v>147</v>
      </c>
      <c r="H24" s="16" t="s">
        <v>126</v>
      </c>
      <c r="I24" s="16">
        <v>2021</v>
      </c>
      <c r="J24" s="17">
        <v>2022</v>
      </c>
      <c r="K24" t="s">
        <v>219</v>
      </c>
    </row>
    <row r="25" spans="1:11" ht="15" x14ac:dyDescent="0.3">
      <c r="A25" s="13">
        <v>24</v>
      </c>
      <c r="B25" s="14" t="s">
        <v>51</v>
      </c>
      <c r="C25" s="14" t="s">
        <v>138</v>
      </c>
      <c r="D25" s="15">
        <v>78900</v>
      </c>
      <c r="E25" s="16" t="s">
        <v>118</v>
      </c>
      <c r="F25" s="16" t="s">
        <v>140</v>
      </c>
      <c r="G25" s="16" t="s">
        <v>148</v>
      </c>
      <c r="H25" s="16" t="s">
        <v>116</v>
      </c>
      <c r="I25" s="16">
        <v>2020</v>
      </c>
      <c r="J25" s="17">
        <v>2021</v>
      </c>
      <c r="K25" t="s">
        <v>218</v>
      </c>
    </row>
    <row r="26" spans="1:11" ht="15" x14ac:dyDescent="0.3">
      <c r="A26" s="13">
        <v>25</v>
      </c>
      <c r="B26" s="14" t="s">
        <v>53</v>
      </c>
      <c r="C26" s="14" t="s">
        <v>149</v>
      </c>
      <c r="D26" s="15">
        <v>345000</v>
      </c>
      <c r="E26" s="16" t="s">
        <v>113</v>
      </c>
      <c r="F26" s="16" t="s">
        <v>114</v>
      </c>
      <c r="G26" s="16" t="s">
        <v>145</v>
      </c>
      <c r="H26" s="16" t="s">
        <v>116</v>
      </c>
      <c r="I26" s="16">
        <v>2023</v>
      </c>
      <c r="J26" s="17">
        <v>2024</v>
      </c>
      <c r="K26" t="s">
        <v>220</v>
      </c>
    </row>
    <row r="27" spans="1:11" ht="15" x14ac:dyDescent="0.3">
      <c r="A27" s="13">
        <v>26</v>
      </c>
      <c r="B27" s="14" t="s">
        <v>55</v>
      </c>
      <c r="C27" s="14" t="s">
        <v>134</v>
      </c>
      <c r="D27" s="15">
        <v>80900</v>
      </c>
      <c r="E27" s="16" t="s">
        <v>118</v>
      </c>
      <c r="F27" s="16" t="s">
        <v>114</v>
      </c>
      <c r="G27" s="16" t="s">
        <v>150</v>
      </c>
      <c r="H27" s="16" t="s">
        <v>135</v>
      </c>
      <c r="I27" s="16">
        <v>2022</v>
      </c>
      <c r="J27" s="17">
        <v>2023</v>
      </c>
      <c r="K27" t="s">
        <v>219</v>
      </c>
    </row>
    <row r="28" spans="1:11" ht="15" x14ac:dyDescent="0.3">
      <c r="A28" s="13">
        <v>27</v>
      </c>
      <c r="B28" s="14" t="s">
        <v>57</v>
      </c>
      <c r="C28" s="14" t="s">
        <v>121</v>
      </c>
      <c r="D28" s="15">
        <v>125900</v>
      </c>
      <c r="E28" s="16" t="s">
        <v>118</v>
      </c>
      <c r="F28" s="16" t="s">
        <v>114</v>
      </c>
      <c r="G28" s="16" t="s">
        <v>119</v>
      </c>
      <c r="H28" s="16" t="s">
        <v>116</v>
      </c>
      <c r="I28" s="16">
        <v>2023</v>
      </c>
      <c r="J28" s="17">
        <v>2024</v>
      </c>
      <c r="K28" t="s">
        <v>219</v>
      </c>
    </row>
    <row r="29" spans="1:11" ht="15" x14ac:dyDescent="0.3">
      <c r="A29" s="13">
        <v>28</v>
      </c>
      <c r="B29" s="14" t="s">
        <v>59</v>
      </c>
      <c r="C29" s="14" t="s">
        <v>151</v>
      </c>
      <c r="D29" s="15">
        <v>67900</v>
      </c>
      <c r="E29" s="16" t="s">
        <v>118</v>
      </c>
      <c r="F29" s="16" t="s">
        <v>124</v>
      </c>
      <c r="G29" s="16" t="s">
        <v>150</v>
      </c>
      <c r="H29" s="16" t="s">
        <v>152</v>
      </c>
      <c r="I29" s="16">
        <v>2021</v>
      </c>
      <c r="J29" s="17">
        <v>2022</v>
      </c>
      <c r="K29" t="s">
        <v>219</v>
      </c>
    </row>
    <row r="30" spans="1:11" ht="15" x14ac:dyDescent="0.3">
      <c r="A30" s="13">
        <v>29</v>
      </c>
      <c r="B30" s="14" t="s">
        <v>61</v>
      </c>
      <c r="C30" s="14" t="s">
        <v>153</v>
      </c>
      <c r="D30" s="15">
        <v>284900</v>
      </c>
      <c r="E30" s="16" t="s">
        <v>118</v>
      </c>
      <c r="F30" s="16" t="s">
        <v>114</v>
      </c>
      <c r="G30" s="16" t="s">
        <v>154</v>
      </c>
      <c r="H30" s="16" t="s">
        <v>116</v>
      </c>
      <c r="I30" s="16">
        <v>2023</v>
      </c>
      <c r="J30" s="17">
        <v>2024</v>
      </c>
      <c r="K30" t="s">
        <v>218</v>
      </c>
    </row>
    <row r="31" spans="1:11" ht="15" x14ac:dyDescent="0.3">
      <c r="A31" s="13">
        <v>30</v>
      </c>
      <c r="B31" s="14" t="s">
        <v>63</v>
      </c>
      <c r="C31" s="14" t="s">
        <v>151</v>
      </c>
      <c r="D31" s="15">
        <v>48000</v>
      </c>
      <c r="E31" s="16" t="s">
        <v>118</v>
      </c>
      <c r="F31" s="16" t="s">
        <v>124</v>
      </c>
      <c r="G31" s="16" t="s">
        <v>150</v>
      </c>
      <c r="H31" s="16" t="s">
        <v>152</v>
      </c>
      <c r="I31" s="16">
        <v>2020</v>
      </c>
      <c r="J31" s="17">
        <v>2021</v>
      </c>
      <c r="K31" t="s">
        <v>219</v>
      </c>
    </row>
    <row r="32" spans="1:11" ht="15" x14ac:dyDescent="0.3">
      <c r="A32" s="13">
        <v>31</v>
      </c>
      <c r="B32" s="14" t="s">
        <v>64</v>
      </c>
      <c r="C32" s="14" t="s">
        <v>134</v>
      </c>
      <c r="D32" s="15">
        <v>128000</v>
      </c>
      <c r="E32" s="16" t="s">
        <v>118</v>
      </c>
      <c r="F32" s="16" t="s">
        <v>114</v>
      </c>
      <c r="G32" s="16" t="s">
        <v>147</v>
      </c>
      <c r="H32" s="16" t="s">
        <v>135</v>
      </c>
      <c r="I32" s="16">
        <v>2022</v>
      </c>
      <c r="J32" s="17">
        <v>2023</v>
      </c>
      <c r="K32" t="s">
        <v>219</v>
      </c>
    </row>
    <row r="33" spans="1:11" ht="15" x14ac:dyDescent="0.3">
      <c r="A33" s="13">
        <v>32</v>
      </c>
      <c r="B33" s="14" t="s">
        <v>66</v>
      </c>
      <c r="C33" s="14" t="s">
        <v>144</v>
      </c>
      <c r="D33" s="15">
        <v>499000</v>
      </c>
      <c r="E33" s="16" t="s">
        <v>155</v>
      </c>
      <c r="F33" s="16" t="s">
        <v>114</v>
      </c>
      <c r="G33" s="16" t="s">
        <v>156</v>
      </c>
      <c r="H33" s="16" t="s">
        <v>116</v>
      </c>
      <c r="I33" s="16">
        <v>2020</v>
      </c>
      <c r="J33" s="17">
        <v>2021</v>
      </c>
      <c r="K33" t="s">
        <v>220</v>
      </c>
    </row>
    <row r="34" spans="1:11" ht="15" x14ac:dyDescent="0.3">
      <c r="A34" s="13">
        <v>33</v>
      </c>
      <c r="B34" s="14" t="s">
        <v>68</v>
      </c>
      <c r="C34" s="14" t="s">
        <v>138</v>
      </c>
      <c r="D34" s="15">
        <v>248000</v>
      </c>
      <c r="E34" s="16" t="s">
        <v>118</v>
      </c>
      <c r="F34" s="16" t="s">
        <v>114</v>
      </c>
      <c r="G34" s="16" t="s">
        <v>157</v>
      </c>
      <c r="H34" s="16" t="s">
        <v>116</v>
      </c>
      <c r="I34" s="16">
        <v>2023</v>
      </c>
      <c r="J34" s="17">
        <v>2024</v>
      </c>
      <c r="K34" t="s">
        <v>218</v>
      </c>
    </row>
    <row r="35" spans="1:11" ht="15" x14ac:dyDescent="0.3">
      <c r="A35" s="13">
        <v>34</v>
      </c>
      <c r="B35" s="14" t="s">
        <v>70</v>
      </c>
      <c r="C35" s="14" t="s">
        <v>134</v>
      </c>
      <c r="D35" s="15">
        <v>219000</v>
      </c>
      <c r="E35" s="16" t="s">
        <v>118</v>
      </c>
      <c r="F35" s="16" t="s">
        <v>114</v>
      </c>
      <c r="G35" s="16" t="s">
        <v>158</v>
      </c>
      <c r="H35" s="16" t="s">
        <v>135</v>
      </c>
      <c r="I35" s="16">
        <v>2023</v>
      </c>
      <c r="J35" s="17">
        <v>2024</v>
      </c>
      <c r="K35" t="s">
        <v>219</v>
      </c>
    </row>
    <row r="36" spans="1:11" ht="15" x14ac:dyDescent="0.3">
      <c r="A36" s="13">
        <v>35</v>
      </c>
      <c r="B36" s="14" t="s">
        <v>72</v>
      </c>
      <c r="C36" s="14" t="s">
        <v>134</v>
      </c>
      <c r="D36" s="15">
        <v>319000</v>
      </c>
      <c r="E36" s="16" t="s">
        <v>118</v>
      </c>
      <c r="F36" s="16" t="s">
        <v>114</v>
      </c>
      <c r="G36" s="16" t="s">
        <v>127</v>
      </c>
      <c r="H36" s="16" t="s">
        <v>135</v>
      </c>
      <c r="I36" s="16">
        <v>2022</v>
      </c>
      <c r="J36" s="17">
        <v>2023</v>
      </c>
      <c r="K36" t="s">
        <v>218</v>
      </c>
    </row>
    <row r="37" spans="1:11" ht="15" x14ac:dyDescent="0.3">
      <c r="A37" s="13">
        <v>36</v>
      </c>
      <c r="B37" s="14" t="s">
        <v>74</v>
      </c>
      <c r="C37" s="14" t="s">
        <v>144</v>
      </c>
      <c r="D37" s="15">
        <v>349000</v>
      </c>
      <c r="E37" s="16" t="s">
        <v>113</v>
      </c>
      <c r="F37" s="16" t="s">
        <v>114</v>
      </c>
      <c r="G37" s="16" t="s">
        <v>159</v>
      </c>
      <c r="H37" s="16" t="s">
        <v>116</v>
      </c>
      <c r="I37" s="16">
        <v>2022</v>
      </c>
      <c r="J37" s="17">
        <v>2023</v>
      </c>
      <c r="K37" t="s">
        <v>218</v>
      </c>
    </row>
    <row r="38" spans="1:11" ht="15" x14ac:dyDescent="0.3">
      <c r="A38" s="13">
        <v>37</v>
      </c>
      <c r="B38" s="14" t="s">
        <v>76</v>
      </c>
      <c r="C38" s="14" t="s">
        <v>138</v>
      </c>
      <c r="D38" s="15">
        <v>369000</v>
      </c>
      <c r="E38" s="16" t="s">
        <v>113</v>
      </c>
      <c r="F38" s="16" t="s">
        <v>114</v>
      </c>
      <c r="G38" s="16" t="s">
        <v>145</v>
      </c>
      <c r="H38" s="16" t="s">
        <v>116</v>
      </c>
      <c r="I38" s="16">
        <v>2023</v>
      </c>
      <c r="J38" s="17">
        <v>2024</v>
      </c>
      <c r="K38" t="s">
        <v>220</v>
      </c>
    </row>
    <row r="39" spans="1:11" ht="15" x14ac:dyDescent="0.3">
      <c r="A39" s="13">
        <v>38</v>
      </c>
      <c r="B39" s="14" t="s">
        <v>78</v>
      </c>
      <c r="C39" s="14" t="s">
        <v>160</v>
      </c>
      <c r="D39" s="15">
        <v>99900</v>
      </c>
      <c r="E39" s="16" t="s">
        <v>118</v>
      </c>
      <c r="F39" s="16" t="s">
        <v>124</v>
      </c>
      <c r="G39" s="16" t="s">
        <v>147</v>
      </c>
      <c r="H39" s="16" t="s">
        <v>126</v>
      </c>
      <c r="I39" s="16">
        <v>2021</v>
      </c>
      <c r="J39" s="17">
        <v>2022</v>
      </c>
      <c r="K39" t="s">
        <v>219</v>
      </c>
    </row>
    <row r="40" spans="1:11" ht="15" x14ac:dyDescent="0.3">
      <c r="A40" s="13">
        <v>39</v>
      </c>
      <c r="B40" s="14" t="s">
        <v>80</v>
      </c>
      <c r="C40" s="14" t="s">
        <v>134</v>
      </c>
      <c r="D40" s="15">
        <v>398000</v>
      </c>
      <c r="E40" s="16" t="s">
        <v>118</v>
      </c>
      <c r="F40" s="16" t="s">
        <v>114</v>
      </c>
      <c r="G40" s="16" t="s">
        <v>161</v>
      </c>
      <c r="H40" s="16" t="s">
        <v>135</v>
      </c>
      <c r="I40" s="16">
        <v>2023</v>
      </c>
      <c r="J40" s="17">
        <v>2024</v>
      </c>
      <c r="K40" t="s">
        <v>218</v>
      </c>
    </row>
    <row r="41" spans="1:11" ht="15" x14ac:dyDescent="0.3">
      <c r="A41" s="13">
        <v>40</v>
      </c>
      <c r="B41" s="14" t="s">
        <v>82</v>
      </c>
      <c r="C41" s="14" t="s">
        <v>153</v>
      </c>
      <c r="D41" s="15">
        <v>199000</v>
      </c>
      <c r="E41" s="16" t="s">
        <v>118</v>
      </c>
      <c r="F41" s="16" t="s">
        <v>124</v>
      </c>
      <c r="G41" s="16" t="s">
        <v>162</v>
      </c>
      <c r="H41" s="16" t="s">
        <v>116</v>
      </c>
      <c r="I41" s="16">
        <v>2022</v>
      </c>
      <c r="J41" s="17">
        <v>2023</v>
      </c>
      <c r="K41" t="s">
        <v>218</v>
      </c>
    </row>
    <row r="42" spans="1:11" ht="15" x14ac:dyDescent="0.3">
      <c r="A42" s="13">
        <v>41</v>
      </c>
      <c r="B42" s="14" t="s">
        <v>84</v>
      </c>
      <c r="C42" s="14" t="s">
        <v>163</v>
      </c>
      <c r="D42" s="15">
        <v>995000</v>
      </c>
      <c r="E42" s="16" t="s">
        <v>164</v>
      </c>
      <c r="F42" s="16" t="s">
        <v>165</v>
      </c>
      <c r="G42" s="16"/>
      <c r="H42" s="16"/>
      <c r="I42" s="16">
        <v>2023</v>
      </c>
      <c r="J42" s="17">
        <v>2024</v>
      </c>
      <c r="K42" t="s">
        <v>220</v>
      </c>
    </row>
    <row r="43" spans="1:11" ht="15" x14ac:dyDescent="0.3">
      <c r="A43" s="13">
        <v>42</v>
      </c>
      <c r="B43" s="14" t="s">
        <v>86</v>
      </c>
      <c r="C43" s="14" t="s">
        <v>144</v>
      </c>
      <c r="D43" s="15">
        <v>650000</v>
      </c>
      <c r="E43" s="16" t="s">
        <v>113</v>
      </c>
      <c r="F43" s="16" t="s">
        <v>114</v>
      </c>
      <c r="G43" s="16" t="s">
        <v>166</v>
      </c>
      <c r="H43" s="16" t="s">
        <v>116</v>
      </c>
      <c r="I43" s="16">
        <v>2023</v>
      </c>
      <c r="J43" s="17">
        <v>2024</v>
      </c>
      <c r="K43" t="s">
        <v>220</v>
      </c>
    </row>
    <row r="44" spans="1:11" ht="15" x14ac:dyDescent="0.3">
      <c r="A44" s="13">
        <v>43</v>
      </c>
      <c r="B44" s="14" t="s">
        <v>88</v>
      </c>
      <c r="C44" s="14" t="s">
        <v>117</v>
      </c>
      <c r="D44" s="15">
        <v>599000</v>
      </c>
      <c r="E44" s="16" t="s">
        <v>113</v>
      </c>
      <c r="F44" s="16" t="s">
        <v>114</v>
      </c>
      <c r="G44" s="16" t="s">
        <v>167</v>
      </c>
      <c r="H44" s="16" t="s">
        <v>116</v>
      </c>
      <c r="I44" s="16">
        <v>2023</v>
      </c>
      <c r="J44" s="17">
        <v>2024</v>
      </c>
      <c r="K44" t="s">
        <v>220</v>
      </c>
    </row>
    <row r="45" spans="1:11" ht="15" x14ac:dyDescent="0.3">
      <c r="A45" s="13">
        <v>44</v>
      </c>
      <c r="B45" s="14" t="s">
        <v>90</v>
      </c>
      <c r="C45" s="14" t="s">
        <v>112</v>
      </c>
      <c r="D45" s="15">
        <v>165000</v>
      </c>
      <c r="E45" s="16" t="s">
        <v>118</v>
      </c>
      <c r="F45" s="16" t="s">
        <v>114</v>
      </c>
      <c r="G45" s="16" t="s">
        <v>127</v>
      </c>
      <c r="H45" s="16" t="s">
        <v>116</v>
      </c>
      <c r="I45" s="16">
        <v>2023</v>
      </c>
      <c r="J45" s="17">
        <v>2024</v>
      </c>
      <c r="K45" t="s">
        <v>218</v>
      </c>
    </row>
    <row r="46" spans="1:11" ht="15" x14ac:dyDescent="0.3">
      <c r="A46" s="13">
        <v>45</v>
      </c>
      <c r="B46" s="14" t="s">
        <v>92</v>
      </c>
      <c r="C46" s="14" t="s">
        <v>134</v>
      </c>
      <c r="D46" s="15">
        <v>289000</v>
      </c>
      <c r="E46" s="16" t="s">
        <v>118</v>
      </c>
      <c r="F46" s="16" t="s">
        <v>114</v>
      </c>
      <c r="G46" s="16" t="s">
        <v>168</v>
      </c>
      <c r="H46" s="16" t="s">
        <v>135</v>
      </c>
      <c r="I46" s="16">
        <v>2023</v>
      </c>
      <c r="J46" s="17">
        <v>2024</v>
      </c>
      <c r="K46" t="s">
        <v>219</v>
      </c>
    </row>
    <row r="47" spans="1:11" ht="15" x14ac:dyDescent="0.3">
      <c r="A47" s="13">
        <v>46</v>
      </c>
      <c r="B47" s="14" t="s">
        <v>94</v>
      </c>
      <c r="C47" s="14" t="s">
        <v>153</v>
      </c>
      <c r="D47" s="15">
        <v>299000</v>
      </c>
      <c r="E47" s="16" t="s">
        <v>118</v>
      </c>
      <c r="F47" s="16" t="s">
        <v>124</v>
      </c>
      <c r="G47" s="16" t="s">
        <v>169</v>
      </c>
      <c r="H47" s="16" t="s">
        <v>126</v>
      </c>
      <c r="I47" s="16">
        <v>2020</v>
      </c>
      <c r="J47" s="17">
        <v>2021</v>
      </c>
      <c r="K47" t="s">
        <v>218</v>
      </c>
    </row>
    <row r="48" spans="1:11" ht="15" x14ac:dyDescent="0.3">
      <c r="A48" s="13">
        <v>47</v>
      </c>
      <c r="B48" s="14" t="s">
        <v>96</v>
      </c>
      <c r="C48" s="14" t="s">
        <v>134</v>
      </c>
      <c r="D48" s="15">
        <v>80900</v>
      </c>
      <c r="E48" s="16" t="s">
        <v>118</v>
      </c>
      <c r="F48" s="16" t="s">
        <v>124</v>
      </c>
      <c r="G48" s="16" t="s">
        <v>137</v>
      </c>
      <c r="H48" s="16" t="s">
        <v>135</v>
      </c>
      <c r="I48" s="16">
        <v>2023</v>
      </c>
      <c r="J48" s="17">
        <v>2024</v>
      </c>
      <c r="K48" t="s">
        <v>219</v>
      </c>
    </row>
    <row r="49" spans="1:11" ht="15" x14ac:dyDescent="0.3">
      <c r="A49" s="13">
        <v>48</v>
      </c>
      <c r="B49" s="14" t="s">
        <v>97</v>
      </c>
      <c r="C49" s="14" t="s">
        <v>128</v>
      </c>
      <c r="D49" s="15">
        <v>269000</v>
      </c>
      <c r="E49" s="16" t="s">
        <v>118</v>
      </c>
      <c r="F49" s="16" t="s">
        <v>114</v>
      </c>
      <c r="G49" s="16" t="s">
        <v>170</v>
      </c>
      <c r="H49" s="16" t="s">
        <v>116</v>
      </c>
      <c r="I49" s="16">
        <v>2023</v>
      </c>
      <c r="J49" s="17">
        <v>2024</v>
      </c>
      <c r="K49" t="s">
        <v>218</v>
      </c>
    </row>
    <row r="50" spans="1:11" ht="15" x14ac:dyDescent="0.3">
      <c r="A50" s="13">
        <v>49</v>
      </c>
      <c r="B50" s="14" t="s">
        <v>99</v>
      </c>
      <c r="C50" s="14" t="s">
        <v>163</v>
      </c>
      <c r="D50" s="15">
        <v>689000</v>
      </c>
      <c r="E50" s="16" t="s">
        <v>155</v>
      </c>
      <c r="F50" s="16" t="s">
        <v>124</v>
      </c>
      <c r="G50" s="16" t="s">
        <v>171</v>
      </c>
      <c r="H50" s="16" t="s">
        <v>116</v>
      </c>
      <c r="I50" s="16">
        <v>2022</v>
      </c>
      <c r="J50" s="17">
        <v>2023</v>
      </c>
      <c r="K50" t="s">
        <v>220</v>
      </c>
    </row>
    <row r="51" spans="1:11" ht="15" x14ac:dyDescent="0.3">
      <c r="A51" s="18">
        <v>50</v>
      </c>
      <c r="B51" s="19" t="s">
        <v>101</v>
      </c>
      <c r="C51" s="19" t="s">
        <v>121</v>
      </c>
      <c r="D51" s="20">
        <v>72900</v>
      </c>
      <c r="E51" s="21" t="s">
        <v>118</v>
      </c>
      <c r="F51" s="21" t="s">
        <v>124</v>
      </c>
      <c r="G51" s="21" t="s">
        <v>122</v>
      </c>
      <c r="H51" s="21" t="s">
        <v>135</v>
      </c>
      <c r="I51" s="21">
        <v>2022</v>
      </c>
      <c r="J51" s="22">
        <v>2023</v>
      </c>
      <c r="K51" t="s">
        <v>219</v>
      </c>
    </row>
  </sheetData>
  <sheetProtection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F356-C3C7-462A-A103-E4AC4696CA5F}">
  <dimension ref="A1:Q991"/>
  <sheetViews>
    <sheetView tabSelected="1" topLeftCell="A951" zoomScale="85" zoomScaleNormal="85" workbookViewId="0">
      <selection activeCell="M963" sqref="M963"/>
    </sheetView>
  </sheetViews>
  <sheetFormatPr defaultRowHeight="14.25" x14ac:dyDescent="0.2"/>
  <cols>
    <col min="1" max="1" width="11.7109375" style="39" bestFit="1" customWidth="1"/>
    <col min="2" max="4" width="11.7109375" style="39" customWidth="1"/>
    <col min="5" max="5" width="14.140625" style="39" customWidth="1"/>
    <col min="6" max="6" width="27.140625" style="39" bestFit="1" customWidth="1"/>
    <col min="7" max="7" width="13.85546875" style="40" bestFit="1" customWidth="1"/>
    <col min="8" max="8" width="14.28515625" style="39" customWidth="1"/>
    <col min="9" max="9" width="15" style="40" bestFit="1" customWidth="1"/>
    <col min="10" max="10" width="14" style="39" customWidth="1"/>
    <col min="11" max="11" width="17" style="39" bestFit="1" customWidth="1"/>
    <col min="12" max="12" width="16.140625" style="39" bestFit="1" customWidth="1"/>
    <col min="13" max="13" width="19.140625" style="39" bestFit="1" customWidth="1"/>
    <col min="14" max="14" width="21.5703125" style="39" bestFit="1" customWidth="1"/>
    <col min="15" max="16" width="21.5703125" style="39" customWidth="1"/>
    <col min="17" max="17" width="17" style="39" bestFit="1" customWidth="1"/>
    <col min="18" max="16384" width="9.140625" style="39"/>
  </cols>
  <sheetData>
    <row r="1" spans="1:17" ht="15" x14ac:dyDescent="0.25">
      <c r="A1" s="41" t="s">
        <v>199</v>
      </c>
      <c r="B1" s="41" t="s">
        <v>205</v>
      </c>
      <c r="C1" s="41" t="s">
        <v>206</v>
      </c>
      <c r="D1" s="41" t="s">
        <v>188</v>
      </c>
      <c r="E1" s="41" t="s">
        <v>200</v>
      </c>
      <c r="F1" s="41" t="s">
        <v>201</v>
      </c>
      <c r="G1" s="42" t="s">
        <v>5</v>
      </c>
      <c r="H1" s="41" t="s">
        <v>202</v>
      </c>
      <c r="I1" s="42" t="s">
        <v>203</v>
      </c>
      <c r="J1" s="41" t="s">
        <v>204</v>
      </c>
      <c r="K1" s="41" t="s">
        <v>105</v>
      </c>
      <c r="L1" s="41" t="s">
        <v>107</v>
      </c>
      <c r="M1" s="41" t="s">
        <v>108</v>
      </c>
      <c r="N1" s="41" t="s">
        <v>109</v>
      </c>
      <c r="O1" s="41" t="s">
        <v>217</v>
      </c>
      <c r="P1" s="41" t="s">
        <v>221</v>
      </c>
      <c r="Q1" s="41" t="s">
        <v>110</v>
      </c>
    </row>
    <row r="2" spans="1:17" ht="15.75" x14ac:dyDescent="0.3">
      <c r="A2" s="43">
        <v>45860</v>
      </c>
      <c r="B2" s="44" t="str">
        <f>TEXT(MotorPHSales[[#This Row],[Date]],"mmmm")</f>
        <v>July</v>
      </c>
      <c r="C2" s="44">
        <f>DAY(MotorPHSales[[#This Row],[Date]])</f>
        <v>22</v>
      </c>
      <c r="D2" s="44">
        <f>YEAR(MotorPHSales[[#This Row],[Date]])</f>
        <v>2025</v>
      </c>
      <c r="E2" s="44" t="s">
        <v>194</v>
      </c>
      <c r="F2" s="44" t="s">
        <v>97</v>
      </c>
      <c r="G2" s="45">
        <v>269000</v>
      </c>
      <c r="H2" s="44">
        <v>20</v>
      </c>
      <c r="I2" s="45">
        <v>5380000</v>
      </c>
      <c r="J2" s="44" t="s">
        <v>195</v>
      </c>
      <c r="K2" s="44" t="str">
        <f>INDEX(CLEANED_MotorPH_Products_List_2!C:C,MATCH(MotorPHSales[[#This Row],[Product]],CLEANED_MotorPH_Products_List_2!$B:$B,0))</f>
        <v>Cafe racer</v>
      </c>
      <c r="L2" s="44" t="str">
        <f>INDEX(CLEANED_MotorPH_Products_List_2!E:E,MATCH(MotorPHSales[[#This Row],[Product]],CLEANED_MotorPH_Products_List_2!$B:$B,0))</f>
        <v>Single cylinder</v>
      </c>
      <c r="M2" s="44" t="str">
        <f>INDEX(CLEANED_MotorPH_Products_List_2!F:F,MATCH(MotorPHSales[[#This Row],[Product]],CLEANED_MotorPH_Products_List_2!$B:$B,0))</f>
        <v>liquid-cooled</v>
      </c>
      <c r="N2" s="44" t="str">
        <f>INDEX(CLEANED_MotorPH_Products_List_2!G:G,MATCH(MotorPHSales[[#This Row],[Product]],CLEANED_MotorPH_Products_List_2!$B:$B,0))</f>
        <v>348cc</v>
      </c>
      <c r="O2" s="44" t="str">
        <f>INDEX(CLEANED_MotorPH_Products_List_2!K:K,MATCH(MotorPHSales[[#This Row],[Product]],CLEANED_MotorPH_Products_List_2!B:B,0))</f>
        <v>Mid-range</v>
      </c>
      <c r="P2" s="45">
        <f>IF(MotorPHSales[[#This Row],[Segment]]="Entry-level",MotorPHSales[[#This Row],[UnitPrice]]/(1+30%),IF(MotorPHSales[[#This Row],[Segment]]="Mid-range",MotorPHSales[[#This Row],[UnitPrice]]/(1+35%),MotorPHSales[[#This Row],[UnitPrice]]/(1+40%)))*MotorPHSales[[#This Row],[Quantity]]</f>
        <v>3985185.1851851847</v>
      </c>
      <c r="Q2" s="44" t="str">
        <f>INDEX(CLEANED_MotorPH_Products_List_2!H:H,MATCH(MotorPHSales[[#This Row],[Product]],CLEANED_MotorPH_Products_List_2!$B:$B,0))</f>
        <v>6-speed</v>
      </c>
    </row>
    <row r="3" spans="1:17" ht="15.75" x14ac:dyDescent="0.3">
      <c r="A3" s="43">
        <v>45823</v>
      </c>
      <c r="B3" s="44" t="str">
        <f>TEXT(MotorPHSales[[#This Row],[Date]],"mmmm")</f>
        <v>June</v>
      </c>
      <c r="C3" s="44">
        <f>DAY(MotorPHSales[[#This Row],[Date]])</f>
        <v>15</v>
      </c>
      <c r="D3" s="44">
        <f>YEAR(MotorPHSales[[#This Row],[Date]])</f>
        <v>2025</v>
      </c>
      <c r="E3" s="44" t="s">
        <v>196</v>
      </c>
      <c r="F3" s="44" t="s">
        <v>78</v>
      </c>
      <c r="G3" s="45">
        <v>99900</v>
      </c>
      <c r="H3" s="44">
        <v>18</v>
      </c>
      <c r="I3" s="45">
        <v>1798200</v>
      </c>
      <c r="J3" s="44" t="s">
        <v>197</v>
      </c>
      <c r="K3" s="44" t="str">
        <f>INDEX(CLEANED_MotorPH_Products_List_2!C:C,MATCH(MotorPHSales[[#This Row],[Product]],CLEANED_MotorPH_Products_List_2!$B:$B,0))</f>
        <v>Street</v>
      </c>
      <c r="L3" s="44" t="str">
        <f>INDEX(CLEANED_MotorPH_Products_List_2!E:E,MATCH(MotorPHSales[[#This Row],[Product]],CLEANED_MotorPH_Products_List_2!$B:$B,0))</f>
        <v>Single cylinder</v>
      </c>
      <c r="M3" s="44" t="str">
        <f>INDEX(CLEANED_MotorPH_Products_List_2!F:F,MATCH(MotorPHSales[[#This Row],[Product]],CLEANED_MotorPH_Products_List_2!$B:$B,0))</f>
        <v>air-cooled</v>
      </c>
      <c r="N3" s="44" t="str">
        <f>INDEX(CLEANED_MotorPH_Products_List_2!G:G,MATCH(MotorPHSales[[#This Row],[Product]],CLEANED_MotorPH_Products_List_2!$B:$B,0))</f>
        <v>149cc</v>
      </c>
      <c r="O3" s="44" t="str">
        <f>INDEX(CLEANED_MotorPH_Products_List_2!K:K,MATCH(MotorPHSales[[#This Row],[Product]],CLEANED_MotorPH_Products_List_2!B:B,0))</f>
        <v>Entry-level</v>
      </c>
      <c r="P3" s="45">
        <f>IF(MotorPHSales[[#This Row],[Segment]]="Entry-level",MotorPHSales[[#This Row],[UnitPrice]]/(1+30%),IF(MotorPHSales[[#This Row],[Segment]]="Mid-range",MotorPHSales[[#This Row],[UnitPrice]]/(1+35%),MotorPHSales[[#This Row],[UnitPrice]]/(1+40%)))*MotorPHSales[[#This Row],[Quantity]]</f>
        <v>1383230.7692307692</v>
      </c>
      <c r="Q3" s="44" t="str">
        <f>INDEX(CLEANED_MotorPH_Products_List_2!H:H,MATCH(MotorPHSales[[#This Row],[Product]],CLEANED_MotorPH_Products_List_2!$B:$B,0))</f>
        <v>5-speed</v>
      </c>
    </row>
    <row r="4" spans="1:17" ht="15.75" x14ac:dyDescent="0.3">
      <c r="A4" s="43">
        <v>45880</v>
      </c>
      <c r="B4" s="44" t="str">
        <f>TEXT(MotorPHSales[[#This Row],[Date]],"mmmm")</f>
        <v>August</v>
      </c>
      <c r="C4" s="44">
        <f>DAY(MotorPHSales[[#This Row],[Date]])</f>
        <v>11</v>
      </c>
      <c r="D4" s="44">
        <f>YEAR(MotorPHSales[[#This Row],[Date]])</f>
        <v>2025</v>
      </c>
      <c r="E4" s="44" t="s">
        <v>196</v>
      </c>
      <c r="F4" s="44" t="s">
        <v>97</v>
      </c>
      <c r="G4" s="45">
        <v>269000</v>
      </c>
      <c r="H4" s="44">
        <v>41</v>
      </c>
      <c r="I4" s="45">
        <v>11029000</v>
      </c>
      <c r="J4" s="44" t="s">
        <v>197</v>
      </c>
      <c r="K4" s="44" t="str">
        <f>INDEX(CLEANED_MotorPH_Products_List_2!C:C,MATCH(MotorPHSales[[#This Row],[Product]],CLEANED_MotorPH_Products_List_2!$B:$B,0))</f>
        <v>Cafe racer</v>
      </c>
      <c r="L4" s="44" t="str">
        <f>INDEX(CLEANED_MotorPH_Products_List_2!E:E,MATCH(MotorPHSales[[#This Row],[Product]],CLEANED_MotorPH_Products_List_2!$B:$B,0))</f>
        <v>Single cylinder</v>
      </c>
      <c r="M4" s="44" t="str">
        <f>INDEX(CLEANED_MotorPH_Products_List_2!F:F,MATCH(MotorPHSales[[#This Row],[Product]],CLEANED_MotorPH_Products_List_2!$B:$B,0))</f>
        <v>liquid-cooled</v>
      </c>
      <c r="N4" s="44" t="str">
        <f>INDEX(CLEANED_MotorPH_Products_List_2!G:G,MATCH(MotorPHSales[[#This Row],[Product]],CLEANED_MotorPH_Products_List_2!$B:$B,0))</f>
        <v>348cc</v>
      </c>
      <c r="O4" s="44" t="str">
        <f>INDEX(CLEANED_MotorPH_Products_List_2!K:K,MATCH(MotorPHSales[[#This Row],[Product]],CLEANED_MotorPH_Products_List_2!B:B,0))</f>
        <v>Mid-range</v>
      </c>
      <c r="P4" s="45">
        <f>IF(MotorPHSales[[#This Row],[Segment]]="Entry-level",MotorPHSales[[#This Row],[UnitPrice]]/(1+30%),IF(MotorPHSales[[#This Row],[Segment]]="Mid-range",MotorPHSales[[#This Row],[UnitPrice]]/(1+35%),MotorPHSales[[#This Row],[UnitPrice]]/(1+40%)))*MotorPHSales[[#This Row],[Quantity]]</f>
        <v>8169629.6296296287</v>
      </c>
      <c r="Q4" s="44" t="str">
        <f>INDEX(CLEANED_MotorPH_Products_List_2!H:H,MATCH(MotorPHSales[[#This Row],[Product]],CLEANED_MotorPH_Products_List_2!$B:$B,0))</f>
        <v>6-speed</v>
      </c>
    </row>
    <row r="5" spans="1:17" ht="15.75" x14ac:dyDescent="0.3">
      <c r="A5" s="43">
        <v>45869</v>
      </c>
      <c r="B5" s="44" t="str">
        <f>TEXT(MotorPHSales[[#This Row],[Date]],"mmmm")</f>
        <v>July</v>
      </c>
      <c r="C5" s="44">
        <f>DAY(MotorPHSales[[#This Row],[Date]])</f>
        <v>31</v>
      </c>
      <c r="D5" s="44">
        <f>YEAR(MotorPHSales[[#This Row],[Date]])</f>
        <v>2025</v>
      </c>
      <c r="E5" s="44" t="s">
        <v>194</v>
      </c>
      <c r="F5" s="44" t="s">
        <v>92</v>
      </c>
      <c r="G5" s="45">
        <v>867000</v>
      </c>
      <c r="H5" s="44">
        <v>50</v>
      </c>
      <c r="I5" s="45">
        <v>14450000</v>
      </c>
      <c r="J5" s="44" t="s">
        <v>195</v>
      </c>
      <c r="K5" s="44" t="str">
        <f>INDEX(CLEANED_MotorPH_Products_List_2!C:C,MATCH(MotorPHSales[[#This Row],[Product]],CLEANED_MotorPH_Products_List_2!$B:$B,0))</f>
        <v>Scooter</v>
      </c>
      <c r="L5" s="44" t="str">
        <f>INDEX(CLEANED_MotorPH_Products_List_2!E:E,MATCH(MotorPHSales[[#This Row],[Product]],CLEANED_MotorPH_Products_List_2!$B:$B,0))</f>
        <v>Single cylinder</v>
      </c>
      <c r="M5" s="44" t="str">
        <f>INDEX(CLEANED_MotorPH_Products_List_2!F:F,MATCH(MotorPHSales[[#This Row],[Product]],CLEANED_MotorPH_Products_List_2!$B:$B,0))</f>
        <v>liquid-cooled</v>
      </c>
      <c r="N5" s="44" t="str">
        <f>INDEX(CLEANED_MotorPH_Products_List_2!G:G,MATCH(MotorPHSales[[#This Row],[Product]],CLEANED_MotorPH_Products_List_2!$B:$B,0))</f>
        <v>181cc</v>
      </c>
      <c r="O5" s="44" t="str">
        <f>INDEX(CLEANED_MotorPH_Products_List_2!K:K,MATCH(MotorPHSales[[#This Row],[Product]],CLEANED_MotorPH_Products_List_2!B:B,0))</f>
        <v>Entry-level</v>
      </c>
      <c r="P5" s="45">
        <f>IF(MotorPHSales[[#This Row],[Segment]]="Entry-level",MotorPHSales[[#This Row],[UnitPrice]]/(1+30%),IF(MotorPHSales[[#This Row],[Segment]]="Mid-range",MotorPHSales[[#This Row],[UnitPrice]]/(1+35%),MotorPHSales[[#This Row],[UnitPrice]]/(1+40%)))*MotorPHSales[[#This Row],[Quantity]]</f>
        <v>33346153.846153844</v>
      </c>
      <c r="Q5" s="44" t="str">
        <f>INDEX(CLEANED_MotorPH_Products_List_2!H:H,MATCH(MotorPHSales[[#This Row],[Product]],CLEANED_MotorPH_Products_List_2!$B:$B,0))</f>
        <v>CVT</v>
      </c>
    </row>
    <row r="6" spans="1:17" ht="15.75" x14ac:dyDescent="0.3">
      <c r="A6" s="43">
        <v>45829</v>
      </c>
      <c r="B6" s="44" t="str">
        <f>TEXT(MotorPHSales[[#This Row],[Date]],"mmmm")</f>
        <v>June</v>
      </c>
      <c r="C6" s="44">
        <f>DAY(MotorPHSales[[#This Row],[Date]])</f>
        <v>21</v>
      </c>
      <c r="D6" s="44">
        <f>YEAR(MotorPHSales[[#This Row],[Date]])</f>
        <v>2025</v>
      </c>
      <c r="E6" s="44" t="s">
        <v>196</v>
      </c>
      <c r="F6" s="44" t="s">
        <v>68</v>
      </c>
      <c r="G6" s="45">
        <v>248000</v>
      </c>
      <c r="H6" s="44">
        <v>7</v>
      </c>
      <c r="I6" s="45">
        <v>1736000</v>
      </c>
      <c r="J6" s="44" t="s">
        <v>195</v>
      </c>
      <c r="K6" s="44" t="str">
        <f>INDEX(CLEANED_MotorPH_Products_List_2!C:C,MATCH(MotorPHSales[[#This Row],[Product]],CLEANED_MotorPH_Products_List_2!$B:$B,0))</f>
        <v>Adventure</v>
      </c>
      <c r="L6" s="44" t="str">
        <f>INDEX(CLEANED_MotorPH_Products_List_2!E:E,MATCH(MotorPHSales[[#This Row],[Product]],CLEANED_MotorPH_Products_List_2!$B:$B,0))</f>
        <v>Single cylinder</v>
      </c>
      <c r="M6" s="44" t="str">
        <f>INDEX(CLEANED_MotorPH_Products_List_2!F:F,MATCH(MotorPHSales[[#This Row],[Product]],CLEANED_MotorPH_Products_List_2!$B:$B,0))</f>
        <v>liquid-cooled</v>
      </c>
      <c r="N6" s="44" t="str">
        <f>INDEX(CLEANED_MotorPH_Products_List_2!G:G,MATCH(MotorPHSales[[#This Row],[Product]],CLEANED_MotorPH_Products_List_2!$B:$B,0))</f>
        <v>312cc</v>
      </c>
      <c r="O6" s="44" t="str">
        <f>INDEX(CLEANED_MotorPH_Products_List_2!K:K,MATCH(MotorPHSales[[#This Row],[Product]],CLEANED_MotorPH_Products_List_2!B:B,0))</f>
        <v>Mid-range</v>
      </c>
      <c r="P6" s="45">
        <f>IF(MotorPHSales[[#This Row],[Segment]]="Entry-level",MotorPHSales[[#This Row],[UnitPrice]]/(1+30%),IF(MotorPHSales[[#This Row],[Segment]]="Mid-range",MotorPHSales[[#This Row],[UnitPrice]]/(1+35%),MotorPHSales[[#This Row],[UnitPrice]]/(1+40%)))*MotorPHSales[[#This Row],[Quantity]]</f>
        <v>1285925.9259259258</v>
      </c>
      <c r="Q6" s="44" t="str">
        <f>INDEX(CLEANED_MotorPH_Products_List_2!H:H,MATCH(MotorPHSales[[#This Row],[Product]],CLEANED_MotorPH_Products_List_2!$B:$B,0))</f>
        <v>6-speed</v>
      </c>
    </row>
    <row r="7" spans="1:17" ht="15.75" x14ac:dyDescent="0.3">
      <c r="A7" s="43">
        <v>45891</v>
      </c>
      <c r="B7" s="44" t="str">
        <f>TEXT(MotorPHSales[[#This Row],[Date]],"mmmm")</f>
        <v>August</v>
      </c>
      <c r="C7" s="44">
        <f>DAY(MotorPHSales[[#This Row],[Date]])</f>
        <v>22</v>
      </c>
      <c r="D7" s="44">
        <f>YEAR(MotorPHSales[[#This Row],[Date]])</f>
        <v>2025</v>
      </c>
      <c r="E7" s="44" t="s">
        <v>194</v>
      </c>
      <c r="F7" s="44" t="s">
        <v>68</v>
      </c>
      <c r="G7" s="45">
        <v>248000</v>
      </c>
      <c r="H7" s="44">
        <v>3</v>
      </c>
      <c r="I7" s="45">
        <v>744000</v>
      </c>
      <c r="J7" s="44" t="s">
        <v>195</v>
      </c>
      <c r="K7" s="44" t="str">
        <f>INDEX(CLEANED_MotorPH_Products_List_2!C:C,MATCH(MotorPHSales[[#This Row],[Product]],CLEANED_MotorPH_Products_List_2!$B:$B,0))</f>
        <v>Adventure</v>
      </c>
      <c r="L7" s="44" t="str">
        <f>INDEX(CLEANED_MotorPH_Products_List_2!E:E,MATCH(MotorPHSales[[#This Row],[Product]],CLEANED_MotorPH_Products_List_2!$B:$B,0))</f>
        <v>Single cylinder</v>
      </c>
      <c r="M7" s="44" t="str">
        <f>INDEX(CLEANED_MotorPH_Products_List_2!F:F,MATCH(MotorPHSales[[#This Row],[Product]],CLEANED_MotorPH_Products_List_2!$B:$B,0))</f>
        <v>liquid-cooled</v>
      </c>
      <c r="N7" s="44" t="str">
        <f>INDEX(CLEANED_MotorPH_Products_List_2!G:G,MATCH(MotorPHSales[[#This Row],[Product]],CLEANED_MotorPH_Products_List_2!$B:$B,0))</f>
        <v>312cc</v>
      </c>
      <c r="O7" s="44" t="str">
        <f>INDEX(CLEANED_MotorPH_Products_List_2!K:K,MATCH(MotorPHSales[[#This Row],[Product]],CLEANED_MotorPH_Products_List_2!B:B,0))</f>
        <v>Mid-range</v>
      </c>
      <c r="P7" s="45">
        <f>IF(MotorPHSales[[#This Row],[Segment]]="Entry-level",MotorPHSales[[#This Row],[UnitPrice]]/(1+30%),IF(MotorPHSales[[#This Row],[Segment]]="Mid-range",MotorPHSales[[#This Row],[UnitPrice]]/(1+35%),MotorPHSales[[#This Row],[UnitPrice]]/(1+40%)))*MotorPHSales[[#This Row],[Quantity]]</f>
        <v>551111.11111111101</v>
      </c>
      <c r="Q7" s="44" t="str">
        <f>INDEX(CLEANED_MotorPH_Products_List_2!H:H,MATCH(MotorPHSales[[#This Row],[Product]],CLEANED_MotorPH_Products_List_2!$B:$B,0))</f>
        <v>6-speed</v>
      </c>
    </row>
    <row r="8" spans="1:17" ht="15.75" x14ac:dyDescent="0.3">
      <c r="A8" s="43">
        <v>45895</v>
      </c>
      <c r="B8" s="44" t="str">
        <f>TEXT(MotorPHSales[[#This Row],[Date]],"mmmm")</f>
        <v>August</v>
      </c>
      <c r="C8" s="44">
        <f>DAY(MotorPHSales[[#This Row],[Date]])</f>
        <v>26</v>
      </c>
      <c r="D8" s="44">
        <f>YEAR(MotorPHSales[[#This Row],[Date]])</f>
        <v>2025</v>
      </c>
      <c r="E8" s="44" t="s">
        <v>194</v>
      </c>
      <c r="F8" s="44" t="s">
        <v>46</v>
      </c>
      <c r="G8" s="45">
        <v>124000</v>
      </c>
      <c r="H8" s="44">
        <v>28</v>
      </c>
      <c r="I8" s="45">
        <v>3472000</v>
      </c>
      <c r="J8" s="44" t="s">
        <v>197</v>
      </c>
      <c r="K8" s="44" t="str">
        <f>INDEX(CLEANED_MotorPH_Products_List_2!C:C,MATCH(MotorPHSales[[#This Row],[Product]],CLEANED_MotorPH_Products_List_2!$B:$B,0))</f>
        <v>Scooter</v>
      </c>
      <c r="L8" s="44" t="str">
        <f>INDEX(CLEANED_MotorPH_Products_List_2!E:E,MATCH(MotorPHSales[[#This Row],[Product]],CLEANED_MotorPH_Products_List_2!$B:$B,0))</f>
        <v>Single cylinder</v>
      </c>
      <c r="M8" s="44" t="str">
        <f>INDEX(CLEANED_MotorPH_Products_List_2!F:F,MATCH(MotorPHSales[[#This Row],[Product]],CLEANED_MotorPH_Products_List_2!$B:$B,0))</f>
        <v>liquid-cooled</v>
      </c>
      <c r="N8" s="44" t="str">
        <f>INDEX(CLEANED_MotorPH_Products_List_2!G:G,MATCH(MotorPHSales[[#This Row],[Product]],CLEANED_MotorPH_Products_List_2!$B:$B,0))</f>
        <v>155cc</v>
      </c>
      <c r="O8" s="44" t="str">
        <f>INDEX(CLEANED_MotorPH_Products_List_2!K:K,MATCH(MotorPHSales[[#This Row],[Product]],CLEANED_MotorPH_Products_List_2!B:B,0))</f>
        <v>Entry-level</v>
      </c>
      <c r="P8" s="45">
        <f>IF(MotorPHSales[[#This Row],[Segment]]="Entry-level",MotorPHSales[[#This Row],[UnitPrice]]/(1+30%),IF(MotorPHSales[[#This Row],[Segment]]="Mid-range",MotorPHSales[[#This Row],[UnitPrice]]/(1+35%),MotorPHSales[[#This Row],[UnitPrice]]/(1+40%)))*MotorPHSales[[#This Row],[Quantity]]</f>
        <v>2670769.2307692305</v>
      </c>
      <c r="Q8" s="44" t="str">
        <f>INDEX(CLEANED_MotorPH_Products_List_2!H:H,MATCH(MotorPHSales[[#This Row],[Product]],CLEANED_MotorPH_Products_List_2!$B:$B,0))</f>
        <v>CVT</v>
      </c>
    </row>
    <row r="9" spans="1:17" ht="15.75" x14ac:dyDescent="0.3">
      <c r="A9" s="43">
        <v>45883</v>
      </c>
      <c r="B9" s="44" t="str">
        <f>TEXT(MotorPHSales[[#This Row],[Date]],"mmmm")</f>
        <v>August</v>
      </c>
      <c r="C9" s="44">
        <f>DAY(MotorPHSales[[#This Row],[Date]])</f>
        <v>14</v>
      </c>
      <c r="D9" s="44">
        <f>YEAR(MotorPHSales[[#This Row],[Date]])</f>
        <v>2025</v>
      </c>
      <c r="E9" s="44" t="s">
        <v>194</v>
      </c>
      <c r="F9" s="44" t="s">
        <v>24</v>
      </c>
      <c r="G9" s="45">
        <v>199900</v>
      </c>
      <c r="H9" s="44">
        <v>12</v>
      </c>
      <c r="I9" s="45">
        <v>2398800</v>
      </c>
      <c r="J9" s="44" t="s">
        <v>198</v>
      </c>
      <c r="K9" s="44" t="str">
        <f>INDEX(CLEANED_MotorPH_Products_List_2!C:C,MATCH(MotorPHSales[[#This Row],[Product]],CLEANED_MotorPH_Products_List_2!$B:$B,0))</f>
        <v>Sport touring</v>
      </c>
      <c r="L9" s="44" t="str">
        <f>INDEX(CLEANED_MotorPH_Products_List_2!E:E,MATCH(MotorPHSales[[#This Row],[Product]],CLEANED_MotorPH_Products_List_2!$B:$B,0))</f>
        <v>Single cylinder</v>
      </c>
      <c r="M9" s="44" t="str">
        <f>INDEX(CLEANED_MotorPH_Products_List_2!F:F,MATCH(MotorPHSales[[#This Row],[Product]],CLEANED_MotorPH_Products_List_2!$B:$B,0))</f>
        <v>liquid-cooled</v>
      </c>
      <c r="N9" s="44" t="str">
        <f>INDEX(CLEANED_MotorPH_Products_List_2!G:G,MATCH(MotorPHSales[[#This Row],[Product]],CLEANED_MotorPH_Products_List_2!$B:$B,0))</f>
        <v>373cc</v>
      </c>
      <c r="O9" s="44" t="str">
        <f>INDEX(CLEANED_MotorPH_Products_List_2!K:K,MATCH(MotorPHSales[[#This Row],[Product]],CLEANED_MotorPH_Products_List_2!B:B,0))</f>
        <v>Mid-range</v>
      </c>
      <c r="P9" s="45">
        <f>IF(MotorPHSales[[#This Row],[Segment]]="Entry-level",MotorPHSales[[#This Row],[UnitPrice]]/(1+30%),IF(MotorPHSales[[#This Row],[Segment]]="Mid-range",MotorPHSales[[#This Row],[UnitPrice]]/(1+35%),MotorPHSales[[#This Row],[UnitPrice]]/(1+40%)))*MotorPHSales[[#This Row],[Quantity]]</f>
        <v>1776888.888888889</v>
      </c>
      <c r="Q9" s="44" t="str">
        <f>INDEX(CLEANED_MotorPH_Products_List_2!H:H,MATCH(MotorPHSales[[#This Row],[Product]],CLEANED_MotorPH_Products_List_2!$B:$B,0))</f>
        <v>6-speed</v>
      </c>
    </row>
    <row r="10" spans="1:17" ht="15.75" x14ac:dyDescent="0.3">
      <c r="A10" s="43">
        <v>45896</v>
      </c>
      <c r="B10" s="44" t="str">
        <f>TEXT(MotorPHSales[[#This Row],[Date]],"mmmm")</f>
        <v>August</v>
      </c>
      <c r="C10" s="44">
        <f>DAY(MotorPHSales[[#This Row],[Date]])</f>
        <v>27</v>
      </c>
      <c r="D10" s="44">
        <f>YEAR(MotorPHSales[[#This Row],[Date]])</f>
        <v>2025</v>
      </c>
      <c r="E10" s="44" t="s">
        <v>196</v>
      </c>
      <c r="F10" s="44" t="s">
        <v>88</v>
      </c>
      <c r="G10" s="45">
        <v>599000</v>
      </c>
      <c r="H10" s="44">
        <v>46</v>
      </c>
      <c r="I10" s="45">
        <v>27554000</v>
      </c>
      <c r="J10" s="44" t="s">
        <v>197</v>
      </c>
      <c r="K10" s="44" t="str">
        <f>INDEX(CLEANED_MotorPH_Products_List_2!C:C,MATCH(MotorPHSales[[#This Row],[Product]],CLEANED_MotorPH_Products_List_2!$B:$B,0))</f>
        <v>Naked bike</v>
      </c>
      <c r="L10" s="44" t="str">
        <f>INDEX(CLEANED_MotorPH_Products_List_2!E:E,MATCH(MotorPHSales[[#This Row],[Product]],CLEANED_MotorPH_Products_List_2!$B:$B,0))</f>
        <v>Parallel-twin</v>
      </c>
      <c r="M10" s="44" t="str">
        <f>INDEX(CLEANED_MotorPH_Products_List_2!F:F,MATCH(MotorPHSales[[#This Row],[Product]],CLEANED_MotorPH_Products_List_2!$B:$B,0))</f>
        <v>liquid-cooled</v>
      </c>
      <c r="N10" s="44" t="str">
        <f>INDEX(CLEANED_MotorPH_Products_List_2!G:G,MATCH(MotorPHSales[[#This Row],[Product]],CLEANED_MotorPH_Products_List_2!$B:$B,0))</f>
        <v>799cc</v>
      </c>
      <c r="O10" s="44" t="str">
        <f>INDEX(CLEANED_MotorPH_Products_List_2!K:K,MATCH(MotorPHSales[[#This Row],[Product]],CLEANED_MotorPH_Products_List_2!B:B,0))</f>
        <v>Premium</v>
      </c>
      <c r="P10" s="45">
        <f>IF(MotorPHSales[[#This Row],[Segment]]="Entry-level",MotorPHSales[[#This Row],[UnitPrice]]/(1+30%),IF(MotorPHSales[[#This Row],[Segment]]="Mid-range",MotorPHSales[[#This Row],[UnitPrice]]/(1+35%),MotorPHSales[[#This Row],[UnitPrice]]/(1+40%)))*MotorPHSales[[#This Row],[Quantity]]</f>
        <v>19681428.571428575</v>
      </c>
      <c r="Q10" s="44" t="str">
        <f>INDEX(CLEANED_MotorPH_Products_List_2!H:H,MATCH(MotorPHSales[[#This Row],[Product]],CLEANED_MotorPH_Products_List_2!$B:$B,0))</f>
        <v>6-speed</v>
      </c>
    </row>
    <row r="11" spans="1:17" ht="15.75" x14ac:dyDescent="0.3">
      <c r="A11" s="43">
        <v>45832</v>
      </c>
      <c r="B11" s="44" t="str">
        <f>TEXT(MotorPHSales[[#This Row],[Date]],"mmmm")</f>
        <v>June</v>
      </c>
      <c r="C11" s="44">
        <f>DAY(MotorPHSales[[#This Row],[Date]])</f>
        <v>24</v>
      </c>
      <c r="D11" s="44">
        <f>YEAR(MotorPHSales[[#This Row],[Date]])</f>
        <v>2025</v>
      </c>
      <c r="E11" s="44" t="s">
        <v>196</v>
      </c>
      <c r="F11" s="44" t="s">
        <v>80</v>
      </c>
      <c r="G11" s="45">
        <v>398000</v>
      </c>
      <c r="H11" s="44">
        <v>19</v>
      </c>
      <c r="I11" s="45">
        <v>7562000</v>
      </c>
      <c r="J11" s="44" t="s">
        <v>197</v>
      </c>
      <c r="K11" s="44" t="str">
        <f>INDEX(CLEANED_MotorPH_Products_List_2!C:C,MATCH(MotorPHSales[[#This Row],[Product]],CLEANED_MotorPH_Products_List_2!$B:$B,0))</f>
        <v>Scooter</v>
      </c>
      <c r="L11" s="44" t="str">
        <f>INDEX(CLEANED_MotorPH_Products_List_2!E:E,MATCH(MotorPHSales[[#This Row],[Product]],CLEANED_MotorPH_Products_List_2!$B:$B,0))</f>
        <v>Single cylinder</v>
      </c>
      <c r="M11" s="44" t="str">
        <f>INDEX(CLEANED_MotorPH_Products_List_2!F:F,MATCH(MotorPHSales[[#This Row],[Product]],CLEANED_MotorPH_Products_List_2!$B:$B,0))</f>
        <v>liquid-cooled</v>
      </c>
      <c r="N11" s="44" t="str">
        <f>INDEX(CLEANED_MotorPH_Products_List_2!G:G,MATCH(MotorPHSales[[#This Row],[Product]],CLEANED_MotorPH_Products_List_2!$B:$B,0))</f>
        <v>278cc</v>
      </c>
      <c r="O11" s="44" t="str">
        <f>INDEX(CLEANED_MotorPH_Products_List_2!K:K,MATCH(MotorPHSales[[#This Row],[Product]],CLEANED_MotorPH_Products_List_2!B:B,0))</f>
        <v>Mid-range</v>
      </c>
      <c r="P11" s="45">
        <f>IF(MotorPHSales[[#This Row],[Segment]]="Entry-level",MotorPHSales[[#This Row],[UnitPrice]]/(1+30%),IF(MotorPHSales[[#This Row],[Segment]]="Mid-range",MotorPHSales[[#This Row],[UnitPrice]]/(1+35%),MotorPHSales[[#This Row],[UnitPrice]]/(1+40%)))*MotorPHSales[[#This Row],[Quantity]]</f>
        <v>5601481.4814814804</v>
      </c>
      <c r="Q11" s="44" t="str">
        <f>INDEX(CLEANED_MotorPH_Products_List_2!H:H,MATCH(MotorPHSales[[#This Row],[Product]],CLEANED_MotorPH_Products_List_2!$B:$B,0))</f>
        <v>CVT</v>
      </c>
    </row>
    <row r="12" spans="1:17" ht="15.75" x14ac:dyDescent="0.3">
      <c r="A12" s="43">
        <v>45811</v>
      </c>
      <c r="B12" s="44" t="str">
        <f>TEXT(MotorPHSales[[#This Row],[Date]],"mmmm")</f>
        <v>June</v>
      </c>
      <c r="C12" s="44">
        <f>DAY(MotorPHSales[[#This Row],[Date]])</f>
        <v>3</v>
      </c>
      <c r="D12" s="44">
        <f>YEAR(MotorPHSales[[#This Row],[Date]])</f>
        <v>2025</v>
      </c>
      <c r="E12" s="44" t="s">
        <v>196</v>
      </c>
      <c r="F12" s="44" t="s">
        <v>99</v>
      </c>
      <c r="G12" s="45">
        <v>689000</v>
      </c>
      <c r="H12" s="44">
        <v>13</v>
      </c>
      <c r="I12" s="45">
        <v>8957000</v>
      </c>
      <c r="J12" s="44" t="s">
        <v>195</v>
      </c>
      <c r="K12" s="44" t="str">
        <f>INDEX(CLEANED_MotorPH_Products_List_2!C:C,MATCH(MotorPHSales[[#This Row],[Product]],CLEANED_MotorPH_Products_List_2!$B:$B,0))</f>
        <v>Heritage</v>
      </c>
      <c r="L12" s="44" t="str">
        <f>INDEX(CLEANED_MotorPH_Products_List_2!E:E,MATCH(MotorPHSales[[#This Row],[Product]],CLEANED_MotorPH_Products_List_2!$B:$B,0))</f>
        <v>V-twin</v>
      </c>
      <c r="M12" s="44" t="str">
        <f>INDEX(CLEANED_MotorPH_Products_List_2!F:F,MATCH(MotorPHSales[[#This Row],[Product]],CLEANED_MotorPH_Products_List_2!$B:$B,0))</f>
        <v>air-cooled</v>
      </c>
      <c r="N12" s="44" t="str">
        <f>INDEX(CLEANED_MotorPH_Products_List_2!G:G,MATCH(MotorPHSales[[#This Row],[Product]],CLEANED_MotorPH_Products_List_2!$B:$B,0))</f>
        <v>853cc</v>
      </c>
      <c r="O12" s="44" t="str">
        <f>INDEX(CLEANED_MotorPH_Products_List_2!K:K,MATCH(MotorPHSales[[#This Row],[Product]],CLEANED_MotorPH_Products_List_2!B:B,0))</f>
        <v>Premium</v>
      </c>
      <c r="P12" s="45">
        <f>IF(MotorPHSales[[#This Row],[Segment]]="Entry-level",MotorPHSales[[#This Row],[UnitPrice]]/(1+30%),IF(MotorPHSales[[#This Row],[Segment]]="Mid-range",MotorPHSales[[#This Row],[UnitPrice]]/(1+35%),MotorPHSales[[#This Row],[UnitPrice]]/(1+40%)))*MotorPHSales[[#This Row],[Quantity]]</f>
        <v>6397857.1428571427</v>
      </c>
      <c r="Q12" s="44" t="str">
        <f>INDEX(CLEANED_MotorPH_Products_List_2!H:H,MATCH(MotorPHSales[[#This Row],[Product]],CLEANED_MotorPH_Products_List_2!$B:$B,0))</f>
        <v>6-speed</v>
      </c>
    </row>
    <row r="13" spans="1:17" ht="15.75" x14ac:dyDescent="0.3">
      <c r="A13" s="43">
        <v>45830</v>
      </c>
      <c r="B13" s="44" t="str">
        <f>TEXT(MotorPHSales[[#This Row],[Date]],"mmmm")</f>
        <v>June</v>
      </c>
      <c r="C13" s="44">
        <f>DAY(MotorPHSales[[#This Row],[Date]])</f>
        <v>22</v>
      </c>
      <c r="D13" s="44">
        <f>YEAR(MotorPHSales[[#This Row],[Date]])</f>
        <v>2025</v>
      </c>
      <c r="E13" s="44" t="s">
        <v>194</v>
      </c>
      <c r="F13" s="44" t="s">
        <v>18</v>
      </c>
      <c r="G13" s="45">
        <v>328000</v>
      </c>
      <c r="H13" s="44">
        <v>4</v>
      </c>
      <c r="I13" s="45">
        <v>1312000</v>
      </c>
      <c r="J13" s="44" t="s">
        <v>197</v>
      </c>
      <c r="K13" s="44" t="str">
        <f>INDEX(CLEANED_MotorPH_Products_List_2!C:C,MATCH(MotorPHSales[[#This Row],[Product]],CLEANED_MotorPH_Products_List_2!$B:$B,0))</f>
        <v>Cafe racer</v>
      </c>
      <c r="L13" s="44" t="str">
        <f>INDEX(CLEANED_MotorPH_Products_List_2!E:E,MATCH(MotorPHSales[[#This Row],[Product]],CLEANED_MotorPH_Products_List_2!$B:$B,0))</f>
        <v>Twin cylinder</v>
      </c>
      <c r="M13" s="44" t="str">
        <f>INDEX(CLEANED_MotorPH_Products_List_2!F:F,MATCH(MotorPHSales[[#This Row],[Product]],CLEANED_MotorPH_Products_List_2!$B:$B,0))</f>
        <v>air-cooled</v>
      </c>
      <c r="N13" s="44" t="str">
        <f>INDEX(CLEANED_MotorPH_Products_List_2!G:G,MATCH(MotorPHSales[[#This Row],[Product]],CLEANED_MotorPH_Products_List_2!$B:$B,0))</f>
        <v>471cc</v>
      </c>
      <c r="O13" s="44" t="str">
        <f>INDEX(CLEANED_MotorPH_Products_List_2!K:K,MATCH(MotorPHSales[[#This Row],[Product]],CLEANED_MotorPH_Products_List_2!B:B,0))</f>
        <v>Mid-range</v>
      </c>
      <c r="P13" s="45">
        <f>IF(MotorPHSales[[#This Row],[Segment]]="Entry-level",MotorPHSales[[#This Row],[UnitPrice]]/(1+30%),IF(MotorPHSales[[#This Row],[Segment]]="Mid-range",MotorPHSales[[#This Row],[UnitPrice]]/(1+35%),MotorPHSales[[#This Row],[UnitPrice]]/(1+40%)))*MotorPHSales[[#This Row],[Quantity]]</f>
        <v>971851.8518518518</v>
      </c>
      <c r="Q13" s="44" t="str">
        <f>INDEX(CLEANED_MotorPH_Products_List_2!H:H,MATCH(MotorPHSales[[#This Row],[Product]],CLEANED_MotorPH_Products_List_2!$B:$B,0))</f>
        <v>6-speed</v>
      </c>
    </row>
    <row r="14" spans="1:17" ht="15.75" x14ac:dyDescent="0.3">
      <c r="A14" s="43">
        <v>45861</v>
      </c>
      <c r="B14" s="44" t="str">
        <f>TEXT(MotorPHSales[[#This Row],[Date]],"mmmm")</f>
        <v>July</v>
      </c>
      <c r="C14" s="44">
        <f>DAY(MotorPHSales[[#This Row],[Date]])</f>
        <v>23</v>
      </c>
      <c r="D14" s="44">
        <f>YEAR(MotorPHSales[[#This Row],[Date]])</f>
        <v>2025</v>
      </c>
      <c r="E14" s="44" t="s">
        <v>194</v>
      </c>
      <c r="F14" s="44" t="s">
        <v>55</v>
      </c>
      <c r="G14" s="45">
        <v>80900</v>
      </c>
      <c r="H14" s="44">
        <v>14</v>
      </c>
      <c r="I14" s="45">
        <v>1132600</v>
      </c>
      <c r="J14" s="44" t="s">
        <v>195</v>
      </c>
      <c r="K14" s="44" t="str">
        <f>INDEX(CLEANED_MotorPH_Products_List_2!C:C,MATCH(MotorPHSales[[#This Row],[Product]],CLEANED_MotorPH_Products_List_2!$B:$B,0))</f>
        <v>Scooter</v>
      </c>
      <c r="L14" s="44" t="str">
        <f>INDEX(CLEANED_MotorPH_Products_List_2!E:E,MATCH(MotorPHSales[[#This Row],[Product]],CLEANED_MotorPH_Products_List_2!$B:$B,0))</f>
        <v>Single cylinder</v>
      </c>
      <c r="M14" s="44" t="str">
        <f>INDEX(CLEANED_MotorPH_Products_List_2!F:F,MATCH(MotorPHSales[[#This Row],[Product]],CLEANED_MotorPH_Products_List_2!$B:$B,0))</f>
        <v>liquid-cooled</v>
      </c>
      <c r="N14" s="44" t="str">
        <f>INDEX(CLEANED_MotorPH_Products_List_2!G:G,MATCH(MotorPHSales[[#This Row],[Product]],CLEANED_MotorPH_Products_List_2!$B:$B,0))</f>
        <v>125cc</v>
      </c>
      <c r="O14" s="44" t="str">
        <f>INDEX(CLEANED_MotorPH_Products_List_2!K:K,MATCH(MotorPHSales[[#This Row],[Product]],CLEANED_MotorPH_Products_List_2!B:B,0))</f>
        <v>Entry-level</v>
      </c>
      <c r="P14" s="45">
        <f>IF(MotorPHSales[[#This Row],[Segment]]="Entry-level",MotorPHSales[[#This Row],[UnitPrice]]/(1+30%),IF(MotorPHSales[[#This Row],[Segment]]="Mid-range",MotorPHSales[[#This Row],[UnitPrice]]/(1+35%),MotorPHSales[[#This Row],[UnitPrice]]/(1+40%)))*MotorPHSales[[#This Row],[Quantity]]</f>
        <v>871230.76923076913</v>
      </c>
      <c r="Q14" s="44" t="str">
        <f>INDEX(CLEANED_MotorPH_Products_List_2!H:H,MATCH(MotorPHSales[[#This Row],[Product]],CLEANED_MotorPH_Products_List_2!$B:$B,0))</f>
        <v>CVT</v>
      </c>
    </row>
    <row r="15" spans="1:17" ht="15.75" x14ac:dyDescent="0.3">
      <c r="A15" s="43">
        <v>45810</v>
      </c>
      <c r="B15" s="44" t="str">
        <f>TEXT(MotorPHSales[[#This Row],[Date]],"mmmm")</f>
        <v>June</v>
      </c>
      <c r="C15" s="44">
        <f>DAY(MotorPHSales[[#This Row],[Date]])</f>
        <v>2</v>
      </c>
      <c r="D15" s="44">
        <f>YEAR(MotorPHSales[[#This Row],[Date]])</f>
        <v>2025</v>
      </c>
      <c r="E15" s="44" t="s">
        <v>194</v>
      </c>
      <c r="F15" s="44" t="s">
        <v>90</v>
      </c>
      <c r="G15" s="45">
        <v>165000</v>
      </c>
      <c r="H15" s="44">
        <v>9</v>
      </c>
      <c r="I15" s="45">
        <v>1485000</v>
      </c>
      <c r="J15" s="44" t="s">
        <v>198</v>
      </c>
      <c r="K15" s="44" t="str">
        <f>INDEX(CLEANED_MotorPH_Products_List_2!C:C,MATCH(MotorPHSales[[#This Row],[Product]],CLEANED_MotorPH_Products_List_2!$B:$B,0))</f>
        <v>Sport</v>
      </c>
      <c r="L15" s="44" t="str">
        <f>INDEX(CLEANED_MotorPH_Products_List_2!E:E,MATCH(MotorPHSales[[#This Row],[Product]],CLEANED_MotorPH_Products_List_2!$B:$B,0))</f>
        <v>Single cylinder</v>
      </c>
      <c r="M15" s="44" t="str">
        <f>INDEX(CLEANED_MotorPH_Products_List_2!F:F,MATCH(MotorPHSales[[#This Row],[Product]],CLEANED_MotorPH_Products_List_2!$B:$B,0))</f>
        <v>liquid-cooled</v>
      </c>
      <c r="N15" s="44" t="str">
        <f>INDEX(CLEANED_MotorPH_Products_List_2!G:G,MATCH(MotorPHSales[[#This Row],[Product]],CLEANED_MotorPH_Products_List_2!$B:$B,0))</f>
        <v>292cc</v>
      </c>
      <c r="O15" s="44" t="str">
        <f>INDEX(CLEANED_MotorPH_Products_List_2!K:K,MATCH(MotorPHSales[[#This Row],[Product]],CLEANED_MotorPH_Products_List_2!B:B,0))</f>
        <v>Mid-range</v>
      </c>
      <c r="P15" s="45">
        <f>IF(MotorPHSales[[#This Row],[Segment]]="Entry-level",MotorPHSales[[#This Row],[UnitPrice]]/(1+30%),IF(MotorPHSales[[#This Row],[Segment]]="Mid-range",MotorPHSales[[#This Row],[UnitPrice]]/(1+35%),MotorPHSales[[#This Row],[UnitPrice]]/(1+40%)))*MotorPHSales[[#This Row],[Quantity]]</f>
        <v>1100000</v>
      </c>
      <c r="Q15" s="44" t="str">
        <f>INDEX(CLEANED_MotorPH_Products_List_2!H:H,MATCH(MotorPHSales[[#This Row],[Product]],CLEANED_MotorPH_Products_List_2!$B:$B,0))</f>
        <v>6-speed</v>
      </c>
    </row>
    <row r="16" spans="1:17" ht="15.75" x14ac:dyDescent="0.3">
      <c r="A16" s="43">
        <v>45896</v>
      </c>
      <c r="B16" s="44" t="str">
        <f>TEXT(MotorPHSales[[#This Row],[Date]],"mmmm")</f>
        <v>August</v>
      </c>
      <c r="C16" s="44">
        <f>DAY(MotorPHSales[[#This Row],[Date]])</f>
        <v>27</v>
      </c>
      <c r="D16" s="44">
        <f>YEAR(MotorPHSales[[#This Row],[Date]])</f>
        <v>2025</v>
      </c>
      <c r="E16" s="44" t="s">
        <v>194</v>
      </c>
      <c r="F16" s="44" t="s">
        <v>40</v>
      </c>
      <c r="G16" s="45">
        <v>210000</v>
      </c>
      <c r="H16" s="44">
        <v>2</v>
      </c>
      <c r="I16" s="45">
        <v>420000</v>
      </c>
      <c r="J16" s="44" t="s">
        <v>195</v>
      </c>
      <c r="K16" s="44" t="str">
        <f>INDEX(CLEANED_MotorPH_Products_List_2!C:C,MATCH(MotorPHSales[[#This Row],[Product]],CLEANED_MotorPH_Products_List_2!$B:$B,0))</f>
        <v>Scooter</v>
      </c>
      <c r="L16" s="44" t="str">
        <f>INDEX(CLEANED_MotorPH_Products_List_2!E:E,MATCH(MotorPHSales[[#This Row],[Product]],CLEANED_MotorPH_Products_List_2!$B:$B,0))</f>
        <v>Single cylinder</v>
      </c>
      <c r="M16" s="44" t="str">
        <f>INDEX(CLEANED_MotorPH_Products_List_2!F:F,MATCH(MotorPHSales[[#This Row],[Product]],CLEANED_MotorPH_Products_List_2!$B:$B,0))</f>
        <v>air-cooled</v>
      </c>
      <c r="N16" s="44" t="str">
        <f>INDEX(CLEANED_MotorPH_Products_List_2!G:G,MATCH(MotorPHSales[[#This Row],[Product]],CLEANED_MotorPH_Products_List_2!$B:$B,0))</f>
        <v>150cc</v>
      </c>
      <c r="O16" s="44" t="str">
        <f>INDEX(CLEANED_MotorPH_Products_List_2!K:K,MATCH(MotorPHSales[[#This Row],[Product]],CLEANED_MotorPH_Products_List_2!B:B,0))</f>
        <v>Entry-level</v>
      </c>
      <c r="P16" s="45">
        <f>IF(MotorPHSales[[#This Row],[Segment]]="Entry-level",MotorPHSales[[#This Row],[UnitPrice]]/(1+30%),IF(MotorPHSales[[#This Row],[Segment]]="Mid-range",MotorPHSales[[#This Row],[UnitPrice]]/(1+35%),MotorPHSales[[#This Row],[UnitPrice]]/(1+40%)))*MotorPHSales[[#This Row],[Quantity]]</f>
        <v>323076.92307692306</v>
      </c>
      <c r="Q16" s="44" t="str">
        <f>INDEX(CLEANED_MotorPH_Products_List_2!H:H,MATCH(MotorPHSales[[#This Row],[Product]],CLEANED_MotorPH_Products_List_2!$B:$B,0))</f>
        <v>CVT</v>
      </c>
    </row>
    <row r="17" spans="1:17" ht="15.75" x14ac:dyDescent="0.3">
      <c r="A17" s="43">
        <v>45838</v>
      </c>
      <c r="B17" s="44" t="str">
        <f>TEXT(MotorPHSales[[#This Row],[Date]],"mmmm")</f>
        <v>June</v>
      </c>
      <c r="C17" s="44">
        <f>DAY(MotorPHSales[[#This Row],[Date]])</f>
        <v>30</v>
      </c>
      <c r="D17" s="44">
        <f>YEAR(MotorPHSales[[#This Row],[Date]])</f>
        <v>2025</v>
      </c>
      <c r="E17" s="44" t="s">
        <v>196</v>
      </c>
      <c r="F17" s="44" t="s">
        <v>28</v>
      </c>
      <c r="G17" s="45">
        <v>164900</v>
      </c>
      <c r="H17" s="44">
        <v>5</v>
      </c>
      <c r="I17" s="45">
        <v>824500</v>
      </c>
      <c r="J17" s="44" t="s">
        <v>195</v>
      </c>
      <c r="K17" s="44" t="str">
        <f>INDEX(CLEANED_MotorPH_Products_List_2!C:C,MATCH(MotorPHSales[[#This Row],[Product]],CLEANED_MotorPH_Products_List_2!$B:$B,0))</f>
        <v>Scooter</v>
      </c>
      <c r="L17" s="44" t="str">
        <f>INDEX(CLEANED_MotorPH_Products_List_2!E:E,MATCH(MotorPHSales[[#This Row],[Product]],CLEANED_MotorPH_Products_List_2!$B:$B,0))</f>
        <v>Single cylinder</v>
      </c>
      <c r="M17" s="44" t="str">
        <f>INDEX(CLEANED_MotorPH_Products_List_2!F:F,MATCH(MotorPHSales[[#This Row],[Product]],CLEANED_MotorPH_Products_List_2!$B:$B,0))</f>
        <v>liquid-cooled</v>
      </c>
      <c r="N17" s="44" t="str">
        <f>INDEX(CLEANED_MotorPH_Products_List_2!G:G,MATCH(MotorPHSales[[#This Row],[Product]],CLEANED_MotorPH_Products_List_2!$B:$B,0))</f>
        <v>157cc</v>
      </c>
      <c r="O17" s="44" t="str">
        <f>INDEX(CLEANED_MotorPH_Products_List_2!K:K,MATCH(MotorPHSales[[#This Row],[Product]],CLEANED_MotorPH_Products_List_2!B:B,0))</f>
        <v>Entry-level</v>
      </c>
      <c r="P17" s="45">
        <f>IF(MotorPHSales[[#This Row],[Segment]]="Entry-level",MotorPHSales[[#This Row],[UnitPrice]]/(1+30%),IF(MotorPHSales[[#This Row],[Segment]]="Mid-range",MotorPHSales[[#This Row],[UnitPrice]]/(1+35%),MotorPHSales[[#This Row],[UnitPrice]]/(1+40%)))*MotorPHSales[[#This Row],[Quantity]]</f>
        <v>634230.76923076925</v>
      </c>
      <c r="Q17" s="44" t="str">
        <f>INDEX(CLEANED_MotorPH_Products_List_2!H:H,MATCH(MotorPHSales[[#This Row],[Product]],CLEANED_MotorPH_Products_List_2!$B:$B,0))</f>
        <v>CVT</v>
      </c>
    </row>
    <row r="18" spans="1:17" ht="15.75" x14ac:dyDescent="0.3">
      <c r="A18" s="43">
        <v>45846</v>
      </c>
      <c r="B18" s="44" t="str">
        <f>TEXT(MotorPHSales[[#This Row],[Date]],"mmmm")</f>
        <v>July</v>
      </c>
      <c r="C18" s="44">
        <f>DAY(MotorPHSales[[#This Row],[Date]])</f>
        <v>8</v>
      </c>
      <c r="D18" s="44">
        <f>YEAR(MotorPHSales[[#This Row],[Date]])</f>
        <v>2025</v>
      </c>
      <c r="E18" s="44" t="s">
        <v>196</v>
      </c>
      <c r="F18" s="44" t="s">
        <v>96</v>
      </c>
      <c r="G18" s="45">
        <v>80900</v>
      </c>
      <c r="H18" s="44">
        <v>42</v>
      </c>
      <c r="I18" s="45">
        <v>3397800</v>
      </c>
      <c r="J18" s="44" t="s">
        <v>198</v>
      </c>
      <c r="K18" s="44" t="str">
        <f>INDEX(CLEANED_MotorPH_Products_List_2!C:C,MATCH(MotorPHSales[[#This Row],[Product]],CLEANED_MotorPH_Products_List_2!$B:$B,0))</f>
        <v>Scooter</v>
      </c>
      <c r="L18" s="44" t="str">
        <f>INDEX(CLEANED_MotorPH_Products_List_2!E:E,MATCH(MotorPHSales[[#This Row],[Product]],CLEANED_MotorPH_Products_List_2!$B:$B,0))</f>
        <v>Single cylinder</v>
      </c>
      <c r="M18" s="44" t="str">
        <f>INDEX(CLEANED_MotorPH_Products_List_2!F:F,MATCH(MotorPHSales[[#This Row],[Product]],CLEANED_MotorPH_Products_List_2!$B:$B,0))</f>
        <v>air-cooled</v>
      </c>
      <c r="N18" s="44" t="str">
        <f>INDEX(CLEANED_MotorPH_Products_List_2!G:G,MATCH(MotorPHSales[[#This Row],[Product]],CLEANED_MotorPH_Products_List_2!$B:$B,0))</f>
        <v>124cc</v>
      </c>
      <c r="O18" s="44" t="str">
        <f>INDEX(CLEANED_MotorPH_Products_List_2!K:K,MATCH(MotorPHSales[[#This Row],[Product]],CLEANED_MotorPH_Products_List_2!B:B,0))</f>
        <v>Entry-level</v>
      </c>
      <c r="P18" s="45">
        <f>IF(MotorPHSales[[#This Row],[Segment]]="Entry-level",MotorPHSales[[#This Row],[UnitPrice]]/(1+30%),IF(MotorPHSales[[#This Row],[Segment]]="Mid-range",MotorPHSales[[#This Row],[UnitPrice]]/(1+35%),MotorPHSales[[#This Row],[UnitPrice]]/(1+40%)))*MotorPHSales[[#This Row],[Quantity]]</f>
        <v>2613692.3076923075</v>
      </c>
      <c r="Q18" s="44" t="str">
        <f>INDEX(CLEANED_MotorPH_Products_List_2!H:H,MATCH(MotorPHSales[[#This Row],[Product]],CLEANED_MotorPH_Products_List_2!$B:$B,0))</f>
        <v>CVT</v>
      </c>
    </row>
    <row r="19" spans="1:17" ht="15.75" x14ac:dyDescent="0.3">
      <c r="A19" s="43">
        <v>45810</v>
      </c>
      <c r="B19" s="44" t="str">
        <f>TEXT(MotorPHSales[[#This Row],[Date]],"mmmm")</f>
        <v>June</v>
      </c>
      <c r="C19" s="44">
        <f>DAY(MotorPHSales[[#This Row],[Date]])</f>
        <v>2</v>
      </c>
      <c r="D19" s="44">
        <f>YEAR(MotorPHSales[[#This Row],[Date]])</f>
        <v>2025</v>
      </c>
      <c r="E19" s="44" t="s">
        <v>194</v>
      </c>
      <c r="F19" s="44" t="s">
        <v>99</v>
      </c>
      <c r="G19" s="45">
        <v>689000</v>
      </c>
      <c r="H19" s="44">
        <v>10</v>
      </c>
      <c r="I19" s="45">
        <v>6890000</v>
      </c>
      <c r="J19" s="44" t="s">
        <v>198</v>
      </c>
      <c r="K19" s="44" t="str">
        <f>INDEX(CLEANED_MotorPH_Products_List_2!C:C,MATCH(MotorPHSales[[#This Row],[Product]],CLEANED_MotorPH_Products_List_2!$B:$B,0))</f>
        <v>Heritage</v>
      </c>
      <c r="L19" s="44" t="str">
        <f>INDEX(CLEANED_MotorPH_Products_List_2!E:E,MATCH(MotorPHSales[[#This Row],[Product]],CLEANED_MotorPH_Products_List_2!$B:$B,0))</f>
        <v>V-twin</v>
      </c>
      <c r="M19" s="44" t="str">
        <f>INDEX(CLEANED_MotorPH_Products_List_2!F:F,MATCH(MotorPHSales[[#This Row],[Product]],CLEANED_MotorPH_Products_List_2!$B:$B,0))</f>
        <v>air-cooled</v>
      </c>
      <c r="N19" s="44" t="str">
        <f>INDEX(CLEANED_MotorPH_Products_List_2!G:G,MATCH(MotorPHSales[[#This Row],[Product]],CLEANED_MotorPH_Products_List_2!$B:$B,0))</f>
        <v>853cc</v>
      </c>
      <c r="O19" s="44" t="str">
        <f>INDEX(CLEANED_MotorPH_Products_List_2!K:K,MATCH(MotorPHSales[[#This Row],[Product]],CLEANED_MotorPH_Products_List_2!B:B,0))</f>
        <v>Premium</v>
      </c>
      <c r="P19" s="45">
        <f>IF(MotorPHSales[[#This Row],[Segment]]="Entry-level",MotorPHSales[[#This Row],[UnitPrice]]/(1+30%),IF(MotorPHSales[[#This Row],[Segment]]="Mid-range",MotorPHSales[[#This Row],[UnitPrice]]/(1+35%),MotorPHSales[[#This Row],[UnitPrice]]/(1+40%)))*MotorPHSales[[#This Row],[Quantity]]</f>
        <v>4921428.5714285718</v>
      </c>
      <c r="Q19" s="44" t="str">
        <f>INDEX(CLEANED_MotorPH_Products_List_2!H:H,MATCH(MotorPHSales[[#This Row],[Product]],CLEANED_MotorPH_Products_List_2!$B:$B,0))</f>
        <v>6-speed</v>
      </c>
    </row>
    <row r="20" spans="1:17" ht="15.75" x14ac:dyDescent="0.3">
      <c r="A20" s="43">
        <v>45872</v>
      </c>
      <c r="B20" s="44" t="str">
        <f>TEXT(MotorPHSales[[#This Row],[Date]],"mmmm")</f>
        <v>August</v>
      </c>
      <c r="C20" s="44">
        <f>DAY(MotorPHSales[[#This Row],[Date]])</f>
        <v>3</v>
      </c>
      <c r="D20" s="44">
        <f>YEAR(MotorPHSales[[#This Row],[Date]])</f>
        <v>2025</v>
      </c>
      <c r="E20" s="44" t="s">
        <v>194</v>
      </c>
      <c r="F20" s="44" t="s">
        <v>53</v>
      </c>
      <c r="G20" s="45">
        <v>345000</v>
      </c>
      <c r="H20" s="44">
        <v>47</v>
      </c>
      <c r="I20" s="45">
        <v>16215000</v>
      </c>
      <c r="J20" s="44" t="s">
        <v>195</v>
      </c>
      <c r="K20" s="44" t="str">
        <f>INDEX(CLEANED_MotorPH_Products_List_2!C:C,MATCH(MotorPHSales[[#This Row],[Product]],CLEANED_MotorPH_Products_List_2!$B:$B,0))</f>
        <v>Touring</v>
      </c>
      <c r="L20" s="44" t="str">
        <f>INDEX(CLEANED_MotorPH_Products_List_2!E:E,MATCH(MotorPHSales[[#This Row],[Product]],CLEANED_MotorPH_Products_List_2!$B:$B,0))</f>
        <v>Parallel-twin</v>
      </c>
      <c r="M20" s="44" t="str">
        <f>INDEX(CLEANED_MotorPH_Products_List_2!F:F,MATCH(MotorPHSales[[#This Row],[Product]],CLEANED_MotorPH_Products_List_2!$B:$B,0))</f>
        <v>liquid-cooled</v>
      </c>
      <c r="N20" s="44" t="str">
        <f>INDEX(CLEANED_MotorPH_Products_List_2!G:G,MATCH(MotorPHSales[[#This Row],[Product]],CLEANED_MotorPH_Products_List_2!$B:$B,0))</f>
        <v>649cc</v>
      </c>
      <c r="O20" s="44" t="str">
        <f>INDEX(CLEANED_MotorPH_Products_List_2!K:K,MATCH(MotorPHSales[[#This Row],[Product]],CLEANED_MotorPH_Products_List_2!B:B,0))</f>
        <v>Premium</v>
      </c>
      <c r="P20" s="45">
        <f>IF(MotorPHSales[[#This Row],[Segment]]="Entry-level",MotorPHSales[[#This Row],[UnitPrice]]/(1+30%),IF(MotorPHSales[[#This Row],[Segment]]="Mid-range",MotorPHSales[[#This Row],[UnitPrice]]/(1+35%),MotorPHSales[[#This Row],[UnitPrice]]/(1+40%)))*MotorPHSales[[#This Row],[Quantity]]</f>
        <v>11582142.857142858</v>
      </c>
      <c r="Q20" s="44" t="str">
        <f>INDEX(CLEANED_MotorPH_Products_List_2!H:H,MATCH(MotorPHSales[[#This Row],[Product]],CLEANED_MotorPH_Products_List_2!$B:$B,0))</f>
        <v>6-speed</v>
      </c>
    </row>
    <row r="21" spans="1:17" ht="15.75" x14ac:dyDescent="0.3">
      <c r="A21" s="43">
        <v>45868</v>
      </c>
      <c r="B21" s="44" t="str">
        <f>TEXT(MotorPHSales[[#This Row],[Date]],"mmmm")</f>
        <v>July</v>
      </c>
      <c r="C21" s="44">
        <f>DAY(MotorPHSales[[#This Row],[Date]])</f>
        <v>30</v>
      </c>
      <c r="D21" s="44">
        <f>YEAR(MotorPHSales[[#This Row],[Date]])</f>
        <v>2025</v>
      </c>
      <c r="E21" s="44" t="s">
        <v>196</v>
      </c>
      <c r="F21" s="44" t="s">
        <v>8</v>
      </c>
      <c r="G21" s="45">
        <v>178000</v>
      </c>
      <c r="H21" s="44">
        <v>15</v>
      </c>
      <c r="I21" s="45">
        <v>2670000</v>
      </c>
      <c r="J21" s="44" t="s">
        <v>197</v>
      </c>
      <c r="K21" s="44" t="str">
        <f>INDEX(CLEANED_MotorPH_Products_List_2!C:C,MATCH(MotorPHSales[[#This Row],[Product]],CLEANED_MotorPH_Products_List_2!$B:$B,0))</f>
        <v>Naked bike</v>
      </c>
      <c r="L21" s="44" t="str">
        <f>INDEX(CLEANED_MotorPH_Products_List_2!E:E,MATCH(MotorPHSales[[#This Row],[Product]],CLEANED_MotorPH_Products_List_2!$B:$B,0))</f>
        <v>Single cylinder</v>
      </c>
      <c r="M21" s="44" t="str">
        <f>INDEX(CLEANED_MotorPH_Products_List_2!F:F,MATCH(MotorPHSales[[#This Row],[Product]],CLEANED_MotorPH_Products_List_2!$B:$B,0))</f>
        <v>liquid-cooled</v>
      </c>
      <c r="N21" s="44" t="str">
        <f>INDEX(CLEANED_MotorPH_Products_List_2!G:G,MATCH(MotorPHSales[[#This Row],[Product]],CLEANED_MotorPH_Products_List_2!$B:$B,0))</f>
        <v>155cc</v>
      </c>
      <c r="O21" s="44" t="str">
        <f>INDEX(CLEANED_MotorPH_Products_List_2!K:K,MATCH(MotorPHSales[[#This Row],[Product]],CLEANED_MotorPH_Products_List_2!B:B,0))</f>
        <v>Entry-level</v>
      </c>
      <c r="P21" s="45">
        <f>IF(MotorPHSales[[#This Row],[Segment]]="Entry-level",MotorPHSales[[#This Row],[UnitPrice]]/(1+30%),IF(MotorPHSales[[#This Row],[Segment]]="Mid-range",MotorPHSales[[#This Row],[UnitPrice]]/(1+35%),MotorPHSales[[#This Row],[UnitPrice]]/(1+40%)))*MotorPHSales[[#This Row],[Quantity]]</f>
        <v>2053846.1538461535</v>
      </c>
      <c r="Q21" s="44" t="str">
        <f>INDEX(CLEANED_MotorPH_Products_List_2!H:H,MATCH(MotorPHSales[[#This Row],[Product]],CLEANED_MotorPH_Products_List_2!$B:$B,0))</f>
        <v>6-speed</v>
      </c>
    </row>
    <row r="22" spans="1:17" ht="15.75" x14ac:dyDescent="0.3">
      <c r="A22" s="43">
        <v>45829</v>
      </c>
      <c r="B22" s="44" t="str">
        <f>TEXT(MotorPHSales[[#This Row],[Date]],"mmmm")</f>
        <v>June</v>
      </c>
      <c r="C22" s="44">
        <f>DAY(MotorPHSales[[#This Row],[Date]])</f>
        <v>21</v>
      </c>
      <c r="D22" s="44">
        <f>YEAR(MotorPHSales[[#This Row],[Date]])</f>
        <v>2025</v>
      </c>
      <c r="E22" s="44" t="s">
        <v>194</v>
      </c>
      <c r="F22" s="44" t="s">
        <v>57</v>
      </c>
      <c r="G22" s="45">
        <v>125900</v>
      </c>
      <c r="H22" s="44">
        <v>24</v>
      </c>
      <c r="I22" s="45">
        <v>3021600</v>
      </c>
      <c r="J22" s="44" t="s">
        <v>197</v>
      </c>
      <c r="K22" s="44" t="str">
        <f>INDEX(CLEANED_MotorPH_Products_List_2!C:C,MATCH(MotorPHSales[[#This Row],[Product]],CLEANED_MotorPH_Products_List_2!$B:$B,0))</f>
        <v>Underbone</v>
      </c>
      <c r="L22" s="44" t="str">
        <f>INDEX(CLEANED_MotorPH_Products_List_2!E:E,MATCH(MotorPHSales[[#This Row],[Product]],CLEANED_MotorPH_Products_List_2!$B:$B,0))</f>
        <v>Single cylinder</v>
      </c>
      <c r="M22" s="44" t="str">
        <f>INDEX(CLEANED_MotorPH_Products_List_2!F:F,MATCH(MotorPHSales[[#This Row],[Product]],CLEANED_MotorPH_Products_List_2!$B:$B,0))</f>
        <v>liquid-cooled</v>
      </c>
      <c r="N22" s="44" t="str">
        <f>INDEX(CLEANED_MotorPH_Products_List_2!G:G,MATCH(MotorPHSales[[#This Row],[Product]],CLEANED_MotorPH_Products_List_2!$B:$B,0))</f>
        <v>155cc</v>
      </c>
      <c r="O22" s="44" t="str">
        <f>INDEX(CLEANED_MotorPH_Products_List_2!K:K,MATCH(MotorPHSales[[#This Row],[Product]],CLEANED_MotorPH_Products_List_2!B:B,0))</f>
        <v>Entry-level</v>
      </c>
      <c r="P22" s="45">
        <f>IF(MotorPHSales[[#This Row],[Segment]]="Entry-level",MotorPHSales[[#This Row],[UnitPrice]]/(1+30%),IF(MotorPHSales[[#This Row],[Segment]]="Mid-range",MotorPHSales[[#This Row],[UnitPrice]]/(1+35%),MotorPHSales[[#This Row],[UnitPrice]]/(1+40%)))*MotorPHSales[[#This Row],[Quantity]]</f>
        <v>2324307.692307692</v>
      </c>
      <c r="Q22" s="44" t="str">
        <f>INDEX(CLEANED_MotorPH_Products_List_2!H:H,MATCH(MotorPHSales[[#This Row],[Product]],CLEANED_MotorPH_Products_List_2!$B:$B,0))</f>
        <v>6-speed</v>
      </c>
    </row>
    <row r="23" spans="1:17" ht="15.75" x14ac:dyDescent="0.3">
      <c r="A23" s="43">
        <v>45841</v>
      </c>
      <c r="B23" s="44" t="str">
        <f>TEXT(MotorPHSales[[#This Row],[Date]],"mmmm")</f>
        <v>July</v>
      </c>
      <c r="C23" s="44">
        <f>DAY(MotorPHSales[[#This Row],[Date]])</f>
        <v>3</v>
      </c>
      <c r="D23" s="44">
        <f>YEAR(MotorPHSales[[#This Row],[Date]])</f>
        <v>2025</v>
      </c>
      <c r="E23" s="44" t="s">
        <v>194</v>
      </c>
      <c r="F23" s="44" t="s">
        <v>78</v>
      </c>
      <c r="G23" s="45">
        <v>99900</v>
      </c>
      <c r="H23" s="44">
        <v>19</v>
      </c>
      <c r="I23" s="45">
        <v>1898100</v>
      </c>
      <c r="J23" s="44" t="s">
        <v>197</v>
      </c>
      <c r="K23" s="44" t="str">
        <f>INDEX(CLEANED_MotorPH_Products_List_2!C:C,MATCH(MotorPHSales[[#This Row],[Product]],CLEANED_MotorPH_Products_List_2!$B:$B,0))</f>
        <v>Street</v>
      </c>
      <c r="L23" s="44" t="str">
        <f>INDEX(CLEANED_MotorPH_Products_List_2!E:E,MATCH(MotorPHSales[[#This Row],[Product]],CLEANED_MotorPH_Products_List_2!$B:$B,0))</f>
        <v>Single cylinder</v>
      </c>
      <c r="M23" s="44" t="str">
        <f>INDEX(CLEANED_MotorPH_Products_List_2!F:F,MATCH(MotorPHSales[[#This Row],[Product]],CLEANED_MotorPH_Products_List_2!$B:$B,0))</f>
        <v>air-cooled</v>
      </c>
      <c r="N23" s="44" t="str">
        <f>INDEX(CLEANED_MotorPH_Products_List_2!G:G,MATCH(MotorPHSales[[#This Row],[Product]],CLEANED_MotorPH_Products_List_2!$B:$B,0))</f>
        <v>149cc</v>
      </c>
      <c r="O23" s="44" t="str">
        <f>INDEX(CLEANED_MotorPH_Products_List_2!K:K,MATCH(MotorPHSales[[#This Row],[Product]],CLEANED_MotorPH_Products_List_2!B:B,0))</f>
        <v>Entry-level</v>
      </c>
      <c r="P23" s="45">
        <f>IF(MotorPHSales[[#This Row],[Segment]]="Entry-level",MotorPHSales[[#This Row],[UnitPrice]]/(1+30%),IF(MotorPHSales[[#This Row],[Segment]]="Mid-range",MotorPHSales[[#This Row],[UnitPrice]]/(1+35%),MotorPHSales[[#This Row],[UnitPrice]]/(1+40%)))*MotorPHSales[[#This Row],[Quantity]]</f>
        <v>1460076.923076923</v>
      </c>
      <c r="Q23" s="44" t="str">
        <f>INDEX(CLEANED_MotorPH_Products_List_2!H:H,MATCH(MotorPHSales[[#This Row],[Product]],CLEANED_MotorPH_Products_List_2!$B:$B,0))</f>
        <v>5-speed</v>
      </c>
    </row>
    <row r="24" spans="1:17" ht="15.75" x14ac:dyDescent="0.3">
      <c r="A24" s="43">
        <v>45884</v>
      </c>
      <c r="B24" s="44" t="str">
        <f>TEXT(MotorPHSales[[#This Row],[Date]],"mmmm")</f>
        <v>August</v>
      </c>
      <c r="C24" s="44">
        <f>DAY(MotorPHSales[[#This Row],[Date]])</f>
        <v>15</v>
      </c>
      <c r="D24" s="44">
        <f>YEAR(MotorPHSales[[#This Row],[Date]])</f>
        <v>2025</v>
      </c>
      <c r="E24" s="44" t="s">
        <v>194</v>
      </c>
      <c r="F24" s="44" t="s">
        <v>49</v>
      </c>
      <c r="G24" s="45">
        <v>206700</v>
      </c>
      <c r="H24" s="44">
        <v>4</v>
      </c>
      <c r="I24" s="45">
        <v>275600</v>
      </c>
      <c r="J24" s="44" t="s">
        <v>195</v>
      </c>
      <c r="K24" s="44" t="str">
        <f>INDEX(CLEANED_MotorPH_Products_List_2!C:C,MATCH(MotorPHSales[[#This Row],[Product]],CLEANED_MotorPH_Products_List_2!$B:$B,0))</f>
        <v>Standard</v>
      </c>
      <c r="L24" s="44" t="str">
        <f>INDEX(CLEANED_MotorPH_Products_List_2!E:E,MATCH(MotorPHSales[[#This Row],[Product]],CLEANED_MotorPH_Products_List_2!$B:$B,0))</f>
        <v>Single cylinder</v>
      </c>
      <c r="M24" s="44" t="str">
        <f>INDEX(CLEANED_MotorPH_Products_List_2!F:F,MATCH(MotorPHSales[[#This Row],[Product]],CLEANED_MotorPH_Products_List_2!$B:$B,0))</f>
        <v>air-cooled</v>
      </c>
      <c r="N24" s="44" t="str">
        <f>INDEX(CLEANED_MotorPH_Products_List_2!G:G,MATCH(MotorPHSales[[#This Row],[Product]],CLEANED_MotorPH_Products_List_2!$B:$B,0))</f>
        <v>149cc</v>
      </c>
      <c r="O24" s="44" t="str">
        <f>INDEX(CLEANED_MotorPH_Products_List_2!K:K,MATCH(MotorPHSales[[#This Row],[Product]],CLEANED_MotorPH_Products_List_2!B:B,0))</f>
        <v>Entry-level</v>
      </c>
      <c r="P24" s="45">
        <f>IF(MotorPHSales[[#This Row],[Segment]]="Entry-level",MotorPHSales[[#This Row],[UnitPrice]]/(1+30%),IF(MotorPHSales[[#This Row],[Segment]]="Mid-range",MotorPHSales[[#This Row],[UnitPrice]]/(1+35%),MotorPHSales[[#This Row],[UnitPrice]]/(1+40%)))*MotorPHSales[[#This Row],[Quantity]]</f>
        <v>636000</v>
      </c>
      <c r="Q24" s="44" t="str">
        <f>INDEX(CLEANED_MotorPH_Products_List_2!H:H,MATCH(MotorPHSales[[#This Row],[Product]],CLEANED_MotorPH_Products_List_2!$B:$B,0))</f>
        <v>5-speed</v>
      </c>
    </row>
    <row r="25" spans="1:17" ht="15.75" x14ac:dyDescent="0.3">
      <c r="A25" s="43">
        <v>45866</v>
      </c>
      <c r="B25" s="44" t="str">
        <f>TEXT(MotorPHSales[[#This Row],[Date]],"mmmm")</f>
        <v>July</v>
      </c>
      <c r="C25" s="44">
        <f>DAY(MotorPHSales[[#This Row],[Date]])</f>
        <v>28</v>
      </c>
      <c r="D25" s="44">
        <f>YEAR(MotorPHSales[[#This Row],[Date]])</f>
        <v>2025</v>
      </c>
      <c r="E25" s="44" t="s">
        <v>196</v>
      </c>
      <c r="F25" s="44" t="s">
        <v>38</v>
      </c>
      <c r="G25" s="45">
        <v>295000</v>
      </c>
      <c r="H25" s="44">
        <v>49</v>
      </c>
      <c r="I25" s="45">
        <v>14455000</v>
      </c>
      <c r="J25" s="44" t="s">
        <v>198</v>
      </c>
      <c r="K25" s="44" t="str">
        <f>INDEX(CLEANED_MotorPH_Products_List_2!C:C,MATCH(MotorPHSales[[#This Row],[Product]],CLEANED_MotorPH_Products_List_2!$B:$B,0))</f>
        <v>Scrambler</v>
      </c>
      <c r="L25" s="44" t="str">
        <f>INDEX(CLEANED_MotorPH_Products_List_2!E:E,MATCH(MotorPHSales[[#This Row],[Product]],CLEANED_MotorPH_Products_List_2!$B:$B,0))</f>
        <v>Single cylinder</v>
      </c>
      <c r="M25" s="44" t="str">
        <f>INDEX(CLEANED_MotorPH_Products_List_2!F:F,MATCH(MotorPHSales[[#This Row],[Product]],CLEANED_MotorPH_Products_List_2!$B:$B,0))</f>
        <v>liquid-cooled</v>
      </c>
      <c r="N25" s="44" t="str">
        <f>INDEX(CLEANED_MotorPH_Products_List_2!G:G,MATCH(MotorPHSales[[#This Row],[Product]],CLEANED_MotorPH_Products_List_2!$B:$B,0))</f>
        <v>373cc</v>
      </c>
      <c r="O25" s="44" t="str">
        <f>INDEX(CLEANED_MotorPH_Products_List_2!K:K,MATCH(MotorPHSales[[#This Row],[Product]],CLEANED_MotorPH_Products_List_2!B:B,0))</f>
        <v>Mid-range</v>
      </c>
      <c r="P25" s="45">
        <f>IF(MotorPHSales[[#This Row],[Segment]]="Entry-level",MotorPHSales[[#This Row],[UnitPrice]]/(1+30%),IF(MotorPHSales[[#This Row],[Segment]]="Mid-range",MotorPHSales[[#This Row],[UnitPrice]]/(1+35%),MotorPHSales[[#This Row],[UnitPrice]]/(1+40%)))*MotorPHSales[[#This Row],[Quantity]]</f>
        <v>10707407.407407407</v>
      </c>
      <c r="Q25" s="44" t="str">
        <f>INDEX(CLEANED_MotorPH_Products_List_2!H:H,MATCH(MotorPHSales[[#This Row],[Product]],CLEANED_MotorPH_Products_List_2!$B:$B,0))</f>
        <v>6-speed</v>
      </c>
    </row>
    <row r="26" spans="1:17" ht="15.75" x14ac:dyDescent="0.3">
      <c r="A26" s="43">
        <v>45830</v>
      </c>
      <c r="B26" s="44" t="str">
        <f>TEXT(MotorPHSales[[#This Row],[Date]],"mmmm")</f>
        <v>June</v>
      </c>
      <c r="C26" s="44">
        <f>DAY(MotorPHSales[[#This Row],[Date]])</f>
        <v>22</v>
      </c>
      <c r="D26" s="44">
        <f>YEAR(MotorPHSales[[#This Row],[Date]])</f>
        <v>2025</v>
      </c>
      <c r="E26" s="44" t="s">
        <v>194</v>
      </c>
      <c r="F26" s="44" t="s">
        <v>49</v>
      </c>
      <c r="G26" s="45">
        <v>68900</v>
      </c>
      <c r="H26" s="44">
        <v>3</v>
      </c>
      <c r="I26" s="45">
        <v>206700</v>
      </c>
      <c r="J26" s="44" t="s">
        <v>195</v>
      </c>
      <c r="K26" s="44" t="str">
        <f>INDEX(CLEANED_MotorPH_Products_List_2!C:C,MATCH(MotorPHSales[[#This Row],[Product]],CLEANED_MotorPH_Products_List_2!$B:$B,0))</f>
        <v>Standard</v>
      </c>
      <c r="L26" s="44" t="str">
        <f>INDEX(CLEANED_MotorPH_Products_List_2!E:E,MATCH(MotorPHSales[[#This Row],[Product]],CLEANED_MotorPH_Products_List_2!$B:$B,0))</f>
        <v>Single cylinder</v>
      </c>
      <c r="M26" s="44" t="str">
        <f>INDEX(CLEANED_MotorPH_Products_List_2!F:F,MATCH(MotorPHSales[[#This Row],[Product]],CLEANED_MotorPH_Products_List_2!$B:$B,0))</f>
        <v>air-cooled</v>
      </c>
      <c r="N26" s="44" t="str">
        <f>INDEX(CLEANED_MotorPH_Products_List_2!G:G,MATCH(MotorPHSales[[#This Row],[Product]],CLEANED_MotorPH_Products_List_2!$B:$B,0))</f>
        <v>149cc</v>
      </c>
      <c r="O26" s="44" t="str">
        <f>INDEX(CLEANED_MotorPH_Products_List_2!K:K,MATCH(MotorPHSales[[#This Row],[Product]],CLEANED_MotorPH_Products_List_2!B:B,0))</f>
        <v>Entry-level</v>
      </c>
      <c r="P26" s="45">
        <f>IF(MotorPHSales[[#This Row],[Segment]]="Entry-level",MotorPHSales[[#This Row],[UnitPrice]]/(1+30%),IF(MotorPHSales[[#This Row],[Segment]]="Mid-range",MotorPHSales[[#This Row],[UnitPrice]]/(1+35%),MotorPHSales[[#This Row],[UnitPrice]]/(1+40%)))*MotorPHSales[[#This Row],[Quantity]]</f>
        <v>159000</v>
      </c>
      <c r="Q26" s="44" t="str">
        <f>INDEX(CLEANED_MotorPH_Products_List_2!H:H,MATCH(MotorPHSales[[#This Row],[Product]],CLEANED_MotorPH_Products_List_2!$B:$B,0))</f>
        <v>5-speed</v>
      </c>
    </row>
    <row r="27" spans="1:17" ht="15.75" x14ac:dyDescent="0.3">
      <c r="A27" s="43">
        <v>45897</v>
      </c>
      <c r="B27" s="44" t="str">
        <f>TEXT(MotorPHSales[[#This Row],[Date]],"mmmm")</f>
        <v>August</v>
      </c>
      <c r="C27" s="44">
        <f>DAY(MotorPHSales[[#This Row],[Date]])</f>
        <v>28</v>
      </c>
      <c r="D27" s="44">
        <f>YEAR(MotorPHSales[[#This Row],[Date]])</f>
        <v>2025</v>
      </c>
      <c r="E27" s="44" t="s">
        <v>196</v>
      </c>
      <c r="F27" s="44" t="s">
        <v>72</v>
      </c>
      <c r="G27" s="45">
        <v>319000</v>
      </c>
      <c r="H27" s="44">
        <v>22</v>
      </c>
      <c r="I27" s="45">
        <v>7018000</v>
      </c>
      <c r="J27" s="44" t="s">
        <v>195</v>
      </c>
      <c r="K27" s="44" t="str">
        <f>INDEX(CLEANED_MotorPH_Products_List_2!C:C,MATCH(MotorPHSales[[#This Row],[Product]],CLEANED_MotorPH_Products_List_2!$B:$B,0))</f>
        <v>Scooter</v>
      </c>
      <c r="L27" s="44" t="str">
        <f>INDEX(CLEANED_MotorPH_Products_List_2!E:E,MATCH(MotorPHSales[[#This Row],[Product]],CLEANED_MotorPH_Products_List_2!$B:$B,0))</f>
        <v>Single cylinder</v>
      </c>
      <c r="M27" s="44" t="str">
        <f>INDEX(CLEANED_MotorPH_Products_List_2!F:F,MATCH(MotorPHSales[[#This Row],[Product]],CLEANED_MotorPH_Products_List_2!$B:$B,0))</f>
        <v>liquid-cooled</v>
      </c>
      <c r="N27" s="44" t="str">
        <f>INDEX(CLEANED_MotorPH_Products_List_2!G:G,MATCH(MotorPHSales[[#This Row],[Product]],CLEANED_MotorPH_Products_List_2!$B:$B,0))</f>
        <v>292cc</v>
      </c>
      <c r="O27" s="44" t="str">
        <f>INDEX(CLEANED_MotorPH_Products_List_2!K:K,MATCH(MotorPHSales[[#This Row],[Product]],CLEANED_MotorPH_Products_List_2!B:B,0))</f>
        <v>Mid-range</v>
      </c>
      <c r="P27" s="45">
        <f>IF(MotorPHSales[[#This Row],[Segment]]="Entry-level",MotorPHSales[[#This Row],[UnitPrice]]/(1+30%),IF(MotorPHSales[[#This Row],[Segment]]="Mid-range",MotorPHSales[[#This Row],[UnitPrice]]/(1+35%),MotorPHSales[[#This Row],[UnitPrice]]/(1+40%)))*MotorPHSales[[#This Row],[Quantity]]</f>
        <v>5198518.5185185187</v>
      </c>
      <c r="Q27" s="44" t="str">
        <f>INDEX(CLEANED_MotorPH_Products_List_2!H:H,MATCH(MotorPHSales[[#This Row],[Product]],CLEANED_MotorPH_Products_List_2!$B:$B,0))</f>
        <v>CVT</v>
      </c>
    </row>
    <row r="28" spans="1:17" ht="15.75" x14ac:dyDescent="0.3">
      <c r="A28" s="43">
        <v>45857</v>
      </c>
      <c r="B28" s="44" t="str">
        <f>TEXT(MotorPHSales[[#This Row],[Date]],"mmmm")</f>
        <v>July</v>
      </c>
      <c r="C28" s="44">
        <f>DAY(MotorPHSales[[#This Row],[Date]])</f>
        <v>19</v>
      </c>
      <c r="D28" s="44">
        <f>YEAR(MotorPHSales[[#This Row],[Date]])</f>
        <v>2025</v>
      </c>
      <c r="E28" s="44" t="s">
        <v>196</v>
      </c>
      <c r="F28" s="44" t="s">
        <v>24</v>
      </c>
      <c r="G28" s="45">
        <v>199900</v>
      </c>
      <c r="H28" s="44">
        <v>15</v>
      </c>
      <c r="I28" s="45">
        <v>2998500</v>
      </c>
      <c r="J28" s="44" t="s">
        <v>195</v>
      </c>
      <c r="K28" s="44" t="str">
        <f>INDEX(CLEANED_MotorPH_Products_List_2!C:C,MATCH(MotorPHSales[[#This Row],[Product]],CLEANED_MotorPH_Products_List_2!$B:$B,0))</f>
        <v>Sport touring</v>
      </c>
      <c r="L28" s="44" t="str">
        <f>INDEX(CLEANED_MotorPH_Products_List_2!E:E,MATCH(MotorPHSales[[#This Row],[Product]],CLEANED_MotorPH_Products_List_2!$B:$B,0))</f>
        <v>Single cylinder</v>
      </c>
      <c r="M28" s="44" t="str">
        <f>INDEX(CLEANED_MotorPH_Products_List_2!F:F,MATCH(MotorPHSales[[#This Row],[Product]],CLEANED_MotorPH_Products_List_2!$B:$B,0))</f>
        <v>liquid-cooled</v>
      </c>
      <c r="N28" s="44" t="str">
        <f>INDEX(CLEANED_MotorPH_Products_List_2!G:G,MATCH(MotorPHSales[[#This Row],[Product]],CLEANED_MotorPH_Products_List_2!$B:$B,0))</f>
        <v>373cc</v>
      </c>
      <c r="O28" s="44" t="str">
        <f>INDEX(CLEANED_MotorPH_Products_List_2!K:K,MATCH(MotorPHSales[[#This Row],[Product]],CLEANED_MotorPH_Products_List_2!B:B,0))</f>
        <v>Mid-range</v>
      </c>
      <c r="P28" s="45">
        <f>IF(MotorPHSales[[#This Row],[Segment]]="Entry-level",MotorPHSales[[#This Row],[UnitPrice]]/(1+30%),IF(MotorPHSales[[#This Row],[Segment]]="Mid-range",MotorPHSales[[#This Row],[UnitPrice]]/(1+35%),MotorPHSales[[#This Row],[UnitPrice]]/(1+40%)))*MotorPHSales[[#This Row],[Quantity]]</f>
        <v>2221111.111111111</v>
      </c>
      <c r="Q28" s="44" t="str">
        <f>INDEX(CLEANED_MotorPH_Products_List_2!H:H,MATCH(MotorPHSales[[#This Row],[Product]],CLEANED_MotorPH_Products_List_2!$B:$B,0))</f>
        <v>6-speed</v>
      </c>
    </row>
    <row r="29" spans="1:17" ht="15.75" x14ac:dyDescent="0.3">
      <c r="A29" s="43">
        <v>45899</v>
      </c>
      <c r="B29" s="44" t="str">
        <f>TEXT(MotorPHSales[[#This Row],[Date]],"mmmm")</f>
        <v>August</v>
      </c>
      <c r="C29" s="44">
        <f>DAY(MotorPHSales[[#This Row],[Date]])</f>
        <v>30</v>
      </c>
      <c r="D29" s="44">
        <f>YEAR(MotorPHSales[[#This Row],[Date]])</f>
        <v>2025</v>
      </c>
      <c r="E29" s="44" t="s">
        <v>196</v>
      </c>
      <c r="F29" s="44" t="s">
        <v>6</v>
      </c>
      <c r="G29" s="45">
        <v>389000</v>
      </c>
      <c r="H29" s="44">
        <v>2</v>
      </c>
      <c r="I29" s="45">
        <v>778000</v>
      </c>
      <c r="J29" s="44" t="s">
        <v>195</v>
      </c>
      <c r="K29" s="44" t="str">
        <f>INDEX(CLEANED_MotorPH_Products_List_2!C:C,MATCH(MotorPHSales[[#This Row],[Product]],CLEANED_MotorPH_Products_List_2!$B:$B,0))</f>
        <v>Sport</v>
      </c>
      <c r="L29" s="44" t="str">
        <f>INDEX(CLEANED_MotorPH_Products_List_2!E:E,MATCH(MotorPHSales[[#This Row],[Product]],CLEANED_MotorPH_Products_List_2!$B:$B,0))</f>
        <v>Parallel-twin</v>
      </c>
      <c r="M29" s="44" t="str">
        <f>INDEX(CLEANED_MotorPH_Products_List_2!F:F,MATCH(MotorPHSales[[#This Row],[Product]],CLEANED_MotorPH_Products_List_2!$B:$B,0))</f>
        <v>liquid-cooled</v>
      </c>
      <c r="N29" s="44" t="str">
        <f>INDEX(CLEANED_MotorPH_Products_List_2!G:G,MATCH(MotorPHSales[[#This Row],[Product]],CLEANED_MotorPH_Products_List_2!$B:$B,0))</f>
        <v>471cc</v>
      </c>
      <c r="O29" s="44" t="str">
        <f>INDEX(CLEANED_MotorPH_Products_List_2!K:K,MATCH(MotorPHSales[[#This Row],[Product]],CLEANED_MotorPH_Products_List_2!B:B,0))</f>
        <v>Mid-range</v>
      </c>
      <c r="P29" s="45">
        <f>IF(MotorPHSales[[#This Row],[Segment]]="Entry-level",MotorPHSales[[#This Row],[UnitPrice]]/(1+30%),IF(MotorPHSales[[#This Row],[Segment]]="Mid-range",MotorPHSales[[#This Row],[UnitPrice]]/(1+35%),MotorPHSales[[#This Row],[UnitPrice]]/(1+40%)))*MotorPHSales[[#This Row],[Quantity]]</f>
        <v>576296.29629629629</v>
      </c>
      <c r="Q29" s="44" t="str">
        <f>INDEX(CLEANED_MotorPH_Products_List_2!H:H,MATCH(MotorPHSales[[#This Row],[Product]],CLEANED_MotorPH_Products_List_2!$B:$B,0))</f>
        <v>6-speed</v>
      </c>
    </row>
    <row r="30" spans="1:17" ht="15.75" x14ac:dyDescent="0.3">
      <c r="A30" s="43">
        <v>45867</v>
      </c>
      <c r="B30" s="44" t="str">
        <f>TEXT(MotorPHSales[[#This Row],[Date]],"mmmm")</f>
        <v>July</v>
      </c>
      <c r="C30" s="44">
        <f>DAY(MotorPHSales[[#This Row],[Date]])</f>
        <v>29</v>
      </c>
      <c r="D30" s="44">
        <f>YEAR(MotorPHSales[[#This Row],[Date]])</f>
        <v>2025</v>
      </c>
      <c r="E30" s="44" t="s">
        <v>194</v>
      </c>
      <c r="F30" s="44" t="s">
        <v>61</v>
      </c>
      <c r="G30" s="45">
        <v>284900</v>
      </c>
      <c r="H30" s="44">
        <v>42</v>
      </c>
      <c r="I30" s="45">
        <v>11965800</v>
      </c>
      <c r="J30" s="44" t="s">
        <v>197</v>
      </c>
      <c r="K30" s="44" t="str">
        <f>INDEX(CLEANED_MotorPH_Products_List_2!C:C,MATCH(MotorPHSales[[#This Row],[Product]],CLEANED_MotorPH_Products_List_2!$B:$B,0))</f>
        <v>Dual-sport</v>
      </c>
      <c r="L30" s="44" t="str">
        <f>INDEX(CLEANED_MotorPH_Products_List_2!E:E,MATCH(MotorPHSales[[#This Row],[Product]],CLEANED_MotorPH_Products_List_2!$B:$B,0))</f>
        <v>Single cylinder</v>
      </c>
      <c r="M30" s="44" t="str">
        <f>INDEX(CLEANED_MotorPH_Products_List_2!F:F,MATCH(MotorPHSales[[#This Row],[Product]],CLEANED_MotorPH_Products_List_2!$B:$B,0))</f>
        <v>liquid-cooled</v>
      </c>
      <c r="N30" s="44" t="str">
        <f>INDEX(CLEANED_MotorPH_Products_List_2!G:G,MATCH(MotorPHSales[[#This Row],[Product]],CLEANED_MotorPH_Products_List_2!$B:$B,0))</f>
        <v>286cc</v>
      </c>
      <c r="O30" s="44" t="str">
        <f>INDEX(CLEANED_MotorPH_Products_List_2!K:K,MATCH(MotorPHSales[[#This Row],[Product]],CLEANED_MotorPH_Products_List_2!B:B,0))</f>
        <v>Mid-range</v>
      </c>
      <c r="P30" s="45">
        <f>IF(MotorPHSales[[#This Row],[Segment]]="Entry-level",MotorPHSales[[#This Row],[UnitPrice]]/(1+30%),IF(MotorPHSales[[#This Row],[Segment]]="Mid-range",MotorPHSales[[#This Row],[UnitPrice]]/(1+35%),MotorPHSales[[#This Row],[UnitPrice]]/(1+40%)))*MotorPHSales[[#This Row],[Quantity]]</f>
        <v>8863555.5555555541</v>
      </c>
      <c r="Q30" s="44" t="str">
        <f>INDEX(CLEANED_MotorPH_Products_List_2!H:H,MATCH(MotorPHSales[[#This Row],[Product]],CLEANED_MotorPH_Products_List_2!$B:$B,0))</f>
        <v>6-speed</v>
      </c>
    </row>
    <row r="31" spans="1:17" ht="15.75" x14ac:dyDescent="0.3">
      <c r="A31" s="43">
        <v>45850</v>
      </c>
      <c r="B31" s="44" t="str">
        <f>TEXT(MotorPHSales[[#This Row],[Date]],"mmmm")</f>
        <v>July</v>
      </c>
      <c r="C31" s="44">
        <f>DAY(MotorPHSales[[#This Row],[Date]])</f>
        <v>12</v>
      </c>
      <c r="D31" s="44">
        <f>YEAR(MotorPHSales[[#This Row],[Date]])</f>
        <v>2025</v>
      </c>
      <c r="E31" s="44" t="s">
        <v>196</v>
      </c>
      <c r="F31" s="44" t="s">
        <v>42</v>
      </c>
      <c r="G31" s="45">
        <v>125000</v>
      </c>
      <c r="H31" s="44">
        <v>19</v>
      </c>
      <c r="I31" s="45">
        <v>2375000</v>
      </c>
      <c r="J31" s="44" t="s">
        <v>195</v>
      </c>
      <c r="K31" s="44" t="str">
        <f>INDEX(CLEANED_MotorPH_Products_List_2!C:C,MATCH(MotorPHSales[[#This Row],[Product]],CLEANED_MotorPH_Products_List_2!$B:$B,0))</f>
        <v>Naked bike</v>
      </c>
      <c r="L31" s="44" t="str">
        <f>INDEX(CLEANED_MotorPH_Products_List_2!E:E,MATCH(MotorPHSales[[#This Row],[Product]],CLEANED_MotorPH_Products_List_2!$B:$B,0))</f>
        <v>Single cylinder</v>
      </c>
      <c r="M31" s="44" t="str">
        <f>INDEX(CLEANED_MotorPH_Products_List_2!F:F,MATCH(MotorPHSales[[#This Row],[Product]],CLEANED_MotorPH_Products_List_2!$B:$B,0))</f>
        <v>liquid-cooled</v>
      </c>
      <c r="N31" s="44" t="str">
        <f>INDEX(CLEANED_MotorPH_Products_List_2!G:G,MATCH(MotorPHSales[[#This Row],[Product]],CLEANED_MotorPH_Products_List_2!$B:$B,0))</f>
        <v>147cc</v>
      </c>
      <c r="O31" s="44" t="str">
        <f>INDEX(CLEANED_MotorPH_Products_List_2!K:K,MATCH(MotorPHSales[[#This Row],[Product]],CLEANED_MotorPH_Products_List_2!B:B,0))</f>
        <v>Entry-level</v>
      </c>
      <c r="P31" s="45">
        <f>IF(MotorPHSales[[#This Row],[Segment]]="Entry-level",MotorPHSales[[#This Row],[UnitPrice]]/(1+30%),IF(MotorPHSales[[#This Row],[Segment]]="Mid-range",MotorPHSales[[#This Row],[UnitPrice]]/(1+35%),MotorPHSales[[#This Row],[UnitPrice]]/(1+40%)))*MotorPHSales[[#This Row],[Quantity]]</f>
        <v>1826923.076923077</v>
      </c>
      <c r="Q31" s="44" t="str">
        <f>INDEX(CLEANED_MotorPH_Products_List_2!H:H,MATCH(MotorPHSales[[#This Row],[Product]],CLEANED_MotorPH_Products_List_2!$B:$B,0))</f>
        <v>6-speed</v>
      </c>
    </row>
    <row r="32" spans="1:17" ht="15.75" x14ac:dyDescent="0.3">
      <c r="A32" s="43">
        <v>45900</v>
      </c>
      <c r="B32" s="44" t="str">
        <f>TEXT(MotorPHSales[[#This Row],[Date]],"mmmm")</f>
        <v>August</v>
      </c>
      <c r="C32" s="44">
        <f>DAY(MotorPHSales[[#This Row],[Date]])</f>
        <v>31</v>
      </c>
      <c r="D32" s="44">
        <f>YEAR(MotorPHSales[[#This Row],[Date]])</f>
        <v>2025</v>
      </c>
      <c r="E32" s="44" t="s">
        <v>194</v>
      </c>
      <c r="F32" s="44" t="s">
        <v>61</v>
      </c>
      <c r="G32" s="45">
        <v>284900</v>
      </c>
      <c r="H32" s="44">
        <v>3</v>
      </c>
      <c r="I32" s="45">
        <v>854700</v>
      </c>
      <c r="J32" s="44" t="s">
        <v>198</v>
      </c>
      <c r="K32" s="44" t="str">
        <f>INDEX(CLEANED_MotorPH_Products_List_2!C:C,MATCH(MotorPHSales[[#This Row],[Product]],CLEANED_MotorPH_Products_List_2!$B:$B,0))</f>
        <v>Dual-sport</v>
      </c>
      <c r="L32" s="44" t="str">
        <f>INDEX(CLEANED_MotorPH_Products_List_2!E:E,MATCH(MotorPHSales[[#This Row],[Product]],CLEANED_MotorPH_Products_List_2!$B:$B,0))</f>
        <v>Single cylinder</v>
      </c>
      <c r="M32" s="44" t="str">
        <f>INDEX(CLEANED_MotorPH_Products_List_2!F:F,MATCH(MotorPHSales[[#This Row],[Product]],CLEANED_MotorPH_Products_List_2!$B:$B,0))</f>
        <v>liquid-cooled</v>
      </c>
      <c r="N32" s="44" t="str">
        <f>INDEX(CLEANED_MotorPH_Products_List_2!G:G,MATCH(MotorPHSales[[#This Row],[Product]],CLEANED_MotorPH_Products_List_2!$B:$B,0))</f>
        <v>286cc</v>
      </c>
      <c r="O32" s="44" t="str">
        <f>INDEX(CLEANED_MotorPH_Products_List_2!K:K,MATCH(MotorPHSales[[#This Row],[Product]],CLEANED_MotorPH_Products_List_2!B:B,0))</f>
        <v>Mid-range</v>
      </c>
      <c r="P32" s="45">
        <f>IF(MotorPHSales[[#This Row],[Segment]]="Entry-level",MotorPHSales[[#This Row],[UnitPrice]]/(1+30%),IF(MotorPHSales[[#This Row],[Segment]]="Mid-range",MotorPHSales[[#This Row],[UnitPrice]]/(1+35%),MotorPHSales[[#This Row],[UnitPrice]]/(1+40%)))*MotorPHSales[[#This Row],[Quantity]]</f>
        <v>633111.11111111101</v>
      </c>
      <c r="Q32" s="44" t="str">
        <f>INDEX(CLEANED_MotorPH_Products_List_2!H:H,MATCH(MotorPHSales[[#This Row],[Product]],CLEANED_MotorPH_Products_List_2!$B:$B,0))</f>
        <v>6-speed</v>
      </c>
    </row>
    <row r="33" spans="1:17" ht="15.75" x14ac:dyDescent="0.3">
      <c r="A33" s="43">
        <v>45868</v>
      </c>
      <c r="B33" s="44" t="str">
        <f>TEXT(MotorPHSales[[#This Row],[Date]],"mmmm")</f>
        <v>July</v>
      </c>
      <c r="C33" s="44">
        <f>DAY(MotorPHSales[[#This Row],[Date]])</f>
        <v>30</v>
      </c>
      <c r="D33" s="44">
        <f>YEAR(MotorPHSales[[#This Row],[Date]])</f>
        <v>2025</v>
      </c>
      <c r="E33" s="44" t="s">
        <v>194</v>
      </c>
      <c r="F33" s="44" t="s">
        <v>12</v>
      </c>
      <c r="G33" s="45">
        <v>119900</v>
      </c>
      <c r="H33" s="44">
        <v>6</v>
      </c>
      <c r="I33" s="45">
        <v>719400</v>
      </c>
      <c r="J33" s="44" t="s">
        <v>198</v>
      </c>
      <c r="K33" s="44" t="str">
        <f>INDEX(CLEANED_MotorPH_Products_List_2!C:C,MATCH(MotorPHSales[[#This Row],[Product]],CLEANED_MotorPH_Products_List_2!$B:$B,0))</f>
        <v>Underbone</v>
      </c>
      <c r="L33" s="44" t="str">
        <f>INDEX(CLEANED_MotorPH_Products_List_2!E:E,MATCH(MotorPHSales[[#This Row],[Product]],CLEANED_MotorPH_Products_List_2!$B:$B,0))</f>
        <v>Single cylinder</v>
      </c>
      <c r="M33" s="44" t="str">
        <f>INDEX(CLEANED_MotorPH_Products_List_2!F:F,MATCH(MotorPHSales[[#This Row],[Product]],CLEANED_MotorPH_Products_List_2!$B:$B,0))</f>
        <v>liquid-cooled</v>
      </c>
      <c r="N33" s="44" t="str">
        <f>INDEX(CLEANED_MotorPH_Products_List_2!G:G,MATCH(MotorPHSales[[#This Row],[Product]],CLEANED_MotorPH_Products_List_2!$B:$B,0))</f>
        <v>150cc</v>
      </c>
      <c r="O33" s="44" t="str">
        <f>INDEX(CLEANED_MotorPH_Products_List_2!K:K,MATCH(MotorPHSales[[#This Row],[Product]],CLEANED_MotorPH_Products_List_2!B:B,0))</f>
        <v>Entry-level</v>
      </c>
      <c r="P33" s="45">
        <f>IF(MotorPHSales[[#This Row],[Segment]]="Entry-level",MotorPHSales[[#This Row],[UnitPrice]]/(1+30%),IF(MotorPHSales[[#This Row],[Segment]]="Mid-range",MotorPHSales[[#This Row],[UnitPrice]]/(1+35%),MotorPHSales[[#This Row],[UnitPrice]]/(1+40%)))*MotorPHSales[[#This Row],[Quantity]]</f>
        <v>553384.61538461538</v>
      </c>
      <c r="Q33" s="44" t="str">
        <f>INDEX(CLEANED_MotorPH_Products_List_2!H:H,MATCH(MotorPHSales[[#This Row],[Product]],CLEANED_MotorPH_Products_List_2!$B:$B,0))</f>
        <v>6-speed</v>
      </c>
    </row>
    <row r="34" spans="1:17" ht="15.75" x14ac:dyDescent="0.3">
      <c r="A34" s="43">
        <v>45888</v>
      </c>
      <c r="B34" s="44" t="str">
        <f>TEXT(MotorPHSales[[#This Row],[Date]],"mmmm")</f>
        <v>August</v>
      </c>
      <c r="C34" s="44">
        <f>DAY(MotorPHSales[[#This Row],[Date]])</f>
        <v>19</v>
      </c>
      <c r="D34" s="44">
        <f>YEAR(MotorPHSales[[#This Row],[Date]])</f>
        <v>2025</v>
      </c>
      <c r="E34" s="44" t="s">
        <v>196</v>
      </c>
      <c r="F34" s="44" t="s">
        <v>80</v>
      </c>
      <c r="G34" s="45">
        <v>398000</v>
      </c>
      <c r="H34" s="44">
        <v>20</v>
      </c>
      <c r="I34" s="45">
        <v>7960000</v>
      </c>
      <c r="J34" s="44" t="s">
        <v>197</v>
      </c>
      <c r="K34" s="44" t="str">
        <f>INDEX(CLEANED_MotorPH_Products_List_2!C:C,MATCH(MotorPHSales[[#This Row],[Product]],CLEANED_MotorPH_Products_List_2!$B:$B,0))</f>
        <v>Scooter</v>
      </c>
      <c r="L34" s="44" t="str">
        <f>INDEX(CLEANED_MotorPH_Products_List_2!E:E,MATCH(MotorPHSales[[#This Row],[Product]],CLEANED_MotorPH_Products_List_2!$B:$B,0))</f>
        <v>Single cylinder</v>
      </c>
      <c r="M34" s="44" t="str">
        <f>INDEX(CLEANED_MotorPH_Products_List_2!F:F,MATCH(MotorPHSales[[#This Row],[Product]],CLEANED_MotorPH_Products_List_2!$B:$B,0))</f>
        <v>liquid-cooled</v>
      </c>
      <c r="N34" s="44" t="str">
        <f>INDEX(CLEANED_MotorPH_Products_List_2!G:G,MATCH(MotorPHSales[[#This Row],[Product]],CLEANED_MotorPH_Products_List_2!$B:$B,0))</f>
        <v>278cc</v>
      </c>
      <c r="O34" s="44" t="str">
        <f>INDEX(CLEANED_MotorPH_Products_List_2!K:K,MATCH(MotorPHSales[[#This Row],[Product]],CLEANED_MotorPH_Products_List_2!B:B,0))</f>
        <v>Mid-range</v>
      </c>
      <c r="P34" s="45">
        <f>IF(MotorPHSales[[#This Row],[Segment]]="Entry-level",MotorPHSales[[#This Row],[UnitPrice]]/(1+30%),IF(MotorPHSales[[#This Row],[Segment]]="Mid-range",MotorPHSales[[#This Row],[UnitPrice]]/(1+35%),MotorPHSales[[#This Row],[UnitPrice]]/(1+40%)))*MotorPHSales[[#This Row],[Quantity]]</f>
        <v>5896296.2962962957</v>
      </c>
      <c r="Q34" s="44" t="str">
        <f>INDEX(CLEANED_MotorPH_Products_List_2!H:H,MATCH(MotorPHSales[[#This Row],[Product]],CLEANED_MotorPH_Products_List_2!$B:$B,0))</f>
        <v>CVT</v>
      </c>
    </row>
    <row r="35" spans="1:17" ht="15.75" x14ac:dyDescent="0.3">
      <c r="A35" s="43">
        <v>45823</v>
      </c>
      <c r="B35" s="44" t="str">
        <f>TEXT(MotorPHSales[[#This Row],[Date]],"mmmm")</f>
        <v>June</v>
      </c>
      <c r="C35" s="44">
        <f>DAY(MotorPHSales[[#This Row],[Date]])</f>
        <v>15</v>
      </c>
      <c r="D35" s="44">
        <f>YEAR(MotorPHSales[[#This Row],[Date]])</f>
        <v>2025</v>
      </c>
      <c r="E35" s="44" t="s">
        <v>196</v>
      </c>
      <c r="F35" s="44" t="s">
        <v>30</v>
      </c>
      <c r="G35" s="45">
        <v>79900</v>
      </c>
      <c r="H35" s="44">
        <v>7</v>
      </c>
      <c r="I35" s="45">
        <v>559300</v>
      </c>
      <c r="J35" s="44" t="s">
        <v>197</v>
      </c>
      <c r="K35" s="44" t="str">
        <f>INDEX(CLEANED_MotorPH_Products_List_2!C:C,MATCH(MotorPHSales[[#This Row],[Product]],CLEANED_MotorPH_Products_List_2!$B:$B,0))</f>
        <v>Scooter</v>
      </c>
      <c r="L35" s="44" t="str">
        <f>INDEX(CLEANED_MotorPH_Products_List_2!E:E,MATCH(MotorPHSales[[#This Row],[Product]],CLEANED_MotorPH_Products_List_2!$B:$B,0))</f>
        <v>Single cylinder</v>
      </c>
      <c r="M35" s="44" t="str">
        <f>INDEX(CLEANED_MotorPH_Products_List_2!F:F,MATCH(MotorPHSales[[#This Row],[Product]],CLEANED_MotorPH_Products_List_2!$B:$B,0))</f>
        <v>air-cooled</v>
      </c>
      <c r="N35" s="44" t="str">
        <f>INDEX(CLEANED_MotorPH_Products_List_2!G:G,MATCH(MotorPHSales[[#This Row],[Product]],CLEANED_MotorPH_Products_List_2!$B:$B,0))</f>
        <v>124cc</v>
      </c>
      <c r="O35" s="44" t="str">
        <f>INDEX(CLEANED_MotorPH_Products_List_2!K:K,MATCH(MotorPHSales[[#This Row],[Product]],CLEANED_MotorPH_Products_List_2!B:B,0))</f>
        <v>Entry-level</v>
      </c>
      <c r="P35" s="45">
        <f>IF(MotorPHSales[[#This Row],[Segment]]="Entry-level",MotorPHSales[[#This Row],[UnitPrice]]/(1+30%),IF(MotorPHSales[[#This Row],[Segment]]="Mid-range",MotorPHSales[[#This Row],[UnitPrice]]/(1+35%),MotorPHSales[[#This Row],[UnitPrice]]/(1+40%)))*MotorPHSales[[#This Row],[Quantity]]</f>
        <v>430230.76923076925</v>
      </c>
      <c r="Q35" s="44" t="str">
        <f>INDEX(CLEANED_MotorPH_Products_List_2!H:H,MATCH(MotorPHSales[[#This Row],[Product]],CLEANED_MotorPH_Products_List_2!$B:$B,0))</f>
        <v>CVT</v>
      </c>
    </row>
    <row r="36" spans="1:17" ht="15.75" x14ac:dyDescent="0.3">
      <c r="A36" s="43">
        <v>45870</v>
      </c>
      <c r="B36" s="44" t="str">
        <f>TEXT(MotorPHSales[[#This Row],[Date]],"mmmm")</f>
        <v>August</v>
      </c>
      <c r="C36" s="44">
        <f>DAY(MotorPHSales[[#This Row],[Date]])</f>
        <v>1</v>
      </c>
      <c r="D36" s="44">
        <f>YEAR(MotorPHSales[[#This Row],[Date]])</f>
        <v>2025</v>
      </c>
      <c r="E36" s="44" t="s">
        <v>196</v>
      </c>
      <c r="F36" s="44" t="s">
        <v>34</v>
      </c>
      <c r="G36" s="45">
        <v>320000</v>
      </c>
      <c r="H36" s="44">
        <v>5</v>
      </c>
      <c r="I36" s="45">
        <v>1600000</v>
      </c>
      <c r="J36" s="44" t="s">
        <v>197</v>
      </c>
      <c r="K36" s="44" t="str">
        <f>INDEX(CLEANED_MotorPH_Products_List_2!C:C,MATCH(MotorPHSales[[#This Row],[Product]],CLEANED_MotorPH_Products_List_2!$B:$B,0))</f>
        <v>Adventure</v>
      </c>
      <c r="L36" s="44" t="str">
        <f>INDEX(CLEANED_MotorPH_Products_List_2!E:E,MATCH(MotorPHSales[[#This Row],[Product]],CLEANED_MotorPH_Products_List_2!$B:$B,0))</f>
        <v>Single cylinder</v>
      </c>
      <c r="M36" s="44" t="str">
        <f>INDEX(CLEANED_MotorPH_Products_List_2!F:F,MATCH(MotorPHSales[[#This Row],[Product]],CLEANED_MotorPH_Products_List_2!$B:$B,0))</f>
        <v>liquid-cooled</v>
      </c>
      <c r="N36" s="44" t="str">
        <f>INDEX(CLEANED_MotorPH_Products_List_2!G:G,MATCH(MotorPHSales[[#This Row],[Product]],CLEANED_MotorPH_Products_List_2!$B:$B,0))</f>
        <v>313cc</v>
      </c>
      <c r="O36" s="44" t="str">
        <f>INDEX(CLEANED_MotorPH_Products_List_2!K:K,MATCH(MotorPHSales[[#This Row],[Product]],CLEANED_MotorPH_Products_List_2!B:B,0))</f>
        <v>Mid-range</v>
      </c>
      <c r="P36" s="45">
        <f>IF(MotorPHSales[[#This Row],[Segment]]="Entry-level",MotorPHSales[[#This Row],[UnitPrice]]/(1+30%),IF(MotorPHSales[[#This Row],[Segment]]="Mid-range",MotorPHSales[[#This Row],[UnitPrice]]/(1+35%),MotorPHSales[[#This Row],[UnitPrice]]/(1+40%)))*MotorPHSales[[#This Row],[Quantity]]</f>
        <v>1185185.1851851852</v>
      </c>
      <c r="Q36" s="44" t="str">
        <f>INDEX(CLEANED_MotorPH_Products_List_2!H:H,MATCH(MotorPHSales[[#This Row],[Product]],CLEANED_MotorPH_Products_List_2!$B:$B,0))</f>
        <v>6-speed</v>
      </c>
    </row>
    <row r="37" spans="1:17" ht="15.75" x14ac:dyDescent="0.3">
      <c r="A37" s="43">
        <v>45870</v>
      </c>
      <c r="B37" s="44" t="str">
        <f>TEXT(MotorPHSales[[#This Row],[Date]],"mmmm")</f>
        <v>August</v>
      </c>
      <c r="C37" s="44">
        <f>DAY(MotorPHSales[[#This Row],[Date]])</f>
        <v>1</v>
      </c>
      <c r="D37" s="44">
        <f>YEAR(MotorPHSales[[#This Row],[Date]])</f>
        <v>2025</v>
      </c>
      <c r="E37" s="44" t="s">
        <v>194</v>
      </c>
      <c r="F37" s="44" t="s">
        <v>34</v>
      </c>
      <c r="G37" s="45">
        <v>320000</v>
      </c>
      <c r="H37" s="44">
        <v>18</v>
      </c>
      <c r="I37" s="45">
        <v>5760000</v>
      </c>
      <c r="J37" s="44" t="s">
        <v>198</v>
      </c>
      <c r="K37" s="44" t="str">
        <f>INDEX(CLEANED_MotorPH_Products_List_2!C:C,MATCH(MotorPHSales[[#This Row],[Product]],CLEANED_MotorPH_Products_List_2!$B:$B,0))</f>
        <v>Adventure</v>
      </c>
      <c r="L37" s="44" t="str">
        <f>INDEX(CLEANED_MotorPH_Products_List_2!E:E,MATCH(MotorPHSales[[#This Row],[Product]],CLEANED_MotorPH_Products_List_2!$B:$B,0))</f>
        <v>Single cylinder</v>
      </c>
      <c r="M37" s="44" t="str">
        <f>INDEX(CLEANED_MotorPH_Products_List_2!F:F,MATCH(MotorPHSales[[#This Row],[Product]],CLEANED_MotorPH_Products_List_2!$B:$B,0))</f>
        <v>liquid-cooled</v>
      </c>
      <c r="N37" s="44" t="str">
        <f>INDEX(CLEANED_MotorPH_Products_List_2!G:G,MATCH(MotorPHSales[[#This Row],[Product]],CLEANED_MotorPH_Products_List_2!$B:$B,0))</f>
        <v>313cc</v>
      </c>
      <c r="O37" s="44" t="str">
        <f>INDEX(CLEANED_MotorPH_Products_List_2!K:K,MATCH(MotorPHSales[[#This Row],[Product]],CLEANED_MotorPH_Products_List_2!B:B,0))</f>
        <v>Mid-range</v>
      </c>
      <c r="P37" s="45">
        <f>IF(MotorPHSales[[#This Row],[Segment]]="Entry-level",MotorPHSales[[#This Row],[UnitPrice]]/(1+30%),IF(MotorPHSales[[#This Row],[Segment]]="Mid-range",MotorPHSales[[#This Row],[UnitPrice]]/(1+35%),MotorPHSales[[#This Row],[UnitPrice]]/(1+40%)))*MotorPHSales[[#This Row],[Quantity]]</f>
        <v>4266666.666666666</v>
      </c>
      <c r="Q37" s="44" t="str">
        <f>INDEX(CLEANED_MotorPH_Products_List_2!H:H,MATCH(MotorPHSales[[#This Row],[Product]],CLEANED_MotorPH_Products_List_2!$B:$B,0))</f>
        <v>6-speed</v>
      </c>
    </row>
    <row r="38" spans="1:17" ht="15.75" x14ac:dyDescent="0.3">
      <c r="A38" s="43">
        <v>45855</v>
      </c>
      <c r="B38" s="44" t="str">
        <f>TEXT(MotorPHSales[[#This Row],[Date]],"mmmm")</f>
        <v>July</v>
      </c>
      <c r="C38" s="44">
        <f>DAY(MotorPHSales[[#This Row],[Date]])</f>
        <v>17</v>
      </c>
      <c r="D38" s="44">
        <f>YEAR(MotorPHSales[[#This Row],[Date]])</f>
        <v>2025</v>
      </c>
      <c r="E38" s="44" t="s">
        <v>196</v>
      </c>
      <c r="F38" s="44" t="s">
        <v>63</v>
      </c>
      <c r="G38" s="45">
        <v>48000</v>
      </c>
      <c r="H38" s="44">
        <v>50</v>
      </c>
      <c r="I38" s="45">
        <v>2400000</v>
      </c>
      <c r="J38" s="44" t="s">
        <v>198</v>
      </c>
      <c r="K38" s="44" t="str">
        <f>INDEX(CLEANED_MotorPH_Products_List_2!C:C,MATCH(MotorPHSales[[#This Row],[Product]],CLEANED_MotorPH_Products_List_2!$B:$B,0))</f>
        <v>Commuter</v>
      </c>
      <c r="L38" s="44" t="str">
        <f>INDEX(CLEANED_MotorPH_Products_List_2!E:E,MATCH(MotorPHSales[[#This Row],[Product]],CLEANED_MotorPH_Products_List_2!$B:$B,0))</f>
        <v>Single cylinder</v>
      </c>
      <c r="M38" s="44" t="str">
        <f>INDEX(CLEANED_MotorPH_Products_List_2!F:F,MATCH(MotorPHSales[[#This Row],[Product]],CLEANED_MotorPH_Products_List_2!$B:$B,0))</f>
        <v>air-cooled</v>
      </c>
      <c r="N38" s="44" t="str">
        <f>INDEX(CLEANED_MotorPH_Products_List_2!G:G,MATCH(MotorPHSales[[#This Row],[Product]],CLEANED_MotorPH_Products_List_2!$B:$B,0))</f>
        <v>125cc</v>
      </c>
      <c r="O38" s="44" t="str">
        <f>INDEX(CLEANED_MotorPH_Products_List_2!K:K,MATCH(MotorPHSales[[#This Row],[Product]],CLEANED_MotorPH_Products_List_2!B:B,0))</f>
        <v>Entry-level</v>
      </c>
      <c r="P38" s="45">
        <f>IF(MotorPHSales[[#This Row],[Segment]]="Entry-level",MotorPHSales[[#This Row],[UnitPrice]]/(1+30%),IF(MotorPHSales[[#This Row],[Segment]]="Mid-range",MotorPHSales[[#This Row],[UnitPrice]]/(1+35%),MotorPHSales[[#This Row],[UnitPrice]]/(1+40%)))*MotorPHSales[[#This Row],[Quantity]]</f>
        <v>1846153.846153846</v>
      </c>
      <c r="Q38" s="44" t="str">
        <f>INDEX(CLEANED_MotorPH_Products_List_2!H:H,MATCH(MotorPHSales[[#This Row],[Product]],CLEANED_MotorPH_Products_List_2!$B:$B,0))</f>
        <v>4-speed</v>
      </c>
    </row>
    <row r="39" spans="1:17" ht="15.75" x14ac:dyDescent="0.3">
      <c r="A39" s="43">
        <v>45870</v>
      </c>
      <c r="B39" s="44" t="str">
        <f>TEXT(MotorPHSales[[#This Row],[Date]],"mmmm")</f>
        <v>August</v>
      </c>
      <c r="C39" s="44">
        <f>DAY(MotorPHSales[[#This Row],[Date]])</f>
        <v>1</v>
      </c>
      <c r="D39" s="44">
        <f>YEAR(MotorPHSales[[#This Row],[Date]])</f>
        <v>2025</v>
      </c>
      <c r="E39" s="44" t="s">
        <v>196</v>
      </c>
      <c r="F39" s="44" t="s">
        <v>12</v>
      </c>
      <c r="G39" s="45">
        <v>359700</v>
      </c>
      <c r="H39" s="44">
        <v>9</v>
      </c>
      <c r="I39" s="45">
        <v>1079100</v>
      </c>
      <c r="J39" s="44" t="s">
        <v>197</v>
      </c>
      <c r="K39" s="44" t="str">
        <f>INDEX(CLEANED_MotorPH_Products_List_2!C:C,MATCH(MotorPHSales[[#This Row],[Product]],CLEANED_MotorPH_Products_List_2!$B:$B,0))</f>
        <v>Underbone</v>
      </c>
      <c r="L39" s="44" t="str">
        <f>INDEX(CLEANED_MotorPH_Products_List_2!E:E,MATCH(MotorPHSales[[#This Row],[Product]],CLEANED_MotorPH_Products_List_2!$B:$B,0))</f>
        <v>Single cylinder</v>
      </c>
      <c r="M39" s="44" t="str">
        <f>INDEX(CLEANED_MotorPH_Products_List_2!F:F,MATCH(MotorPHSales[[#This Row],[Product]],CLEANED_MotorPH_Products_List_2!$B:$B,0))</f>
        <v>liquid-cooled</v>
      </c>
      <c r="N39" s="44" t="str">
        <f>INDEX(CLEANED_MotorPH_Products_List_2!G:G,MATCH(MotorPHSales[[#This Row],[Product]],CLEANED_MotorPH_Products_List_2!$B:$B,0))</f>
        <v>150cc</v>
      </c>
      <c r="O39" s="44" t="str">
        <f>INDEX(CLEANED_MotorPH_Products_List_2!K:K,MATCH(MotorPHSales[[#This Row],[Product]],CLEANED_MotorPH_Products_List_2!B:B,0))</f>
        <v>Entry-level</v>
      </c>
      <c r="P39" s="45">
        <f>IF(MotorPHSales[[#This Row],[Segment]]="Entry-level",MotorPHSales[[#This Row],[UnitPrice]]/(1+30%),IF(MotorPHSales[[#This Row],[Segment]]="Mid-range",MotorPHSales[[#This Row],[UnitPrice]]/(1+35%),MotorPHSales[[#This Row],[UnitPrice]]/(1+40%)))*MotorPHSales[[#This Row],[Quantity]]</f>
        <v>2490230.769230769</v>
      </c>
      <c r="Q39" s="44" t="str">
        <f>INDEX(CLEANED_MotorPH_Products_List_2!H:H,MATCH(MotorPHSales[[#This Row],[Product]],CLEANED_MotorPH_Products_List_2!$B:$B,0))</f>
        <v>6-speed</v>
      </c>
    </row>
    <row r="40" spans="1:17" ht="15.75" x14ac:dyDescent="0.3">
      <c r="A40" s="43">
        <v>45859</v>
      </c>
      <c r="B40" s="44" t="str">
        <f>TEXT(MotorPHSales[[#This Row],[Date]],"mmmm")</f>
        <v>July</v>
      </c>
      <c r="C40" s="44">
        <f>DAY(MotorPHSales[[#This Row],[Date]])</f>
        <v>21</v>
      </c>
      <c r="D40" s="44">
        <f>YEAR(MotorPHSales[[#This Row],[Date]])</f>
        <v>2025</v>
      </c>
      <c r="E40" s="44" t="s">
        <v>194</v>
      </c>
      <c r="F40" s="44" t="s">
        <v>42</v>
      </c>
      <c r="G40" s="45">
        <v>125000</v>
      </c>
      <c r="H40" s="44">
        <v>11</v>
      </c>
      <c r="I40" s="45">
        <v>1375000</v>
      </c>
      <c r="J40" s="44" t="s">
        <v>195</v>
      </c>
      <c r="K40" s="44" t="str">
        <f>INDEX(CLEANED_MotorPH_Products_List_2!C:C,MATCH(MotorPHSales[[#This Row],[Product]],CLEANED_MotorPH_Products_List_2!$B:$B,0))</f>
        <v>Naked bike</v>
      </c>
      <c r="L40" s="44" t="str">
        <f>INDEX(CLEANED_MotorPH_Products_List_2!E:E,MATCH(MotorPHSales[[#This Row],[Product]],CLEANED_MotorPH_Products_List_2!$B:$B,0))</f>
        <v>Single cylinder</v>
      </c>
      <c r="M40" s="44" t="str">
        <f>INDEX(CLEANED_MotorPH_Products_List_2!F:F,MATCH(MotorPHSales[[#This Row],[Product]],CLEANED_MotorPH_Products_List_2!$B:$B,0))</f>
        <v>liquid-cooled</v>
      </c>
      <c r="N40" s="44" t="str">
        <f>INDEX(CLEANED_MotorPH_Products_List_2!G:G,MATCH(MotorPHSales[[#This Row],[Product]],CLEANED_MotorPH_Products_List_2!$B:$B,0))</f>
        <v>147cc</v>
      </c>
      <c r="O40" s="44" t="str">
        <f>INDEX(CLEANED_MotorPH_Products_List_2!K:K,MATCH(MotorPHSales[[#This Row],[Product]],CLEANED_MotorPH_Products_List_2!B:B,0))</f>
        <v>Entry-level</v>
      </c>
      <c r="P40" s="45">
        <f>IF(MotorPHSales[[#This Row],[Segment]]="Entry-level",MotorPHSales[[#This Row],[UnitPrice]]/(1+30%),IF(MotorPHSales[[#This Row],[Segment]]="Mid-range",MotorPHSales[[#This Row],[UnitPrice]]/(1+35%),MotorPHSales[[#This Row],[UnitPrice]]/(1+40%)))*MotorPHSales[[#This Row],[Quantity]]</f>
        <v>1057692.3076923077</v>
      </c>
      <c r="Q40" s="44" t="str">
        <f>INDEX(CLEANED_MotorPH_Products_List_2!H:H,MATCH(MotorPHSales[[#This Row],[Product]],CLEANED_MotorPH_Products_List_2!$B:$B,0))</f>
        <v>6-speed</v>
      </c>
    </row>
    <row r="41" spans="1:17" ht="15.75" x14ac:dyDescent="0.3">
      <c r="A41" s="43">
        <v>45863</v>
      </c>
      <c r="B41" s="44" t="str">
        <f>TEXT(MotorPHSales[[#This Row],[Date]],"mmmm")</f>
        <v>July</v>
      </c>
      <c r="C41" s="44">
        <f>DAY(MotorPHSales[[#This Row],[Date]])</f>
        <v>25</v>
      </c>
      <c r="D41" s="44">
        <f>YEAR(MotorPHSales[[#This Row],[Date]])</f>
        <v>2025</v>
      </c>
      <c r="E41" s="44" t="s">
        <v>194</v>
      </c>
      <c r="F41" s="44" t="s">
        <v>64</v>
      </c>
      <c r="G41" s="45">
        <v>128000</v>
      </c>
      <c r="H41" s="44">
        <v>18</v>
      </c>
      <c r="I41" s="45">
        <v>2304000</v>
      </c>
      <c r="J41" s="44" t="s">
        <v>198</v>
      </c>
      <c r="K41" s="44" t="str">
        <f>INDEX(CLEANED_MotorPH_Products_List_2!C:C,MATCH(MotorPHSales[[#This Row],[Product]],CLEANED_MotorPH_Products_List_2!$B:$B,0))</f>
        <v>Scooter</v>
      </c>
      <c r="L41" s="44" t="str">
        <f>INDEX(CLEANED_MotorPH_Products_List_2!E:E,MATCH(MotorPHSales[[#This Row],[Product]],CLEANED_MotorPH_Products_List_2!$B:$B,0))</f>
        <v>Single cylinder</v>
      </c>
      <c r="M41" s="44" t="str">
        <f>INDEX(CLEANED_MotorPH_Products_List_2!F:F,MATCH(MotorPHSales[[#This Row],[Product]],CLEANED_MotorPH_Products_List_2!$B:$B,0))</f>
        <v>liquid-cooled</v>
      </c>
      <c r="N41" s="44" t="str">
        <f>INDEX(CLEANED_MotorPH_Products_List_2!G:G,MATCH(MotorPHSales[[#This Row],[Product]],CLEANED_MotorPH_Products_List_2!$B:$B,0))</f>
        <v>149cc</v>
      </c>
      <c r="O41" s="44" t="str">
        <f>INDEX(CLEANED_MotorPH_Products_List_2!K:K,MATCH(MotorPHSales[[#This Row],[Product]],CLEANED_MotorPH_Products_List_2!B:B,0))</f>
        <v>Entry-level</v>
      </c>
      <c r="P41" s="45">
        <f>IF(MotorPHSales[[#This Row],[Segment]]="Entry-level",MotorPHSales[[#This Row],[UnitPrice]]/(1+30%),IF(MotorPHSales[[#This Row],[Segment]]="Mid-range",MotorPHSales[[#This Row],[UnitPrice]]/(1+35%),MotorPHSales[[#This Row],[UnitPrice]]/(1+40%)))*MotorPHSales[[#This Row],[Quantity]]</f>
        <v>1772307.6923076923</v>
      </c>
      <c r="Q41" s="44" t="str">
        <f>INDEX(CLEANED_MotorPH_Products_List_2!H:H,MATCH(MotorPHSales[[#This Row],[Product]],CLEANED_MotorPH_Products_List_2!$B:$B,0))</f>
        <v>CVT</v>
      </c>
    </row>
    <row r="42" spans="1:17" ht="15.75" x14ac:dyDescent="0.3">
      <c r="A42" s="43">
        <v>45872</v>
      </c>
      <c r="B42" s="44" t="str">
        <f>TEXT(MotorPHSales[[#This Row],[Date]],"mmmm")</f>
        <v>August</v>
      </c>
      <c r="C42" s="44">
        <f>DAY(MotorPHSales[[#This Row],[Date]])</f>
        <v>3</v>
      </c>
      <c r="D42" s="44">
        <f>YEAR(MotorPHSales[[#This Row],[Date]])</f>
        <v>2025</v>
      </c>
      <c r="E42" s="44" t="s">
        <v>196</v>
      </c>
      <c r="F42" s="44" t="s">
        <v>46</v>
      </c>
      <c r="G42" s="45">
        <v>124000</v>
      </c>
      <c r="H42" s="44">
        <v>12</v>
      </c>
      <c r="I42" s="45">
        <v>1488000</v>
      </c>
      <c r="J42" s="44" t="s">
        <v>197</v>
      </c>
      <c r="K42" s="44" t="str">
        <f>INDEX(CLEANED_MotorPH_Products_List_2!C:C,MATCH(MotorPHSales[[#This Row],[Product]],CLEANED_MotorPH_Products_List_2!$B:$B,0))</f>
        <v>Scooter</v>
      </c>
      <c r="L42" s="44" t="str">
        <f>INDEX(CLEANED_MotorPH_Products_List_2!E:E,MATCH(MotorPHSales[[#This Row],[Product]],CLEANED_MotorPH_Products_List_2!$B:$B,0))</f>
        <v>Single cylinder</v>
      </c>
      <c r="M42" s="44" t="str">
        <f>INDEX(CLEANED_MotorPH_Products_List_2!F:F,MATCH(MotorPHSales[[#This Row],[Product]],CLEANED_MotorPH_Products_List_2!$B:$B,0))</f>
        <v>liquid-cooled</v>
      </c>
      <c r="N42" s="44" t="str">
        <f>INDEX(CLEANED_MotorPH_Products_List_2!G:G,MATCH(MotorPHSales[[#This Row],[Product]],CLEANED_MotorPH_Products_List_2!$B:$B,0))</f>
        <v>155cc</v>
      </c>
      <c r="O42" s="44" t="str">
        <f>INDEX(CLEANED_MotorPH_Products_List_2!K:K,MATCH(MotorPHSales[[#This Row],[Product]],CLEANED_MotorPH_Products_List_2!B:B,0))</f>
        <v>Entry-level</v>
      </c>
      <c r="P42" s="45">
        <f>IF(MotorPHSales[[#This Row],[Segment]]="Entry-level",MotorPHSales[[#This Row],[UnitPrice]]/(1+30%),IF(MotorPHSales[[#This Row],[Segment]]="Mid-range",MotorPHSales[[#This Row],[UnitPrice]]/(1+35%),MotorPHSales[[#This Row],[UnitPrice]]/(1+40%)))*MotorPHSales[[#This Row],[Quantity]]</f>
        <v>1144615.3846153845</v>
      </c>
      <c r="Q42" s="44" t="str">
        <f>INDEX(CLEANED_MotorPH_Products_List_2!H:H,MATCH(MotorPHSales[[#This Row],[Product]],CLEANED_MotorPH_Products_List_2!$B:$B,0))</f>
        <v>CVT</v>
      </c>
    </row>
    <row r="43" spans="1:17" ht="15.75" x14ac:dyDescent="0.3">
      <c r="A43" s="43">
        <v>45811</v>
      </c>
      <c r="B43" s="44" t="str">
        <f>TEXT(MotorPHSales[[#This Row],[Date]],"mmmm")</f>
        <v>June</v>
      </c>
      <c r="C43" s="44">
        <f>DAY(MotorPHSales[[#This Row],[Date]])</f>
        <v>3</v>
      </c>
      <c r="D43" s="44">
        <f>YEAR(MotorPHSales[[#This Row],[Date]])</f>
        <v>2025</v>
      </c>
      <c r="E43" s="44" t="s">
        <v>194</v>
      </c>
      <c r="F43" s="44" t="s">
        <v>49</v>
      </c>
      <c r="G43" s="45">
        <v>68900</v>
      </c>
      <c r="H43" s="44">
        <v>35</v>
      </c>
      <c r="I43" s="45">
        <v>2411500</v>
      </c>
      <c r="J43" s="44" t="s">
        <v>197</v>
      </c>
      <c r="K43" s="44" t="str">
        <f>INDEX(CLEANED_MotorPH_Products_List_2!C:C,MATCH(MotorPHSales[[#This Row],[Product]],CLEANED_MotorPH_Products_List_2!$B:$B,0))</f>
        <v>Standard</v>
      </c>
      <c r="L43" s="44" t="str">
        <f>INDEX(CLEANED_MotorPH_Products_List_2!E:E,MATCH(MotorPHSales[[#This Row],[Product]],CLEANED_MotorPH_Products_List_2!$B:$B,0))</f>
        <v>Single cylinder</v>
      </c>
      <c r="M43" s="44" t="str">
        <f>INDEX(CLEANED_MotorPH_Products_List_2!F:F,MATCH(MotorPHSales[[#This Row],[Product]],CLEANED_MotorPH_Products_List_2!$B:$B,0))</f>
        <v>air-cooled</v>
      </c>
      <c r="N43" s="44" t="str">
        <f>INDEX(CLEANED_MotorPH_Products_List_2!G:G,MATCH(MotorPHSales[[#This Row],[Product]],CLEANED_MotorPH_Products_List_2!$B:$B,0))</f>
        <v>149cc</v>
      </c>
      <c r="O43" s="44" t="str">
        <f>INDEX(CLEANED_MotorPH_Products_List_2!K:K,MATCH(MotorPHSales[[#This Row],[Product]],CLEANED_MotorPH_Products_List_2!B:B,0))</f>
        <v>Entry-level</v>
      </c>
      <c r="P43" s="45">
        <f>IF(MotorPHSales[[#This Row],[Segment]]="Entry-level",MotorPHSales[[#This Row],[UnitPrice]]/(1+30%),IF(MotorPHSales[[#This Row],[Segment]]="Mid-range",MotorPHSales[[#This Row],[UnitPrice]]/(1+35%),MotorPHSales[[#This Row],[UnitPrice]]/(1+40%)))*MotorPHSales[[#This Row],[Quantity]]</f>
        <v>1855000</v>
      </c>
      <c r="Q43" s="44" t="str">
        <f>INDEX(CLEANED_MotorPH_Products_List_2!H:H,MATCH(MotorPHSales[[#This Row],[Product]],CLEANED_MotorPH_Products_List_2!$B:$B,0))</f>
        <v>5-speed</v>
      </c>
    </row>
    <row r="44" spans="1:17" ht="15.75" x14ac:dyDescent="0.3">
      <c r="A44" s="43">
        <v>45859</v>
      </c>
      <c r="B44" s="44" t="str">
        <f>TEXT(MotorPHSales[[#This Row],[Date]],"mmmm")</f>
        <v>July</v>
      </c>
      <c r="C44" s="44">
        <f>DAY(MotorPHSales[[#This Row],[Date]])</f>
        <v>21</v>
      </c>
      <c r="D44" s="44">
        <f>YEAR(MotorPHSales[[#This Row],[Date]])</f>
        <v>2025</v>
      </c>
      <c r="E44" s="44" t="s">
        <v>196</v>
      </c>
      <c r="F44" s="44" t="s">
        <v>40</v>
      </c>
      <c r="G44" s="45">
        <v>210000</v>
      </c>
      <c r="H44" s="44">
        <v>13</v>
      </c>
      <c r="I44" s="45">
        <v>2730000</v>
      </c>
      <c r="J44" s="44" t="s">
        <v>198</v>
      </c>
      <c r="K44" s="44" t="str">
        <f>INDEX(CLEANED_MotorPH_Products_List_2!C:C,MATCH(MotorPHSales[[#This Row],[Product]],CLEANED_MotorPH_Products_List_2!$B:$B,0))</f>
        <v>Scooter</v>
      </c>
      <c r="L44" s="44" t="str">
        <f>INDEX(CLEANED_MotorPH_Products_List_2!E:E,MATCH(MotorPHSales[[#This Row],[Product]],CLEANED_MotorPH_Products_List_2!$B:$B,0))</f>
        <v>Single cylinder</v>
      </c>
      <c r="M44" s="44" t="str">
        <f>INDEX(CLEANED_MotorPH_Products_List_2!F:F,MATCH(MotorPHSales[[#This Row],[Product]],CLEANED_MotorPH_Products_List_2!$B:$B,0))</f>
        <v>air-cooled</v>
      </c>
      <c r="N44" s="44" t="str">
        <f>INDEX(CLEANED_MotorPH_Products_List_2!G:G,MATCH(MotorPHSales[[#This Row],[Product]],CLEANED_MotorPH_Products_List_2!$B:$B,0))</f>
        <v>150cc</v>
      </c>
      <c r="O44" s="44" t="str">
        <f>INDEX(CLEANED_MotorPH_Products_List_2!K:K,MATCH(MotorPHSales[[#This Row],[Product]],CLEANED_MotorPH_Products_List_2!B:B,0))</f>
        <v>Entry-level</v>
      </c>
      <c r="P44" s="45">
        <f>IF(MotorPHSales[[#This Row],[Segment]]="Entry-level",MotorPHSales[[#This Row],[UnitPrice]]/(1+30%),IF(MotorPHSales[[#This Row],[Segment]]="Mid-range",MotorPHSales[[#This Row],[UnitPrice]]/(1+35%),MotorPHSales[[#This Row],[UnitPrice]]/(1+40%)))*MotorPHSales[[#This Row],[Quantity]]</f>
        <v>2100000</v>
      </c>
      <c r="Q44" s="44" t="str">
        <f>INDEX(CLEANED_MotorPH_Products_List_2!H:H,MATCH(MotorPHSales[[#This Row],[Product]],CLEANED_MotorPH_Products_List_2!$B:$B,0))</f>
        <v>CVT</v>
      </c>
    </row>
    <row r="45" spans="1:17" ht="15.75" x14ac:dyDescent="0.3">
      <c r="A45" s="43">
        <v>45815</v>
      </c>
      <c r="B45" s="44" t="str">
        <f>TEXT(MotorPHSales[[#This Row],[Date]],"mmmm")</f>
        <v>June</v>
      </c>
      <c r="C45" s="44">
        <f>DAY(MotorPHSales[[#This Row],[Date]])</f>
        <v>7</v>
      </c>
      <c r="D45" s="44">
        <f>YEAR(MotorPHSales[[#This Row],[Date]])</f>
        <v>2025</v>
      </c>
      <c r="E45" s="44" t="s">
        <v>194</v>
      </c>
      <c r="F45" s="44" t="s">
        <v>64</v>
      </c>
      <c r="G45" s="45">
        <v>128000</v>
      </c>
      <c r="H45" s="44">
        <v>43</v>
      </c>
      <c r="I45" s="45">
        <v>5504000</v>
      </c>
      <c r="J45" s="44" t="s">
        <v>198</v>
      </c>
      <c r="K45" s="44" t="str">
        <f>INDEX(CLEANED_MotorPH_Products_List_2!C:C,MATCH(MotorPHSales[[#This Row],[Product]],CLEANED_MotorPH_Products_List_2!$B:$B,0))</f>
        <v>Scooter</v>
      </c>
      <c r="L45" s="44" t="str">
        <f>INDEX(CLEANED_MotorPH_Products_List_2!E:E,MATCH(MotorPHSales[[#This Row],[Product]],CLEANED_MotorPH_Products_List_2!$B:$B,0))</f>
        <v>Single cylinder</v>
      </c>
      <c r="M45" s="44" t="str">
        <f>INDEX(CLEANED_MotorPH_Products_List_2!F:F,MATCH(MotorPHSales[[#This Row],[Product]],CLEANED_MotorPH_Products_List_2!$B:$B,0))</f>
        <v>liquid-cooled</v>
      </c>
      <c r="N45" s="44" t="str">
        <f>INDEX(CLEANED_MotorPH_Products_List_2!G:G,MATCH(MotorPHSales[[#This Row],[Product]],CLEANED_MotorPH_Products_List_2!$B:$B,0))</f>
        <v>149cc</v>
      </c>
      <c r="O45" s="44" t="str">
        <f>INDEX(CLEANED_MotorPH_Products_List_2!K:K,MATCH(MotorPHSales[[#This Row],[Product]],CLEANED_MotorPH_Products_List_2!B:B,0))</f>
        <v>Entry-level</v>
      </c>
      <c r="P45" s="45">
        <f>IF(MotorPHSales[[#This Row],[Segment]]="Entry-level",MotorPHSales[[#This Row],[UnitPrice]]/(1+30%),IF(MotorPHSales[[#This Row],[Segment]]="Mid-range",MotorPHSales[[#This Row],[UnitPrice]]/(1+35%),MotorPHSales[[#This Row],[UnitPrice]]/(1+40%)))*MotorPHSales[[#This Row],[Quantity]]</f>
        <v>4233846.1538461531</v>
      </c>
      <c r="Q45" s="44" t="str">
        <f>INDEX(CLEANED_MotorPH_Products_List_2!H:H,MATCH(MotorPHSales[[#This Row],[Product]],CLEANED_MotorPH_Products_List_2!$B:$B,0))</f>
        <v>CVT</v>
      </c>
    </row>
    <row r="46" spans="1:17" ht="15.75" x14ac:dyDescent="0.3">
      <c r="A46" s="43">
        <v>45829</v>
      </c>
      <c r="B46" s="44" t="str">
        <f>TEXT(MotorPHSales[[#This Row],[Date]],"mmmm")</f>
        <v>June</v>
      </c>
      <c r="C46" s="44">
        <f>DAY(MotorPHSales[[#This Row],[Date]])</f>
        <v>21</v>
      </c>
      <c r="D46" s="44">
        <f>YEAR(MotorPHSales[[#This Row],[Date]])</f>
        <v>2025</v>
      </c>
      <c r="E46" s="44" t="s">
        <v>194</v>
      </c>
      <c r="F46" s="44" t="s">
        <v>74</v>
      </c>
      <c r="G46" s="45">
        <v>349000</v>
      </c>
      <c r="H46" s="44">
        <v>21</v>
      </c>
      <c r="I46" s="45">
        <v>7329000</v>
      </c>
      <c r="J46" s="44" t="s">
        <v>198</v>
      </c>
      <c r="K46" s="44" t="str">
        <f>INDEX(CLEANED_MotorPH_Products_List_2!C:C,MATCH(MotorPHSales[[#This Row],[Product]],CLEANED_MotorPH_Products_List_2!$B:$B,0))</f>
        <v>Cruiser</v>
      </c>
      <c r="L46" s="44" t="str">
        <f>INDEX(CLEANED_MotorPH_Products_List_2!E:E,MATCH(MotorPHSales[[#This Row],[Product]],CLEANED_MotorPH_Products_List_2!$B:$B,0))</f>
        <v>Parallel-twin</v>
      </c>
      <c r="M46" s="44" t="str">
        <f>INDEX(CLEANED_MotorPH_Products_List_2!F:F,MATCH(MotorPHSales[[#This Row],[Product]],CLEANED_MotorPH_Products_List_2!$B:$B,0))</f>
        <v>liquid-cooled</v>
      </c>
      <c r="N46" s="44" t="str">
        <f>INDEX(CLEANED_MotorPH_Products_List_2!G:G,MATCH(MotorPHSales[[#This Row],[Product]],CLEANED_MotorPH_Products_List_2!$B:$B,0))</f>
        <v>500cc</v>
      </c>
      <c r="O46" s="44" t="str">
        <f>INDEX(CLEANED_MotorPH_Products_List_2!K:K,MATCH(MotorPHSales[[#This Row],[Product]],CLEANED_MotorPH_Products_List_2!B:B,0))</f>
        <v>Mid-range</v>
      </c>
      <c r="P46" s="45">
        <f>IF(MotorPHSales[[#This Row],[Segment]]="Entry-level",MotorPHSales[[#This Row],[UnitPrice]]/(1+30%),IF(MotorPHSales[[#This Row],[Segment]]="Mid-range",MotorPHSales[[#This Row],[UnitPrice]]/(1+35%),MotorPHSales[[#This Row],[UnitPrice]]/(1+40%)))*MotorPHSales[[#This Row],[Quantity]]</f>
        <v>5428888.888888889</v>
      </c>
      <c r="Q46" s="44" t="str">
        <f>INDEX(CLEANED_MotorPH_Products_List_2!H:H,MATCH(MotorPHSales[[#This Row],[Product]],CLEANED_MotorPH_Products_List_2!$B:$B,0))</f>
        <v>6-speed</v>
      </c>
    </row>
    <row r="47" spans="1:17" ht="15.75" x14ac:dyDescent="0.3">
      <c r="A47" s="43">
        <v>45881</v>
      </c>
      <c r="B47" s="44" t="str">
        <f>TEXT(MotorPHSales[[#This Row],[Date]],"mmmm")</f>
        <v>August</v>
      </c>
      <c r="C47" s="44">
        <f>DAY(MotorPHSales[[#This Row],[Date]])</f>
        <v>12</v>
      </c>
      <c r="D47" s="44">
        <f>YEAR(MotorPHSales[[#This Row],[Date]])</f>
        <v>2025</v>
      </c>
      <c r="E47" s="44" t="s">
        <v>194</v>
      </c>
      <c r="F47" s="44" t="s">
        <v>61</v>
      </c>
      <c r="G47" s="45">
        <v>284900</v>
      </c>
      <c r="H47" s="44">
        <v>2</v>
      </c>
      <c r="I47" s="45">
        <v>569800</v>
      </c>
      <c r="J47" s="44" t="s">
        <v>195</v>
      </c>
      <c r="K47" s="44" t="str">
        <f>INDEX(CLEANED_MotorPH_Products_List_2!C:C,MATCH(MotorPHSales[[#This Row],[Product]],CLEANED_MotorPH_Products_List_2!$B:$B,0))</f>
        <v>Dual-sport</v>
      </c>
      <c r="L47" s="44" t="str">
        <f>INDEX(CLEANED_MotorPH_Products_List_2!E:E,MATCH(MotorPHSales[[#This Row],[Product]],CLEANED_MotorPH_Products_List_2!$B:$B,0))</f>
        <v>Single cylinder</v>
      </c>
      <c r="M47" s="44" t="str">
        <f>INDEX(CLEANED_MotorPH_Products_List_2!F:F,MATCH(MotorPHSales[[#This Row],[Product]],CLEANED_MotorPH_Products_List_2!$B:$B,0))</f>
        <v>liquid-cooled</v>
      </c>
      <c r="N47" s="44" t="str">
        <f>INDEX(CLEANED_MotorPH_Products_List_2!G:G,MATCH(MotorPHSales[[#This Row],[Product]],CLEANED_MotorPH_Products_List_2!$B:$B,0))</f>
        <v>286cc</v>
      </c>
      <c r="O47" s="44" t="str">
        <f>INDEX(CLEANED_MotorPH_Products_List_2!K:K,MATCH(MotorPHSales[[#This Row],[Product]],CLEANED_MotorPH_Products_List_2!B:B,0))</f>
        <v>Mid-range</v>
      </c>
      <c r="P47" s="45">
        <f>IF(MotorPHSales[[#This Row],[Segment]]="Entry-level",MotorPHSales[[#This Row],[UnitPrice]]/(1+30%),IF(MotorPHSales[[#This Row],[Segment]]="Mid-range",MotorPHSales[[#This Row],[UnitPrice]]/(1+35%),MotorPHSales[[#This Row],[UnitPrice]]/(1+40%)))*MotorPHSales[[#This Row],[Quantity]]</f>
        <v>422074.07407407404</v>
      </c>
      <c r="Q47" s="44" t="str">
        <f>INDEX(CLEANED_MotorPH_Products_List_2!H:H,MATCH(MotorPHSales[[#This Row],[Product]],CLEANED_MotorPH_Products_List_2!$B:$B,0))</f>
        <v>6-speed</v>
      </c>
    </row>
    <row r="48" spans="1:17" ht="15.75" x14ac:dyDescent="0.3">
      <c r="A48" s="43">
        <v>45847</v>
      </c>
      <c r="B48" s="44" t="str">
        <f>TEXT(MotorPHSales[[#This Row],[Date]],"mmmm")</f>
        <v>July</v>
      </c>
      <c r="C48" s="44">
        <f>DAY(MotorPHSales[[#This Row],[Date]])</f>
        <v>9</v>
      </c>
      <c r="D48" s="44">
        <f>YEAR(MotorPHSales[[#This Row],[Date]])</f>
        <v>2025</v>
      </c>
      <c r="E48" s="44" t="s">
        <v>194</v>
      </c>
      <c r="F48" s="44" t="s">
        <v>42</v>
      </c>
      <c r="G48" s="45">
        <v>125000</v>
      </c>
      <c r="H48" s="44">
        <v>9</v>
      </c>
      <c r="I48" s="45">
        <v>1125000</v>
      </c>
      <c r="J48" s="44" t="s">
        <v>197</v>
      </c>
      <c r="K48" s="44" t="str">
        <f>INDEX(CLEANED_MotorPH_Products_List_2!C:C,MATCH(MotorPHSales[[#This Row],[Product]],CLEANED_MotorPH_Products_List_2!$B:$B,0))</f>
        <v>Naked bike</v>
      </c>
      <c r="L48" s="44" t="str">
        <f>INDEX(CLEANED_MotorPH_Products_List_2!E:E,MATCH(MotorPHSales[[#This Row],[Product]],CLEANED_MotorPH_Products_List_2!$B:$B,0))</f>
        <v>Single cylinder</v>
      </c>
      <c r="M48" s="44" t="str">
        <f>INDEX(CLEANED_MotorPH_Products_List_2!F:F,MATCH(MotorPHSales[[#This Row],[Product]],CLEANED_MotorPH_Products_List_2!$B:$B,0))</f>
        <v>liquid-cooled</v>
      </c>
      <c r="N48" s="44" t="str">
        <f>INDEX(CLEANED_MotorPH_Products_List_2!G:G,MATCH(MotorPHSales[[#This Row],[Product]],CLEANED_MotorPH_Products_List_2!$B:$B,0))</f>
        <v>147cc</v>
      </c>
      <c r="O48" s="44" t="str">
        <f>INDEX(CLEANED_MotorPH_Products_List_2!K:K,MATCH(MotorPHSales[[#This Row],[Product]],CLEANED_MotorPH_Products_List_2!B:B,0))</f>
        <v>Entry-level</v>
      </c>
      <c r="P48" s="45">
        <f>IF(MotorPHSales[[#This Row],[Segment]]="Entry-level",MotorPHSales[[#This Row],[UnitPrice]]/(1+30%),IF(MotorPHSales[[#This Row],[Segment]]="Mid-range",MotorPHSales[[#This Row],[UnitPrice]]/(1+35%),MotorPHSales[[#This Row],[UnitPrice]]/(1+40%)))*MotorPHSales[[#This Row],[Quantity]]</f>
        <v>865384.61538461538</v>
      </c>
      <c r="Q48" s="44" t="str">
        <f>INDEX(CLEANED_MotorPH_Products_List_2!H:H,MATCH(MotorPHSales[[#This Row],[Product]],CLEANED_MotorPH_Products_List_2!$B:$B,0))</f>
        <v>6-speed</v>
      </c>
    </row>
    <row r="49" spans="1:17" ht="15.75" x14ac:dyDescent="0.3">
      <c r="A49" s="43">
        <v>45826</v>
      </c>
      <c r="B49" s="44" t="str">
        <f>TEXT(MotorPHSales[[#This Row],[Date]],"mmmm")</f>
        <v>June</v>
      </c>
      <c r="C49" s="44">
        <f>DAY(MotorPHSales[[#This Row],[Date]])</f>
        <v>18</v>
      </c>
      <c r="D49" s="44">
        <f>YEAR(MotorPHSales[[#This Row],[Date]])</f>
        <v>2025</v>
      </c>
      <c r="E49" s="44" t="s">
        <v>196</v>
      </c>
      <c r="F49" s="44" t="s">
        <v>28</v>
      </c>
      <c r="G49" s="45">
        <v>164900</v>
      </c>
      <c r="H49" s="44">
        <v>50</v>
      </c>
      <c r="I49" s="45">
        <v>8245000</v>
      </c>
      <c r="J49" s="44" t="s">
        <v>197</v>
      </c>
      <c r="K49" s="44" t="str">
        <f>INDEX(CLEANED_MotorPH_Products_List_2!C:C,MATCH(MotorPHSales[[#This Row],[Product]],CLEANED_MotorPH_Products_List_2!$B:$B,0))</f>
        <v>Scooter</v>
      </c>
      <c r="L49" s="44" t="str">
        <f>INDEX(CLEANED_MotorPH_Products_List_2!E:E,MATCH(MotorPHSales[[#This Row],[Product]],CLEANED_MotorPH_Products_List_2!$B:$B,0))</f>
        <v>Single cylinder</v>
      </c>
      <c r="M49" s="44" t="str">
        <f>INDEX(CLEANED_MotorPH_Products_List_2!F:F,MATCH(MotorPHSales[[#This Row],[Product]],CLEANED_MotorPH_Products_List_2!$B:$B,0))</f>
        <v>liquid-cooled</v>
      </c>
      <c r="N49" s="44" t="str">
        <f>INDEX(CLEANED_MotorPH_Products_List_2!G:G,MATCH(MotorPHSales[[#This Row],[Product]],CLEANED_MotorPH_Products_List_2!$B:$B,0))</f>
        <v>157cc</v>
      </c>
      <c r="O49" s="44" t="str">
        <f>INDEX(CLEANED_MotorPH_Products_List_2!K:K,MATCH(MotorPHSales[[#This Row],[Product]],CLEANED_MotorPH_Products_List_2!B:B,0))</f>
        <v>Entry-level</v>
      </c>
      <c r="P49" s="45">
        <f>IF(MotorPHSales[[#This Row],[Segment]]="Entry-level",MotorPHSales[[#This Row],[UnitPrice]]/(1+30%),IF(MotorPHSales[[#This Row],[Segment]]="Mid-range",MotorPHSales[[#This Row],[UnitPrice]]/(1+35%),MotorPHSales[[#This Row],[UnitPrice]]/(1+40%)))*MotorPHSales[[#This Row],[Quantity]]</f>
        <v>6342307.692307692</v>
      </c>
      <c r="Q49" s="44" t="str">
        <f>INDEX(CLEANED_MotorPH_Products_List_2!H:H,MATCH(MotorPHSales[[#This Row],[Product]],CLEANED_MotorPH_Products_List_2!$B:$B,0))</f>
        <v>CVT</v>
      </c>
    </row>
    <row r="50" spans="1:17" ht="15.75" x14ac:dyDescent="0.3">
      <c r="A50" s="43">
        <v>45812</v>
      </c>
      <c r="B50" s="44" t="str">
        <f>TEXT(MotorPHSales[[#This Row],[Date]],"mmmm")</f>
        <v>June</v>
      </c>
      <c r="C50" s="44">
        <f>DAY(MotorPHSales[[#This Row],[Date]])</f>
        <v>4</v>
      </c>
      <c r="D50" s="44">
        <f>YEAR(MotorPHSales[[#This Row],[Date]])</f>
        <v>2025</v>
      </c>
      <c r="E50" s="44" t="s">
        <v>194</v>
      </c>
      <c r="F50" s="44" t="s">
        <v>46</v>
      </c>
      <c r="G50" s="45">
        <v>124000</v>
      </c>
      <c r="H50" s="44">
        <v>2</v>
      </c>
      <c r="I50" s="45">
        <v>248000</v>
      </c>
      <c r="J50" s="44" t="s">
        <v>197</v>
      </c>
      <c r="K50" s="44" t="str">
        <f>INDEX(CLEANED_MotorPH_Products_List_2!C:C,MATCH(MotorPHSales[[#This Row],[Product]],CLEANED_MotorPH_Products_List_2!$B:$B,0))</f>
        <v>Scooter</v>
      </c>
      <c r="L50" s="44" t="str">
        <f>INDEX(CLEANED_MotorPH_Products_List_2!E:E,MATCH(MotorPHSales[[#This Row],[Product]],CLEANED_MotorPH_Products_List_2!$B:$B,0))</f>
        <v>Single cylinder</v>
      </c>
      <c r="M50" s="44" t="str">
        <f>INDEX(CLEANED_MotorPH_Products_List_2!F:F,MATCH(MotorPHSales[[#This Row],[Product]],CLEANED_MotorPH_Products_List_2!$B:$B,0))</f>
        <v>liquid-cooled</v>
      </c>
      <c r="N50" s="44" t="str">
        <f>INDEX(CLEANED_MotorPH_Products_List_2!G:G,MATCH(MotorPHSales[[#This Row],[Product]],CLEANED_MotorPH_Products_List_2!$B:$B,0))</f>
        <v>155cc</v>
      </c>
      <c r="O50" s="44" t="str">
        <f>INDEX(CLEANED_MotorPH_Products_List_2!K:K,MATCH(MotorPHSales[[#This Row],[Product]],CLEANED_MotorPH_Products_List_2!B:B,0))</f>
        <v>Entry-level</v>
      </c>
      <c r="P50" s="45">
        <f>IF(MotorPHSales[[#This Row],[Segment]]="Entry-level",MotorPHSales[[#This Row],[UnitPrice]]/(1+30%),IF(MotorPHSales[[#This Row],[Segment]]="Mid-range",MotorPHSales[[#This Row],[UnitPrice]]/(1+35%),MotorPHSales[[#This Row],[UnitPrice]]/(1+40%)))*MotorPHSales[[#This Row],[Quantity]]</f>
        <v>190769.23076923075</v>
      </c>
      <c r="Q50" s="44" t="str">
        <f>INDEX(CLEANED_MotorPH_Products_List_2!H:H,MATCH(MotorPHSales[[#This Row],[Product]],CLEANED_MotorPH_Products_List_2!$B:$B,0))</f>
        <v>CVT</v>
      </c>
    </row>
    <row r="51" spans="1:17" ht="15.75" x14ac:dyDescent="0.3">
      <c r="A51" s="43">
        <v>45897</v>
      </c>
      <c r="B51" s="44" t="str">
        <f>TEXT(MotorPHSales[[#This Row],[Date]],"mmmm")</f>
        <v>August</v>
      </c>
      <c r="C51" s="44">
        <f>DAY(MotorPHSales[[#This Row],[Date]])</f>
        <v>28</v>
      </c>
      <c r="D51" s="44">
        <f>YEAR(MotorPHSales[[#This Row],[Date]])</f>
        <v>2025</v>
      </c>
      <c r="E51" s="44" t="s">
        <v>194</v>
      </c>
      <c r="F51" s="44" t="s">
        <v>96</v>
      </c>
      <c r="G51" s="45">
        <v>80900</v>
      </c>
      <c r="H51" s="44">
        <v>25</v>
      </c>
      <c r="I51" s="45">
        <v>2022500</v>
      </c>
      <c r="J51" s="44" t="s">
        <v>197</v>
      </c>
      <c r="K51" s="44" t="str">
        <f>INDEX(CLEANED_MotorPH_Products_List_2!C:C,MATCH(MotorPHSales[[#This Row],[Product]],CLEANED_MotorPH_Products_List_2!$B:$B,0))</f>
        <v>Scooter</v>
      </c>
      <c r="L51" s="44" t="str">
        <f>INDEX(CLEANED_MotorPH_Products_List_2!E:E,MATCH(MotorPHSales[[#This Row],[Product]],CLEANED_MotorPH_Products_List_2!$B:$B,0))</f>
        <v>Single cylinder</v>
      </c>
      <c r="M51" s="44" t="str">
        <f>INDEX(CLEANED_MotorPH_Products_List_2!F:F,MATCH(MotorPHSales[[#This Row],[Product]],CLEANED_MotorPH_Products_List_2!$B:$B,0))</f>
        <v>air-cooled</v>
      </c>
      <c r="N51" s="44" t="str">
        <f>INDEX(CLEANED_MotorPH_Products_List_2!G:G,MATCH(MotorPHSales[[#This Row],[Product]],CLEANED_MotorPH_Products_List_2!$B:$B,0))</f>
        <v>124cc</v>
      </c>
      <c r="O51" s="44" t="str">
        <f>INDEX(CLEANED_MotorPH_Products_List_2!K:K,MATCH(MotorPHSales[[#This Row],[Product]],CLEANED_MotorPH_Products_List_2!B:B,0))</f>
        <v>Entry-level</v>
      </c>
      <c r="P51" s="45">
        <f>IF(MotorPHSales[[#This Row],[Segment]]="Entry-level",MotorPHSales[[#This Row],[UnitPrice]]/(1+30%),IF(MotorPHSales[[#This Row],[Segment]]="Mid-range",MotorPHSales[[#This Row],[UnitPrice]]/(1+35%),MotorPHSales[[#This Row],[UnitPrice]]/(1+40%)))*MotorPHSales[[#This Row],[Quantity]]</f>
        <v>1555769.2307692308</v>
      </c>
      <c r="Q51" s="44" t="str">
        <f>INDEX(CLEANED_MotorPH_Products_List_2!H:H,MATCH(MotorPHSales[[#This Row],[Product]],CLEANED_MotorPH_Products_List_2!$B:$B,0))</f>
        <v>CVT</v>
      </c>
    </row>
    <row r="52" spans="1:17" ht="15.75" x14ac:dyDescent="0.3">
      <c r="A52" s="43">
        <v>45868</v>
      </c>
      <c r="B52" s="44" t="str">
        <f>TEXT(MotorPHSales[[#This Row],[Date]],"mmmm")</f>
        <v>July</v>
      </c>
      <c r="C52" s="44">
        <f>DAY(MotorPHSales[[#This Row],[Date]])</f>
        <v>30</v>
      </c>
      <c r="D52" s="44">
        <f>YEAR(MotorPHSales[[#This Row],[Date]])</f>
        <v>2025</v>
      </c>
      <c r="E52" s="44" t="s">
        <v>194</v>
      </c>
      <c r="F52" s="44" t="s">
        <v>84</v>
      </c>
      <c r="G52" s="45">
        <v>995000</v>
      </c>
      <c r="H52" s="44">
        <v>33</v>
      </c>
      <c r="I52" s="45">
        <v>32835000</v>
      </c>
      <c r="J52" s="44" t="s">
        <v>198</v>
      </c>
      <c r="K52" s="44" t="str">
        <f>INDEX(CLEANED_MotorPH_Products_List_2!C:C,MATCH(MotorPHSales[[#This Row],[Product]],CLEANED_MotorPH_Products_List_2!$B:$B,0))</f>
        <v>Heritage</v>
      </c>
      <c r="L52" s="44" t="str">
        <f>INDEX(CLEANED_MotorPH_Products_List_2!E:E,MATCH(MotorPHSales[[#This Row],[Product]],CLEANED_MotorPH_Products_List_2!$B:$B,0))</f>
        <v>Flat twin</v>
      </c>
      <c r="M52" s="44" t="str">
        <f>INDEX(CLEANED_MotorPH_Products_List_2!F:F,MATCH(MotorPHSales[[#This Row],[Product]],CLEANED_MotorPH_Products_List_2!$B:$B,0))</f>
        <v>air</v>
      </c>
      <c r="N52" s="44">
        <f>INDEX(CLEANED_MotorPH_Products_List_2!G:G,MATCH(MotorPHSales[[#This Row],[Product]],CLEANED_MotorPH_Products_List_2!$B:$B,0))</f>
        <v>0</v>
      </c>
      <c r="O52" s="44" t="str">
        <f>INDEX(CLEANED_MotorPH_Products_List_2!K:K,MATCH(MotorPHSales[[#This Row],[Product]],CLEANED_MotorPH_Products_List_2!B:B,0))</f>
        <v>Premium</v>
      </c>
      <c r="P52" s="45">
        <f>IF(MotorPHSales[[#This Row],[Segment]]="Entry-level",MotorPHSales[[#This Row],[UnitPrice]]/(1+30%),IF(MotorPHSales[[#This Row],[Segment]]="Mid-range",MotorPHSales[[#This Row],[UnitPrice]]/(1+35%),MotorPHSales[[#This Row],[UnitPrice]]/(1+40%)))*MotorPHSales[[#This Row],[Quantity]]</f>
        <v>23453571.428571433</v>
      </c>
      <c r="Q52" s="44">
        <f>INDEX(CLEANED_MotorPH_Products_List_2!H:H,MATCH(MotorPHSales[[#This Row],[Product]],CLEANED_MotorPH_Products_List_2!$B:$B,0))</f>
        <v>0</v>
      </c>
    </row>
    <row r="53" spans="1:17" ht="15.75" x14ac:dyDescent="0.3">
      <c r="A53" s="43">
        <v>45822</v>
      </c>
      <c r="B53" s="44" t="str">
        <f>TEXT(MotorPHSales[[#This Row],[Date]],"mmmm")</f>
        <v>June</v>
      </c>
      <c r="C53" s="44">
        <f>DAY(MotorPHSales[[#This Row],[Date]])</f>
        <v>14</v>
      </c>
      <c r="D53" s="44">
        <f>YEAR(MotorPHSales[[#This Row],[Date]])</f>
        <v>2025</v>
      </c>
      <c r="E53" s="44" t="s">
        <v>194</v>
      </c>
      <c r="F53" s="44" t="s">
        <v>99</v>
      </c>
      <c r="G53" s="45">
        <v>689000</v>
      </c>
      <c r="H53" s="44">
        <v>43</v>
      </c>
      <c r="I53" s="45">
        <v>29627000</v>
      </c>
      <c r="J53" s="44" t="s">
        <v>198</v>
      </c>
      <c r="K53" s="44" t="str">
        <f>INDEX(CLEANED_MotorPH_Products_List_2!C:C,MATCH(MotorPHSales[[#This Row],[Product]],CLEANED_MotorPH_Products_List_2!$B:$B,0))</f>
        <v>Heritage</v>
      </c>
      <c r="L53" s="44" t="str">
        <f>INDEX(CLEANED_MotorPH_Products_List_2!E:E,MATCH(MotorPHSales[[#This Row],[Product]],CLEANED_MotorPH_Products_List_2!$B:$B,0))</f>
        <v>V-twin</v>
      </c>
      <c r="M53" s="44" t="str">
        <f>INDEX(CLEANED_MotorPH_Products_List_2!F:F,MATCH(MotorPHSales[[#This Row],[Product]],CLEANED_MotorPH_Products_List_2!$B:$B,0))</f>
        <v>air-cooled</v>
      </c>
      <c r="N53" s="44" t="str">
        <f>INDEX(CLEANED_MotorPH_Products_List_2!G:G,MATCH(MotorPHSales[[#This Row],[Product]],CLEANED_MotorPH_Products_List_2!$B:$B,0))</f>
        <v>853cc</v>
      </c>
      <c r="O53" s="44" t="str">
        <f>INDEX(CLEANED_MotorPH_Products_List_2!K:K,MATCH(MotorPHSales[[#This Row],[Product]],CLEANED_MotorPH_Products_List_2!B:B,0))</f>
        <v>Premium</v>
      </c>
      <c r="P53" s="45">
        <f>IF(MotorPHSales[[#This Row],[Segment]]="Entry-level",MotorPHSales[[#This Row],[UnitPrice]]/(1+30%),IF(MotorPHSales[[#This Row],[Segment]]="Mid-range",MotorPHSales[[#This Row],[UnitPrice]]/(1+35%),MotorPHSales[[#This Row],[UnitPrice]]/(1+40%)))*MotorPHSales[[#This Row],[Quantity]]</f>
        <v>21162142.857142858</v>
      </c>
      <c r="Q53" s="44" t="str">
        <f>INDEX(CLEANED_MotorPH_Products_List_2!H:H,MATCH(MotorPHSales[[#This Row],[Product]],CLEANED_MotorPH_Products_List_2!$B:$B,0))</f>
        <v>6-speed</v>
      </c>
    </row>
    <row r="54" spans="1:17" ht="15.75" x14ac:dyDescent="0.3">
      <c r="A54" s="43">
        <v>45817</v>
      </c>
      <c r="B54" s="44" t="str">
        <f>TEXT(MotorPHSales[[#This Row],[Date]],"mmmm")</f>
        <v>June</v>
      </c>
      <c r="C54" s="44">
        <f>DAY(MotorPHSales[[#This Row],[Date]])</f>
        <v>9</v>
      </c>
      <c r="D54" s="44">
        <f>YEAR(MotorPHSales[[#This Row],[Date]])</f>
        <v>2025</v>
      </c>
      <c r="E54" s="44" t="s">
        <v>194</v>
      </c>
      <c r="F54" s="44" t="s">
        <v>53</v>
      </c>
      <c r="G54" s="45">
        <v>345000</v>
      </c>
      <c r="H54" s="44">
        <v>13</v>
      </c>
      <c r="I54" s="45">
        <v>4485000</v>
      </c>
      <c r="J54" s="44" t="s">
        <v>195</v>
      </c>
      <c r="K54" s="44" t="str">
        <f>INDEX(CLEANED_MotorPH_Products_List_2!C:C,MATCH(MotorPHSales[[#This Row],[Product]],CLEANED_MotorPH_Products_List_2!$B:$B,0))</f>
        <v>Touring</v>
      </c>
      <c r="L54" s="44" t="str">
        <f>INDEX(CLEANED_MotorPH_Products_List_2!E:E,MATCH(MotorPHSales[[#This Row],[Product]],CLEANED_MotorPH_Products_List_2!$B:$B,0))</f>
        <v>Parallel-twin</v>
      </c>
      <c r="M54" s="44" t="str">
        <f>INDEX(CLEANED_MotorPH_Products_List_2!F:F,MATCH(MotorPHSales[[#This Row],[Product]],CLEANED_MotorPH_Products_List_2!$B:$B,0))</f>
        <v>liquid-cooled</v>
      </c>
      <c r="N54" s="44" t="str">
        <f>INDEX(CLEANED_MotorPH_Products_List_2!G:G,MATCH(MotorPHSales[[#This Row],[Product]],CLEANED_MotorPH_Products_List_2!$B:$B,0))</f>
        <v>649cc</v>
      </c>
      <c r="O54" s="44" t="str">
        <f>INDEX(CLEANED_MotorPH_Products_List_2!K:K,MATCH(MotorPHSales[[#This Row],[Product]],CLEANED_MotorPH_Products_List_2!B:B,0))</f>
        <v>Premium</v>
      </c>
      <c r="P54" s="45">
        <f>IF(MotorPHSales[[#This Row],[Segment]]="Entry-level",MotorPHSales[[#This Row],[UnitPrice]]/(1+30%),IF(MotorPHSales[[#This Row],[Segment]]="Mid-range",MotorPHSales[[#This Row],[UnitPrice]]/(1+35%),MotorPHSales[[#This Row],[UnitPrice]]/(1+40%)))*MotorPHSales[[#This Row],[Quantity]]</f>
        <v>3203571.4285714286</v>
      </c>
      <c r="Q54" s="44" t="str">
        <f>INDEX(CLEANED_MotorPH_Products_List_2!H:H,MATCH(MotorPHSales[[#This Row],[Product]],CLEANED_MotorPH_Products_List_2!$B:$B,0))</f>
        <v>6-speed</v>
      </c>
    </row>
    <row r="55" spans="1:17" ht="15.75" x14ac:dyDescent="0.3">
      <c r="A55" s="43">
        <v>45898</v>
      </c>
      <c r="B55" s="44" t="str">
        <f>TEXT(MotorPHSales[[#This Row],[Date]],"mmmm")</f>
        <v>August</v>
      </c>
      <c r="C55" s="44">
        <f>DAY(MotorPHSales[[#This Row],[Date]])</f>
        <v>29</v>
      </c>
      <c r="D55" s="44">
        <f>YEAR(MotorPHSales[[#This Row],[Date]])</f>
        <v>2025</v>
      </c>
      <c r="E55" s="44" t="s">
        <v>196</v>
      </c>
      <c r="F55" s="44" t="s">
        <v>66</v>
      </c>
      <c r="G55" s="45">
        <v>499000</v>
      </c>
      <c r="H55" s="44">
        <v>3</v>
      </c>
      <c r="I55" s="45">
        <v>1497000</v>
      </c>
      <c r="J55" s="44" t="s">
        <v>197</v>
      </c>
      <c r="K55" s="44" t="str">
        <f>INDEX(CLEANED_MotorPH_Products_List_2!C:C,MATCH(MotorPHSales[[#This Row],[Product]],CLEANED_MotorPH_Products_List_2!$B:$B,0))</f>
        <v>Cruiser</v>
      </c>
      <c r="L55" s="44" t="str">
        <f>INDEX(CLEANED_MotorPH_Products_List_2!E:E,MATCH(MotorPHSales[[#This Row],[Product]],CLEANED_MotorPH_Products_List_2!$B:$B,0))</f>
        <v>V-twin</v>
      </c>
      <c r="M55" s="44" t="str">
        <f>INDEX(CLEANED_MotorPH_Products_List_2!F:F,MATCH(MotorPHSales[[#This Row],[Product]],CLEANED_MotorPH_Products_List_2!$B:$B,0))</f>
        <v>liquid-cooled</v>
      </c>
      <c r="N55" s="44" t="str">
        <f>INDEX(CLEANED_MotorPH_Products_List_2!G:G,MATCH(MotorPHSales[[#This Row],[Product]],CLEANED_MotorPH_Products_List_2!$B:$B,0))</f>
        <v>749cc</v>
      </c>
      <c r="O55" s="44" t="str">
        <f>INDEX(CLEANED_MotorPH_Products_List_2!K:K,MATCH(MotorPHSales[[#This Row],[Product]],CLEANED_MotorPH_Products_List_2!B:B,0))</f>
        <v>Premium</v>
      </c>
      <c r="P55" s="45">
        <f>IF(MotorPHSales[[#This Row],[Segment]]="Entry-level",MotorPHSales[[#This Row],[UnitPrice]]/(1+30%),IF(MotorPHSales[[#This Row],[Segment]]="Mid-range",MotorPHSales[[#This Row],[UnitPrice]]/(1+35%),MotorPHSales[[#This Row],[UnitPrice]]/(1+40%)))*MotorPHSales[[#This Row],[Quantity]]</f>
        <v>1069285.7142857146</v>
      </c>
      <c r="Q55" s="44" t="str">
        <f>INDEX(CLEANED_MotorPH_Products_List_2!H:H,MATCH(MotorPHSales[[#This Row],[Product]],CLEANED_MotorPH_Products_List_2!$B:$B,0))</f>
        <v>6-speed</v>
      </c>
    </row>
    <row r="56" spans="1:17" ht="15.75" x14ac:dyDescent="0.3">
      <c r="A56" s="43">
        <v>45861</v>
      </c>
      <c r="B56" s="44" t="str">
        <f>TEXT(MotorPHSales[[#This Row],[Date]],"mmmm")</f>
        <v>July</v>
      </c>
      <c r="C56" s="44">
        <f>DAY(MotorPHSales[[#This Row],[Date]])</f>
        <v>23</v>
      </c>
      <c r="D56" s="44">
        <f>YEAR(MotorPHSales[[#This Row],[Date]])</f>
        <v>2025</v>
      </c>
      <c r="E56" s="44" t="s">
        <v>194</v>
      </c>
      <c r="F56" s="44" t="s">
        <v>90</v>
      </c>
      <c r="G56" s="45">
        <v>165000</v>
      </c>
      <c r="H56" s="44">
        <v>19</v>
      </c>
      <c r="I56" s="45">
        <v>3135000</v>
      </c>
      <c r="J56" s="44" t="s">
        <v>197</v>
      </c>
      <c r="K56" s="44" t="str">
        <f>INDEX(CLEANED_MotorPH_Products_List_2!C:C,MATCH(MotorPHSales[[#This Row],[Product]],CLEANED_MotorPH_Products_List_2!$B:$B,0))</f>
        <v>Sport</v>
      </c>
      <c r="L56" s="44" t="str">
        <f>INDEX(CLEANED_MotorPH_Products_List_2!E:E,MATCH(MotorPHSales[[#This Row],[Product]],CLEANED_MotorPH_Products_List_2!$B:$B,0))</f>
        <v>Single cylinder</v>
      </c>
      <c r="M56" s="44" t="str">
        <f>INDEX(CLEANED_MotorPH_Products_List_2!F:F,MATCH(MotorPHSales[[#This Row],[Product]],CLEANED_MotorPH_Products_List_2!$B:$B,0))</f>
        <v>liquid-cooled</v>
      </c>
      <c r="N56" s="44" t="str">
        <f>INDEX(CLEANED_MotorPH_Products_List_2!G:G,MATCH(MotorPHSales[[#This Row],[Product]],CLEANED_MotorPH_Products_List_2!$B:$B,0))</f>
        <v>292cc</v>
      </c>
      <c r="O56" s="44" t="str">
        <f>INDEX(CLEANED_MotorPH_Products_List_2!K:K,MATCH(MotorPHSales[[#This Row],[Product]],CLEANED_MotorPH_Products_List_2!B:B,0))</f>
        <v>Mid-range</v>
      </c>
      <c r="P56" s="45">
        <f>IF(MotorPHSales[[#This Row],[Segment]]="Entry-level",MotorPHSales[[#This Row],[UnitPrice]]/(1+30%),IF(MotorPHSales[[#This Row],[Segment]]="Mid-range",MotorPHSales[[#This Row],[UnitPrice]]/(1+35%),MotorPHSales[[#This Row],[UnitPrice]]/(1+40%)))*MotorPHSales[[#This Row],[Quantity]]</f>
        <v>2322222.222222222</v>
      </c>
      <c r="Q56" s="44" t="str">
        <f>INDEX(CLEANED_MotorPH_Products_List_2!H:H,MATCH(MotorPHSales[[#This Row],[Product]],CLEANED_MotorPH_Products_List_2!$B:$B,0))</f>
        <v>6-speed</v>
      </c>
    </row>
    <row r="57" spans="1:17" ht="15.75" x14ac:dyDescent="0.3">
      <c r="A57" s="43">
        <v>45810</v>
      </c>
      <c r="B57" s="44" t="str">
        <f>TEXT(MotorPHSales[[#This Row],[Date]],"mmmm")</f>
        <v>June</v>
      </c>
      <c r="C57" s="44">
        <f>DAY(MotorPHSales[[#This Row],[Date]])</f>
        <v>2</v>
      </c>
      <c r="D57" s="44">
        <f>YEAR(MotorPHSales[[#This Row],[Date]])</f>
        <v>2025</v>
      </c>
      <c r="E57" s="44" t="s">
        <v>194</v>
      </c>
      <c r="F57" s="44" t="s">
        <v>90</v>
      </c>
      <c r="G57" s="45">
        <v>165000</v>
      </c>
      <c r="H57" s="44">
        <v>25</v>
      </c>
      <c r="I57" s="45">
        <v>4125000</v>
      </c>
      <c r="J57" s="44" t="s">
        <v>195</v>
      </c>
      <c r="K57" s="44" t="str">
        <f>INDEX(CLEANED_MotorPH_Products_List_2!C:C,MATCH(MotorPHSales[[#This Row],[Product]],CLEANED_MotorPH_Products_List_2!$B:$B,0))</f>
        <v>Sport</v>
      </c>
      <c r="L57" s="44" t="str">
        <f>INDEX(CLEANED_MotorPH_Products_List_2!E:E,MATCH(MotorPHSales[[#This Row],[Product]],CLEANED_MotorPH_Products_List_2!$B:$B,0))</f>
        <v>Single cylinder</v>
      </c>
      <c r="M57" s="44" t="str">
        <f>INDEX(CLEANED_MotorPH_Products_List_2!F:F,MATCH(MotorPHSales[[#This Row],[Product]],CLEANED_MotorPH_Products_List_2!$B:$B,0))</f>
        <v>liquid-cooled</v>
      </c>
      <c r="N57" s="44" t="str">
        <f>INDEX(CLEANED_MotorPH_Products_List_2!G:G,MATCH(MotorPHSales[[#This Row],[Product]],CLEANED_MotorPH_Products_List_2!$B:$B,0))</f>
        <v>292cc</v>
      </c>
      <c r="O57" s="44" t="str">
        <f>INDEX(CLEANED_MotorPH_Products_List_2!K:K,MATCH(MotorPHSales[[#This Row],[Product]],CLEANED_MotorPH_Products_List_2!B:B,0))</f>
        <v>Mid-range</v>
      </c>
      <c r="P57" s="45">
        <f>IF(MotorPHSales[[#This Row],[Segment]]="Entry-level",MotorPHSales[[#This Row],[UnitPrice]]/(1+30%),IF(MotorPHSales[[#This Row],[Segment]]="Mid-range",MotorPHSales[[#This Row],[UnitPrice]]/(1+35%),MotorPHSales[[#This Row],[UnitPrice]]/(1+40%)))*MotorPHSales[[#This Row],[Quantity]]</f>
        <v>3055555.5555555555</v>
      </c>
      <c r="Q57" s="44" t="str">
        <f>INDEX(CLEANED_MotorPH_Products_List_2!H:H,MATCH(MotorPHSales[[#This Row],[Product]],CLEANED_MotorPH_Products_List_2!$B:$B,0))</f>
        <v>6-speed</v>
      </c>
    </row>
    <row r="58" spans="1:17" ht="15.75" x14ac:dyDescent="0.3">
      <c r="A58" s="43">
        <v>45892</v>
      </c>
      <c r="B58" s="44" t="str">
        <f>TEXT(MotorPHSales[[#This Row],[Date]],"mmmm")</f>
        <v>August</v>
      </c>
      <c r="C58" s="44">
        <f>DAY(MotorPHSales[[#This Row],[Date]])</f>
        <v>23</v>
      </c>
      <c r="D58" s="44">
        <f>YEAR(MotorPHSales[[#This Row],[Date]])</f>
        <v>2025</v>
      </c>
      <c r="E58" s="44" t="s">
        <v>196</v>
      </c>
      <c r="F58" s="44" t="s">
        <v>40</v>
      </c>
      <c r="G58" s="45">
        <v>210000</v>
      </c>
      <c r="H58" s="44">
        <v>11</v>
      </c>
      <c r="I58" s="45">
        <v>2310000</v>
      </c>
      <c r="J58" s="44" t="s">
        <v>198</v>
      </c>
      <c r="K58" s="44" t="str">
        <f>INDEX(CLEANED_MotorPH_Products_List_2!C:C,MATCH(MotorPHSales[[#This Row],[Product]],CLEANED_MotorPH_Products_List_2!$B:$B,0))</f>
        <v>Scooter</v>
      </c>
      <c r="L58" s="44" t="str">
        <f>INDEX(CLEANED_MotorPH_Products_List_2!E:E,MATCH(MotorPHSales[[#This Row],[Product]],CLEANED_MotorPH_Products_List_2!$B:$B,0))</f>
        <v>Single cylinder</v>
      </c>
      <c r="M58" s="44" t="str">
        <f>INDEX(CLEANED_MotorPH_Products_List_2!F:F,MATCH(MotorPHSales[[#This Row],[Product]],CLEANED_MotorPH_Products_List_2!$B:$B,0))</f>
        <v>air-cooled</v>
      </c>
      <c r="N58" s="44" t="str">
        <f>INDEX(CLEANED_MotorPH_Products_List_2!G:G,MATCH(MotorPHSales[[#This Row],[Product]],CLEANED_MotorPH_Products_List_2!$B:$B,0))</f>
        <v>150cc</v>
      </c>
      <c r="O58" s="44" t="str">
        <f>INDEX(CLEANED_MotorPH_Products_List_2!K:K,MATCH(MotorPHSales[[#This Row],[Product]],CLEANED_MotorPH_Products_List_2!B:B,0))</f>
        <v>Entry-level</v>
      </c>
      <c r="P58" s="45">
        <f>IF(MotorPHSales[[#This Row],[Segment]]="Entry-level",MotorPHSales[[#This Row],[UnitPrice]]/(1+30%),IF(MotorPHSales[[#This Row],[Segment]]="Mid-range",MotorPHSales[[#This Row],[UnitPrice]]/(1+35%),MotorPHSales[[#This Row],[UnitPrice]]/(1+40%)))*MotorPHSales[[#This Row],[Quantity]]</f>
        <v>1776923.0769230768</v>
      </c>
      <c r="Q58" s="44" t="str">
        <f>INDEX(CLEANED_MotorPH_Products_List_2!H:H,MATCH(MotorPHSales[[#This Row],[Product]],CLEANED_MotorPH_Products_List_2!$B:$B,0))</f>
        <v>CVT</v>
      </c>
    </row>
    <row r="59" spans="1:17" ht="15.75" x14ac:dyDescent="0.3">
      <c r="A59" s="43">
        <v>45900</v>
      </c>
      <c r="B59" s="44" t="str">
        <f>TEXT(MotorPHSales[[#This Row],[Date]],"mmmm")</f>
        <v>August</v>
      </c>
      <c r="C59" s="44">
        <f>DAY(MotorPHSales[[#This Row],[Date]])</f>
        <v>31</v>
      </c>
      <c r="D59" s="44">
        <f>YEAR(MotorPHSales[[#This Row],[Date]])</f>
        <v>2025</v>
      </c>
      <c r="E59" s="44" t="s">
        <v>196</v>
      </c>
      <c r="F59" s="44" t="s">
        <v>55</v>
      </c>
      <c r="G59" s="45">
        <v>80900</v>
      </c>
      <c r="H59" s="44">
        <v>31</v>
      </c>
      <c r="I59" s="45">
        <v>2507900</v>
      </c>
      <c r="J59" s="44" t="s">
        <v>197</v>
      </c>
      <c r="K59" s="44" t="str">
        <f>INDEX(CLEANED_MotorPH_Products_List_2!C:C,MATCH(MotorPHSales[[#This Row],[Product]],CLEANED_MotorPH_Products_List_2!$B:$B,0))</f>
        <v>Scooter</v>
      </c>
      <c r="L59" s="44" t="str">
        <f>INDEX(CLEANED_MotorPH_Products_List_2!E:E,MATCH(MotorPHSales[[#This Row],[Product]],CLEANED_MotorPH_Products_List_2!$B:$B,0))</f>
        <v>Single cylinder</v>
      </c>
      <c r="M59" s="44" t="str">
        <f>INDEX(CLEANED_MotorPH_Products_List_2!F:F,MATCH(MotorPHSales[[#This Row],[Product]],CLEANED_MotorPH_Products_List_2!$B:$B,0))</f>
        <v>liquid-cooled</v>
      </c>
      <c r="N59" s="44" t="str">
        <f>INDEX(CLEANED_MotorPH_Products_List_2!G:G,MATCH(MotorPHSales[[#This Row],[Product]],CLEANED_MotorPH_Products_List_2!$B:$B,0))</f>
        <v>125cc</v>
      </c>
      <c r="O59" s="44" t="str">
        <f>INDEX(CLEANED_MotorPH_Products_List_2!K:K,MATCH(MotorPHSales[[#This Row],[Product]],CLEANED_MotorPH_Products_List_2!B:B,0))</f>
        <v>Entry-level</v>
      </c>
      <c r="P59" s="45">
        <f>IF(MotorPHSales[[#This Row],[Segment]]="Entry-level",MotorPHSales[[#This Row],[UnitPrice]]/(1+30%),IF(MotorPHSales[[#This Row],[Segment]]="Mid-range",MotorPHSales[[#This Row],[UnitPrice]]/(1+35%),MotorPHSales[[#This Row],[UnitPrice]]/(1+40%)))*MotorPHSales[[#This Row],[Quantity]]</f>
        <v>1929153.846153846</v>
      </c>
      <c r="Q59" s="44" t="str">
        <f>INDEX(CLEANED_MotorPH_Products_List_2!H:H,MATCH(MotorPHSales[[#This Row],[Product]],CLEANED_MotorPH_Products_List_2!$B:$B,0))</f>
        <v>CVT</v>
      </c>
    </row>
    <row r="60" spans="1:17" ht="15.75" x14ac:dyDescent="0.3">
      <c r="A60" s="43">
        <v>45868</v>
      </c>
      <c r="B60" s="44" t="str">
        <f>TEXT(MotorPHSales[[#This Row],[Date]],"mmmm")</f>
        <v>July</v>
      </c>
      <c r="C60" s="44">
        <f>DAY(MotorPHSales[[#This Row],[Date]])</f>
        <v>30</v>
      </c>
      <c r="D60" s="44">
        <f>YEAR(MotorPHSales[[#This Row],[Date]])</f>
        <v>2025</v>
      </c>
      <c r="E60" s="44" t="s">
        <v>196</v>
      </c>
      <c r="F60" s="44" t="s">
        <v>80</v>
      </c>
      <c r="G60" s="45">
        <v>398000</v>
      </c>
      <c r="H60" s="44">
        <v>9</v>
      </c>
      <c r="I60" s="45">
        <v>3582000</v>
      </c>
      <c r="J60" s="44" t="s">
        <v>198</v>
      </c>
      <c r="K60" s="44" t="str">
        <f>INDEX(CLEANED_MotorPH_Products_List_2!C:C,MATCH(MotorPHSales[[#This Row],[Product]],CLEANED_MotorPH_Products_List_2!$B:$B,0))</f>
        <v>Scooter</v>
      </c>
      <c r="L60" s="44" t="str">
        <f>INDEX(CLEANED_MotorPH_Products_List_2!E:E,MATCH(MotorPHSales[[#This Row],[Product]],CLEANED_MotorPH_Products_List_2!$B:$B,0))</f>
        <v>Single cylinder</v>
      </c>
      <c r="M60" s="44" t="str">
        <f>INDEX(CLEANED_MotorPH_Products_List_2!F:F,MATCH(MotorPHSales[[#This Row],[Product]],CLEANED_MotorPH_Products_List_2!$B:$B,0))</f>
        <v>liquid-cooled</v>
      </c>
      <c r="N60" s="44" t="str">
        <f>INDEX(CLEANED_MotorPH_Products_List_2!G:G,MATCH(MotorPHSales[[#This Row],[Product]],CLEANED_MotorPH_Products_List_2!$B:$B,0))</f>
        <v>278cc</v>
      </c>
      <c r="O60" s="44" t="str">
        <f>INDEX(CLEANED_MotorPH_Products_List_2!K:K,MATCH(MotorPHSales[[#This Row],[Product]],CLEANED_MotorPH_Products_List_2!B:B,0))</f>
        <v>Mid-range</v>
      </c>
      <c r="P60" s="45">
        <f>IF(MotorPHSales[[#This Row],[Segment]]="Entry-level",MotorPHSales[[#This Row],[UnitPrice]]/(1+30%),IF(MotorPHSales[[#This Row],[Segment]]="Mid-range",MotorPHSales[[#This Row],[UnitPrice]]/(1+35%),MotorPHSales[[#This Row],[UnitPrice]]/(1+40%)))*MotorPHSales[[#This Row],[Quantity]]</f>
        <v>2653333.333333333</v>
      </c>
      <c r="Q60" s="44" t="str">
        <f>INDEX(CLEANED_MotorPH_Products_List_2!H:H,MATCH(MotorPHSales[[#This Row],[Product]],CLEANED_MotorPH_Products_List_2!$B:$B,0))</f>
        <v>CVT</v>
      </c>
    </row>
    <row r="61" spans="1:17" ht="15.75" x14ac:dyDescent="0.3">
      <c r="A61" s="43">
        <v>45879</v>
      </c>
      <c r="B61" s="44" t="str">
        <f>TEXT(MotorPHSales[[#This Row],[Date]],"mmmm")</f>
        <v>August</v>
      </c>
      <c r="C61" s="44">
        <f>DAY(MotorPHSales[[#This Row],[Date]])</f>
        <v>10</v>
      </c>
      <c r="D61" s="44">
        <f>YEAR(MotorPHSales[[#This Row],[Date]])</f>
        <v>2025</v>
      </c>
      <c r="E61" s="44" t="s">
        <v>196</v>
      </c>
      <c r="F61" s="44" t="s">
        <v>70</v>
      </c>
      <c r="G61" s="45">
        <v>219000</v>
      </c>
      <c r="H61" s="44">
        <v>10</v>
      </c>
      <c r="I61" s="45">
        <v>2190000</v>
      </c>
      <c r="J61" s="44" t="s">
        <v>197</v>
      </c>
      <c r="K61" s="44" t="str">
        <f>INDEX(CLEANED_MotorPH_Products_List_2!C:C,MATCH(MotorPHSales[[#This Row],[Product]],CLEANED_MotorPH_Products_List_2!$B:$B,0))</f>
        <v>Scooter</v>
      </c>
      <c r="L61" s="44" t="str">
        <f>INDEX(CLEANED_MotorPH_Products_List_2!E:E,MATCH(MotorPHSales[[#This Row],[Product]],CLEANED_MotorPH_Products_List_2!$B:$B,0))</f>
        <v>Single cylinder</v>
      </c>
      <c r="M61" s="44" t="str">
        <f>INDEX(CLEANED_MotorPH_Products_List_2!F:F,MATCH(MotorPHSales[[#This Row],[Product]],CLEANED_MotorPH_Products_List_2!$B:$B,0))</f>
        <v>liquid-cooled</v>
      </c>
      <c r="N61" s="44" t="str">
        <f>INDEX(CLEANED_MotorPH_Products_List_2!G:G,MATCH(MotorPHSales[[#This Row],[Product]],CLEANED_MotorPH_Products_List_2!$B:$B,0))</f>
        <v>174cc</v>
      </c>
      <c r="O61" s="44" t="str">
        <f>INDEX(CLEANED_MotorPH_Products_List_2!K:K,MATCH(MotorPHSales[[#This Row],[Product]],CLEANED_MotorPH_Products_List_2!B:B,0))</f>
        <v>Entry-level</v>
      </c>
      <c r="P61" s="45">
        <f>IF(MotorPHSales[[#This Row],[Segment]]="Entry-level",MotorPHSales[[#This Row],[UnitPrice]]/(1+30%),IF(MotorPHSales[[#This Row],[Segment]]="Mid-range",MotorPHSales[[#This Row],[UnitPrice]]/(1+35%),MotorPHSales[[#This Row],[UnitPrice]]/(1+40%)))*MotorPHSales[[#This Row],[Quantity]]</f>
        <v>1684615.3846153847</v>
      </c>
      <c r="Q61" s="44" t="str">
        <f>INDEX(CLEANED_MotorPH_Products_List_2!H:H,MATCH(MotorPHSales[[#This Row],[Product]],CLEANED_MotorPH_Products_List_2!$B:$B,0))</f>
        <v>CVT</v>
      </c>
    </row>
    <row r="62" spans="1:17" ht="15.75" x14ac:dyDescent="0.3">
      <c r="A62" s="43">
        <v>45852</v>
      </c>
      <c r="B62" s="44" t="str">
        <f>TEXT(MotorPHSales[[#This Row],[Date]],"mmmm")</f>
        <v>July</v>
      </c>
      <c r="C62" s="44">
        <f>DAY(MotorPHSales[[#This Row],[Date]])</f>
        <v>14</v>
      </c>
      <c r="D62" s="44">
        <f>YEAR(MotorPHSales[[#This Row],[Date]])</f>
        <v>2025</v>
      </c>
      <c r="E62" s="44" t="s">
        <v>196</v>
      </c>
      <c r="F62" s="44" t="s">
        <v>24</v>
      </c>
      <c r="G62" s="45">
        <v>199900</v>
      </c>
      <c r="H62" s="44">
        <v>7</v>
      </c>
      <c r="I62" s="45">
        <v>1399300</v>
      </c>
      <c r="J62" s="44" t="s">
        <v>198</v>
      </c>
      <c r="K62" s="44" t="str">
        <f>INDEX(CLEANED_MotorPH_Products_List_2!C:C,MATCH(MotorPHSales[[#This Row],[Product]],CLEANED_MotorPH_Products_List_2!$B:$B,0))</f>
        <v>Sport touring</v>
      </c>
      <c r="L62" s="44" t="str">
        <f>INDEX(CLEANED_MotorPH_Products_List_2!E:E,MATCH(MotorPHSales[[#This Row],[Product]],CLEANED_MotorPH_Products_List_2!$B:$B,0))</f>
        <v>Single cylinder</v>
      </c>
      <c r="M62" s="44" t="str">
        <f>INDEX(CLEANED_MotorPH_Products_List_2!F:F,MATCH(MotorPHSales[[#This Row],[Product]],CLEANED_MotorPH_Products_List_2!$B:$B,0))</f>
        <v>liquid-cooled</v>
      </c>
      <c r="N62" s="44" t="str">
        <f>INDEX(CLEANED_MotorPH_Products_List_2!G:G,MATCH(MotorPHSales[[#This Row],[Product]],CLEANED_MotorPH_Products_List_2!$B:$B,0))</f>
        <v>373cc</v>
      </c>
      <c r="O62" s="44" t="str">
        <f>INDEX(CLEANED_MotorPH_Products_List_2!K:K,MATCH(MotorPHSales[[#This Row],[Product]],CLEANED_MotorPH_Products_List_2!B:B,0))</f>
        <v>Mid-range</v>
      </c>
      <c r="P62" s="45">
        <f>IF(MotorPHSales[[#This Row],[Segment]]="Entry-level",MotorPHSales[[#This Row],[UnitPrice]]/(1+30%),IF(MotorPHSales[[#This Row],[Segment]]="Mid-range",MotorPHSales[[#This Row],[UnitPrice]]/(1+35%),MotorPHSales[[#This Row],[UnitPrice]]/(1+40%)))*MotorPHSales[[#This Row],[Quantity]]</f>
        <v>1036518.5185185185</v>
      </c>
      <c r="Q62" s="44" t="str">
        <f>INDEX(CLEANED_MotorPH_Products_List_2!H:H,MATCH(MotorPHSales[[#This Row],[Product]],CLEANED_MotorPH_Products_List_2!$B:$B,0))</f>
        <v>6-speed</v>
      </c>
    </row>
    <row r="63" spans="1:17" ht="15.75" x14ac:dyDescent="0.3">
      <c r="A63" s="43">
        <v>45816</v>
      </c>
      <c r="B63" s="44" t="str">
        <f>TEXT(MotorPHSales[[#This Row],[Date]],"mmmm")</f>
        <v>June</v>
      </c>
      <c r="C63" s="44">
        <f>DAY(MotorPHSales[[#This Row],[Date]])</f>
        <v>8</v>
      </c>
      <c r="D63" s="44">
        <f>YEAR(MotorPHSales[[#This Row],[Date]])</f>
        <v>2025</v>
      </c>
      <c r="E63" s="44" t="s">
        <v>196</v>
      </c>
      <c r="F63" s="44" t="s">
        <v>76</v>
      </c>
      <c r="G63" s="45">
        <v>369000</v>
      </c>
      <c r="H63" s="44">
        <v>27</v>
      </c>
      <c r="I63" s="45">
        <v>9963000</v>
      </c>
      <c r="J63" s="44" t="s">
        <v>195</v>
      </c>
      <c r="K63" s="44" t="str">
        <f>INDEX(CLEANED_MotorPH_Products_List_2!C:C,MATCH(MotorPHSales[[#This Row],[Product]],CLEANED_MotorPH_Products_List_2!$B:$B,0))</f>
        <v>Adventure</v>
      </c>
      <c r="L63" s="44" t="str">
        <f>INDEX(CLEANED_MotorPH_Products_List_2!E:E,MATCH(MotorPHSales[[#This Row],[Product]],CLEANED_MotorPH_Products_List_2!$B:$B,0))</f>
        <v>Parallel-twin</v>
      </c>
      <c r="M63" s="44" t="str">
        <f>INDEX(CLEANED_MotorPH_Products_List_2!F:F,MATCH(MotorPHSales[[#This Row],[Product]],CLEANED_MotorPH_Products_List_2!$B:$B,0))</f>
        <v>liquid-cooled</v>
      </c>
      <c r="N63" s="44" t="str">
        <f>INDEX(CLEANED_MotorPH_Products_List_2!G:G,MATCH(MotorPHSales[[#This Row],[Product]],CLEANED_MotorPH_Products_List_2!$B:$B,0))</f>
        <v>649cc</v>
      </c>
      <c r="O63" s="44" t="str">
        <f>INDEX(CLEANED_MotorPH_Products_List_2!K:K,MATCH(MotorPHSales[[#This Row],[Product]],CLEANED_MotorPH_Products_List_2!B:B,0))</f>
        <v>Premium</v>
      </c>
      <c r="P63" s="45">
        <f>IF(MotorPHSales[[#This Row],[Segment]]="Entry-level",MotorPHSales[[#This Row],[UnitPrice]]/(1+30%),IF(MotorPHSales[[#This Row],[Segment]]="Mid-range",MotorPHSales[[#This Row],[UnitPrice]]/(1+35%),MotorPHSales[[#This Row],[UnitPrice]]/(1+40%)))*MotorPHSales[[#This Row],[Quantity]]</f>
        <v>7116428.5714285718</v>
      </c>
      <c r="Q63" s="44" t="str">
        <f>INDEX(CLEANED_MotorPH_Products_List_2!H:H,MATCH(MotorPHSales[[#This Row],[Product]],CLEANED_MotorPH_Products_List_2!$B:$B,0))</f>
        <v>6-speed</v>
      </c>
    </row>
    <row r="64" spans="1:17" ht="15.75" x14ac:dyDescent="0.3">
      <c r="A64" s="43">
        <v>45855</v>
      </c>
      <c r="B64" s="44" t="str">
        <f>TEXT(MotorPHSales[[#This Row],[Date]],"mmmm")</f>
        <v>July</v>
      </c>
      <c r="C64" s="44">
        <f>DAY(MotorPHSales[[#This Row],[Date]])</f>
        <v>17</v>
      </c>
      <c r="D64" s="44">
        <f>YEAR(MotorPHSales[[#This Row],[Date]])</f>
        <v>2025</v>
      </c>
      <c r="E64" s="44" t="s">
        <v>196</v>
      </c>
      <c r="F64" s="44" t="s">
        <v>97</v>
      </c>
      <c r="G64" s="45">
        <v>269000</v>
      </c>
      <c r="H64" s="44">
        <v>4</v>
      </c>
      <c r="I64" s="45">
        <v>1076000</v>
      </c>
      <c r="J64" s="44" t="s">
        <v>198</v>
      </c>
      <c r="K64" s="44" t="str">
        <f>INDEX(CLEANED_MotorPH_Products_List_2!C:C,MATCH(MotorPHSales[[#This Row],[Product]],CLEANED_MotorPH_Products_List_2!$B:$B,0))</f>
        <v>Cafe racer</v>
      </c>
      <c r="L64" s="44" t="str">
        <f>INDEX(CLEANED_MotorPH_Products_List_2!E:E,MATCH(MotorPHSales[[#This Row],[Product]],CLEANED_MotorPH_Products_List_2!$B:$B,0))</f>
        <v>Single cylinder</v>
      </c>
      <c r="M64" s="44" t="str">
        <f>INDEX(CLEANED_MotorPH_Products_List_2!F:F,MATCH(MotorPHSales[[#This Row],[Product]],CLEANED_MotorPH_Products_List_2!$B:$B,0))</f>
        <v>liquid-cooled</v>
      </c>
      <c r="N64" s="44" t="str">
        <f>INDEX(CLEANED_MotorPH_Products_List_2!G:G,MATCH(MotorPHSales[[#This Row],[Product]],CLEANED_MotorPH_Products_List_2!$B:$B,0))</f>
        <v>348cc</v>
      </c>
      <c r="O64" s="44" t="str">
        <f>INDEX(CLEANED_MotorPH_Products_List_2!K:K,MATCH(MotorPHSales[[#This Row],[Product]],CLEANED_MotorPH_Products_List_2!B:B,0))</f>
        <v>Mid-range</v>
      </c>
      <c r="P64" s="45">
        <f>IF(MotorPHSales[[#This Row],[Segment]]="Entry-level",MotorPHSales[[#This Row],[UnitPrice]]/(1+30%),IF(MotorPHSales[[#This Row],[Segment]]="Mid-range",MotorPHSales[[#This Row],[UnitPrice]]/(1+35%),MotorPHSales[[#This Row],[UnitPrice]]/(1+40%)))*MotorPHSales[[#This Row],[Quantity]]</f>
        <v>797037.03703703696</v>
      </c>
      <c r="Q64" s="44" t="str">
        <f>INDEX(CLEANED_MotorPH_Products_List_2!H:H,MATCH(MotorPHSales[[#This Row],[Product]],CLEANED_MotorPH_Products_List_2!$B:$B,0))</f>
        <v>6-speed</v>
      </c>
    </row>
    <row r="65" spans="1:17" ht="15.75" x14ac:dyDescent="0.3">
      <c r="A65" s="43">
        <v>45843</v>
      </c>
      <c r="B65" s="44" t="str">
        <f>TEXT(MotorPHSales[[#This Row],[Date]],"mmmm")</f>
        <v>July</v>
      </c>
      <c r="C65" s="44">
        <f>DAY(MotorPHSales[[#This Row],[Date]])</f>
        <v>5</v>
      </c>
      <c r="D65" s="44">
        <f>YEAR(MotorPHSales[[#This Row],[Date]])</f>
        <v>2025</v>
      </c>
      <c r="E65" s="44" t="s">
        <v>196</v>
      </c>
      <c r="F65" s="44" t="s">
        <v>51</v>
      </c>
      <c r="G65" s="45">
        <v>78900</v>
      </c>
      <c r="H65" s="44">
        <v>10</v>
      </c>
      <c r="I65" s="45">
        <v>789000</v>
      </c>
      <c r="J65" s="44" t="s">
        <v>197</v>
      </c>
      <c r="K65" s="44" t="str">
        <f>INDEX(CLEANED_MotorPH_Products_List_2!C:C,MATCH(MotorPHSales[[#This Row],[Product]],CLEANED_MotorPH_Products_List_2!$B:$B,0))</f>
        <v>Adventure</v>
      </c>
      <c r="L65" s="44" t="str">
        <f>INDEX(CLEANED_MotorPH_Products_List_2!E:E,MATCH(MotorPHSales[[#This Row],[Product]],CLEANED_MotorPH_Products_List_2!$B:$B,0))</f>
        <v>Single cylinder</v>
      </c>
      <c r="M65" s="44" t="str">
        <f>INDEX(CLEANED_MotorPH_Products_List_2!F:F,MATCH(MotorPHSales[[#This Row],[Product]],CLEANED_MotorPH_Products_List_2!$B:$B,0))</f>
        <v>oil-cooled</v>
      </c>
      <c r="N65" s="44" t="str">
        <f>INDEX(CLEANED_MotorPH_Products_List_2!G:G,MATCH(MotorPHSales[[#This Row],[Product]],CLEANED_MotorPH_Products_List_2!$B:$B,0))</f>
        <v>223cc</v>
      </c>
      <c r="O65" s="44" t="str">
        <f>INDEX(CLEANED_MotorPH_Products_List_2!K:K,MATCH(MotorPHSales[[#This Row],[Product]],CLEANED_MotorPH_Products_List_2!B:B,0))</f>
        <v>Mid-range</v>
      </c>
      <c r="P65" s="45">
        <f>IF(MotorPHSales[[#This Row],[Segment]]="Entry-level",MotorPHSales[[#This Row],[UnitPrice]]/(1+30%),IF(MotorPHSales[[#This Row],[Segment]]="Mid-range",MotorPHSales[[#This Row],[UnitPrice]]/(1+35%),MotorPHSales[[#This Row],[UnitPrice]]/(1+40%)))*MotorPHSales[[#This Row],[Quantity]]</f>
        <v>584444.44444444438</v>
      </c>
      <c r="Q65" s="44" t="str">
        <f>INDEX(CLEANED_MotorPH_Products_List_2!H:H,MATCH(MotorPHSales[[#This Row],[Product]],CLEANED_MotorPH_Products_List_2!$B:$B,0))</f>
        <v>6-speed</v>
      </c>
    </row>
    <row r="66" spans="1:17" ht="15.75" x14ac:dyDescent="0.3">
      <c r="A66" s="43">
        <v>45658</v>
      </c>
      <c r="B66" s="44" t="str">
        <f>TEXT(MotorPHSales[[#This Row],[Date]],"mmmm")</f>
        <v>January</v>
      </c>
      <c r="C66" s="44">
        <f>DAY(MotorPHSales[[#This Row],[Date]])</f>
        <v>1</v>
      </c>
      <c r="D66" s="44">
        <f>YEAR(MotorPHSales[[#This Row],[Date]])</f>
        <v>2025</v>
      </c>
      <c r="E66" s="44" t="s">
        <v>194</v>
      </c>
      <c r="F66" s="44" t="s">
        <v>40</v>
      </c>
      <c r="G66" s="45">
        <v>210000</v>
      </c>
      <c r="H66" s="44">
        <v>31</v>
      </c>
      <c r="I66" s="45">
        <v>6510000</v>
      </c>
      <c r="J66" s="44" t="s">
        <v>197</v>
      </c>
      <c r="K66" s="44" t="str">
        <f>INDEX(CLEANED_MotorPH_Products_List_2!C:C,MATCH(MotorPHSales[[#This Row],[Product]],CLEANED_MotorPH_Products_List_2!$B:$B,0))</f>
        <v>Scooter</v>
      </c>
      <c r="L66" s="44" t="str">
        <f>INDEX(CLEANED_MotorPH_Products_List_2!E:E,MATCH(MotorPHSales[[#This Row],[Product]],CLEANED_MotorPH_Products_List_2!$B:$B,0))</f>
        <v>Single cylinder</v>
      </c>
      <c r="M66" s="44" t="str">
        <f>INDEX(CLEANED_MotorPH_Products_List_2!F:F,MATCH(MotorPHSales[[#This Row],[Product]],CLEANED_MotorPH_Products_List_2!$B:$B,0))</f>
        <v>air-cooled</v>
      </c>
      <c r="N66" s="44" t="str">
        <f>INDEX(CLEANED_MotorPH_Products_List_2!G:G,MATCH(MotorPHSales[[#This Row],[Product]],CLEANED_MotorPH_Products_List_2!$B:$B,0))</f>
        <v>150cc</v>
      </c>
      <c r="O66" s="44" t="str">
        <f>INDEX(CLEANED_MotorPH_Products_List_2!K:K,MATCH(MotorPHSales[[#This Row],[Product]],CLEANED_MotorPH_Products_List_2!B:B,0))</f>
        <v>Entry-level</v>
      </c>
      <c r="P66" s="45">
        <f>IF(MotorPHSales[[#This Row],[Segment]]="Entry-level",MotorPHSales[[#This Row],[UnitPrice]]/(1+30%),IF(MotorPHSales[[#This Row],[Segment]]="Mid-range",MotorPHSales[[#This Row],[UnitPrice]]/(1+35%),MotorPHSales[[#This Row],[UnitPrice]]/(1+40%)))*MotorPHSales[[#This Row],[Quantity]]</f>
        <v>5007692.307692307</v>
      </c>
      <c r="Q66" s="44" t="str">
        <f>INDEX(CLEANED_MotorPH_Products_List_2!H:H,MATCH(MotorPHSales[[#This Row],[Product]],CLEANED_MotorPH_Products_List_2!$B:$B,0))</f>
        <v>CVT</v>
      </c>
    </row>
    <row r="67" spans="1:17" ht="15.75" x14ac:dyDescent="0.3">
      <c r="A67" s="43">
        <v>45889</v>
      </c>
      <c r="B67" s="44" t="str">
        <f>TEXT(MotorPHSales[[#This Row],[Date]],"mmmm")</f>
        <v>August</v>
      </c>
      <c r="C67" s="44">
        <f>DAY(MotorPHSales[[#This Row],[Date]])</f>
        <v>20</v>
      </c>
      <c r="D67" s="44">
        <f>YEAR(MotorPHSales[[#This Row],[Date]])</f>
        <v>2025</v>
      </c>
      <c r="E67" s="44" t="s">
        <v>194</v>
      </c>
      <c r="F67" s="44" t="s">
        <v>82</v>
      </c>
      <c r="G67" s="45">
        <v>199000</v>
      </c>
      <c r="H67" s="44">
        <v>5</v>
      </c>
      <c r="I67" s="45">
        <v>995000</v>
      </c>
      <c r="J67" s="44" t="s">
        <v>198</v>
      </c>
      <c r="K67" s="44" t="str">
        <f>INDEX(CLEANED_MotorPH_Products_List_2!C:C,MATCH(MotorPHSales[[#This Row],[Product]],CLEANED_MotorPH_Products_List_2!$B:$B,0))</f>
        <v>Dual-sport</v>
      </c>
      <c r="L67" s="44" t="str">
        <f>INDEX(CLEANED_MotorPH_Products_List_2!E:E,MATCH(MotorPHSales[[#This Row],[Product]],CLEANED_MotorPH_Products_List_2!$B:$B,0))</f>
        <v>Single cylinder</v>
      </c>
      <c r="M67" s="44" t="str">
        <f>INDEX(CLEANED_MotorPH_Products_List_2!F:F,MATCH(MotorPHSales[[#This Row],[Product]],CLEANED_MotorPH_Products_List_2!$B:$B,0))</f>
        <v>air-cooled</v>
      </c>
      <c r="N67" s="44" t="str">
        <f>INDEX(CLEANED_MotorPH_Products_List_2!G:G,MATCH(MotorPHSales[[#This Row],[Product]],CLEANED_MotorPH_Products_List_2!$B:$B,0))</f>
        <v>233cc</v>
      </c>
      <c r="O67" s="44" t="str">
        <f>INDEX(CLEANED_MotorPH_Products_List_2!K:K,MATCH(MotorPHSales[[#This Row],[Product]],CLEANED_MotorPH_Products_List_2!B:B,0))</f>
        <v>Mid-range</v>
      </c>
      <c r="P67" s="45">
        <f>IF(MotorPHSales[[#This Row],[Segment]]="Entry-level",MotorPHSales[[#This Row],[UnitPrice]]/(1+30%),IF(MotorPHSales[[#This Row],[Segment]]="Mid-range",MotorPHSales[[#This Row],[UnitPrice]]/(1+35%),MotorPHSales[[#This Row],[UnitPrice]]/(1+40%)))*MotorPHSales[[#This Row],[Quantity]]</f>
        <v>737037.03703703696</v>
      </c>
      <c r="Q67" s="44" t="str">
        <f>INDEX(CLEANED_MotorPH_Products_List_2!H:H,MATCH(MotorPHSales[[#This Row],[Product]],CLEANED_MotorPH_Products_List_2!$B:$B,0))</f>
        <v>6-speed</v>
      </c>
    </row>
    <row r="68" spans="1:17" ht="15.75" x14ac:dyDescent="0.3">
      <c r="A68" s="43">
        <v>45844</v>
      </c>
      <c r="B68" s="44" t="str">
        <f>TEXT(MotorPHSales[[#This Row],[Date]],"mmmm")</f>
        <v>July</v>
      </c>
      <c r="C68" s="44">
        <f>DAY(MotorPHSales[[#This Row],[Date]])</f>
        <v>6</v>
      </c>
      <c r="D68" s="44">
        <f>YEAR(MotorPHSales[[#This Row],[Date]])</f>
        <v>2025</v>
      </c>
      <c r="E68" s="44" t="s">
        <v>194</v>
      </c>
      <c r="F68" s="44" t="s">
        <v>59</v>
      </c>
      <c r="G68" s="45">
        <v>67900</v>
      </c>
      <c r="H68" s="44">
        <v>17</v>
      </c>
      <c r="I68" s="45">
        <v>1154300</v>
      </c>
      <c r="J68" s="44" t="s">
        <v>198</v>
      </c>
      <c r="K68" s="44" t="str">
        <f>INDEX(CLEANED_MotorPH_Products_List_2!C:C,MATCH(MotorPHSales[[#This Row],[Product]],CLEANED_MotorPH_Products_List_2!$B:$B,0))</f>
        <v>Commuter</v>
      </c>
      <c r="L68" s="44" t="str">
        <f>INDEX(CLEANED_MotorPH_Products_List_2!E:E,MATCH(MotorPHSales[[#This Row],[Product]],CLEANED_MotorPH_Products_List_2!$B:$B,0))</f>
        <v>Single cylinder</v>
      </c>
      <c r="M68" s="44" t="str">
        <f>INDEX(CLEANED_MotorPH_Products_List_2!F:F,MATCH(MotorPHSales[[#This Row],[Product]],CLEANED_MotorPH_Products_List_2!$B:$B,0))</f>
        <v>air-cooled</v>
      </c>
      <c r="N68" s="44" t="str">
        <f>INDEX(CLEANED_MotorPH_Products_List_2!G:G,MATCH(MotorPHSales[[#This Row],[Product]],CLEANED_MotorPH_Products_List_2!$B:$B,0))</f>
        <v>125cc</v>
      </c>
      <c r="O68" s="44" t="str">
        <f>INDEX(CLEANED_MotorPH_Products_List_2!K:K,MATCH(MotorPHSales[[#This Row],[Product]],CLEANED_MotorPH_Products_List_2!B:B,0))</f>
        <v>Entry-level</v>
      </c>
      <c r="P68" s="45">
        <f>IF(MotorPHSales[[#This Row],[Segment]]="Entry-level",MotorPHSales[[#This Row],[UnitPrice]]/(1+30%),IF(MotorPHSales[[#This Row],[Segment]]="Mid-range",MotorPHSales[[#This Row],[UnitPrice]]/(1+35%),MotorPHSales[[#This Row],[UnitPrice]]/(1+40%)))*MotorPHSales[[#This Row],[Quantity]]</f>
        <v>887923.07692307688</v>
      </c>
      <c r="Q68" s="44" t="str">
        <f>INDEX(CLEANED_MotorPH_Products_List_2!H:H,MATCH(MotorPHSales[[#This Row],[Product]],CLEANED_MotorPH_Products_List_2!$B:$B,0))</f>
        <v>4-speed</v>
      </c>
    </row>
    <row r="69" spans="1:17" ht="15.75" x14ac:dyDescent="0.3">
      <c r="A69" s="43">
        <v>45858</v>
      </c>
      <c r="B69" s="44" t="str">
        <f>TEXT(MotorPHSales[[#This Row],[Date]],"mmmm")</f>
        <v>July</v>
      </c>
      <c r="C69" s="44">
        <f>DAY(MotorPHSales[[#This Row],[Date]])</f>
        <v>20</v>
      </c>
      <c r="D69" s="44">
        <f>YEAR(MotorPHSales[[#This Row],[Date]])</f>
        <v>2025</v>
      </c>
      <c r="E69" s="44" t="s">
        <v>196</v>
      </c>
      <c r="F69" s="44" t="s">
        <v>6</v>
      </c>
      <c r="G69" s="45">
        <v>389000</v>
      </c>
      <c r="H69" s="44">
        <v>18</v>
      </c>
      <c r="I69" s="45">
        <v>7002000</v>
      </c>
      <c r="J69" s="44" t="s">
        <v>195</v>
      </c>
      <c r="K69" s="44" t="str">
        <f>INDEX(CLEANED_MotorPH_Products_List_2!C:C,MATCH(MotorPHSales[[#This Row],[Product]],CLEANED_MotorPH_Products_List_2!$B:$B,0))</f>
        <v>Sport</v>
      </c>
      <c r="L69" s="44" t="str">
        <f>INDEX(CLEANED_MotorPH_Products_List_2!E:E,MATCH(MotorPHSales[[#This Row],[Product]],CLEANED_MotorPH_Products_List_2!$B:$B,0))</f>
        <v>Parallel-twin</v>
      </c>
      <c r="M69" s="44" t="str">
        <f>INDEX(CLEANED_MotorPH_Products_List_2!F:F,MATCH(MotorPHSales[[#This Row],[Product]],CLEANED_MotorPH_Products_List_2!$B:$B,0))</f>
        <v>liquid-cooled</v>
      </c>
      <c r="N69" s="44" t="str">
        <f>INDEX(CLEANED_MotorPH_Products_List_2!G:G,MATCH(MotorPHSales[[#This Row],[Product]],CLEANED_MotorPH_Products_List_2!$B:$B,0))</f>
        <v>471cc</v>
      </c>
      <c r="O69" s="44" t="str">
        <f>INDEX(CLEANED_MotorPH_Products_List_2!K:K,MATCH(MotorPHSales[[#This Row],[Product]],CLEANED_MotorPH_Products_List_2!B:B,0))</f>
        <v>Mid-range</v>
      </c>
      <c r="P69" s="45">
        <f>IF(MotorPHSales[[#This Row],[Segment]]="Entry-level",MotorPHSales[[#This Row],[UnitPrice]]/(1+30%),IF(MotorPHSales[[#This Row],[Segment]]="Mid-range",MotorPHSales[[#This Row],[UnitPrice]]/(1+35%),MotorPHSales[[#This Row],[UnitPrice]]/(1+40%)))*MotorPHSales[[#This Row],[Quantity]]</f>
        <v>5186666.666666667</v>
      </c>
      <c r="Q69" s="44" t="str">
        <f>INDEX(CLEANED_MotorPH_Products_List_2!H:H,MATCH(MotorPHSales[[#This Row],[Product]],CLEANED_MotorPH_Products_List_2!$B:$B,0))</f>
        <v>6-speed</v>
      </c>
    </row>
    <row r="70" spans="1:17" ht="15.75" x14ac:dyDescent="0.3">
      <c r="A70" s="43">
        <v>45812</v>
      </c>
      <c r="B70" s="44" t="str">
        <f>TEXT(MotorPHSales[[#This Row],[Date]],"mmmm")</f>
        <v>June</v>
      </c>
      <c r="C70" s="44">
        <f>DAY(MotorPHSales[[#This Row],[Date]])</f>
        <v>4</v>
      </c>
      <c r="D70" s="44">
        <f>YEAR(MotorPHSales[[#This Row],[Date]])</f>
        <v>2025</v>
      </c>
      <c r="E70" s="44" t="s">
        <v>196</v>
      </c>
      <c r="F70" s="44" t="s">
        <v>59</v>
      </c>
      <c r="G70" s="45">
        <v>67900</v>
      </c>
      <c r="H70" s="44">
        <v>20</v>
      </c>
      <c r="I70" s="45">
        <v>1358000</v>
      </c>
      <c r="J70" s="44" t="s">
        <v>198</v>
      </c>
      <c r="K70" s="44" t="str">
        <f>INDEX(CLEANED_MotorPH_Products_List_2!C:C,MATCH(MotorPHSales[[#This Row],[Product]],CLEANED_MotorPH_Products_List_2!$B:$B,0))</f>
        <v>Commuter</v>
      </c>
      <c r="L70" s="44" t="str">
        <f>INDEX(CLEANED_MotorPH_Products_List_2!E:E,MATCH(MotorPHSales[[#This Row],[Product]],CLEANED_MotorPH_Products_List_2!$B:$B,0))</f>
        <v>Single cylinder</v>
      </c>
      <c r="M70" s="44" t="str">
        <f>INDEX(CLEANED_MotorPH_Products_List_2!F:F,MATCH(MotorPHSales[[#This Row],[Product]],CLEANED_MotorPH_Products_List_2!$B:$B,0))</f>
        <v>air-cooled</v>
      </c>
      <c r="N70" s="44" t="str">
        <f>INDEX(CLEANED_MotorPH_Products_List_2!G:G,MATCH(MotorPHSales[[#This Row],[Product]],CLEANED_MotorPH_Products_List_2!$B:$B,0))</f>
        <v>125cc</v>
      </c>
      <c r="O70" s="44" t="str">
        <f>INDEX(CLEANED_MotorPH_Products_List_2!K:K,MATCH(MotorPHSales[[#This Row],[Product]],CLEANED_MotorPH_Products_List_2!B:B,0))</f>
        <v>Entry-level</v>
      </c>
      <c r="P70" s="45">
        <f>IF(MotorPHSales[[#This Row],[Segment]]="Entry-level",MotorPHSales[[#This Row],[UnitPrice]]/(1+30%),IF(MotorPHSales[[#This Row],[Segment]]="Mid-range",MotorPHSales[[#This Row],[UnitPrice]]/(1+35%),MotorPHSales[[#This Row],[UnitPrice]]/(1+40%)))*MotorPHSales[[#This Row],[Quantity]]</f>
        <v>1044615.3846153845</v>
      </c>
      <c r="Q70" s="44" t="str">
        <f>INDEX(CLEANED_MotorPH_Products_List_2!H:H,MATCH(MotorPHSales[[#This Row],[Product]],CLEANED_MotorPH_Products_List_2!$B:$B,0))</f>
        <v>4-speed</v>
      </c>
    </row>
    <row r="71" spans="1:17" ht="15.75" x14ac:dyDescent="0.3">
      <c r="A71" s="43">
        <v>45810</v>
      </c>
      <c r="B71" s="44" t="str">
        <f>TEXT(MotorPHSales[[#This Row],[Date]],"mmmm")</f>
        <v>June</v>
      </c>
      <c r="C71" s="44">
        <f>DAY(MotorPHSales[[#This Row],[Date]])</f>
        <v>2</v>
      </c>
      <c r="D71" s="44">
        <f>YEAR(MotorPHSales[[#This Row],[Date]])</f>
        <v>2025</v>
      </c>
      <c r="E71" s="44" t="s">
        <v>196</v>
      </c>
      <c r="F71" s="44" t="s">
        <v>44</v>
      </c>
      <c r="G71" s="45">
        <v>331000</v>
      </c>
      <c r="H71" s="44">
        <v>15</v>
      </c>
      <c r="I71" s="45">
        <v>4965000</v>
      </c>
      <c r="J71" s="44" t="s">
        <v>198</v>
      </c>
      <c r="K71" s="44" t="str">
        <f>INDEX(CLEANED_MotorPH_Products_List_2!C:C,MATCH(MotorPHSales[[#This Row],[Product]],CLEANED_MotorPH_Products_List_2!$B:$B,0))</f>
        <v>Naked bike</v>
      </c>
      <c r="L71" s="44" t="str">
        <f>INDEX(CLEANED_MotorPH_Products_List_2!E:E,MATCH(MotorPHSales[[#This Row],[Product]],CLEANED_MotorPH_Products_List_2!$B:$B,0))</f>
        <v>Parallel-twin</v>
      </c>
      <c r="M71" s="44" t="str">
        <f>INDEX(CLEANED_MotorPH_Products_List_2!F:F,MATCH(MotorPHSales[[#This Row],[Product]],CLEANED_MotorPH_Products_List_2!$B:$B,0))</f>
        <v>liquid-cooled</v>
      </c>
      <c r="N71" s="44" t="str">
        <f>INDEX(CLEANED_MotorPH_Products_List_2!G:G,MATCH(MotorPHSales[[#This Row],[Product]],CLEANED_MotorPH_Products_List_2!$B:$B,0))</f>
        <v>399cc</v>
      </c>
      <c r="O71" s="44" t="str">
        <f>INDEX(CLEANED_MotorPH_Products_List_2!K:K,MATCH(MotorPHSales[[#This Row],[Product]],CLEANED_MotorPH_Products_List_2!B:B,0))</f>
        <v>Mid-range</v>
      </c>
      <c r="P71" s="45">
        <f>IF(MotorPHSales[[#This Row],[Segment]]="Entry-level",MotorPHSales[[#This Row],[UnitPrice]]/(1+30%),IF(MotorPHSales[[#This Row],[Segment]]="Mid-range",MotorPHSales[[#This Row],[UnitPrice]]/(1+35%),MotorPHSales[[#This Row],[UnitPrice]]/(1+40%)))*MotorPHSales[[#This Row],[Quantity]]</f>
        <v>3677777.7777777775</v>
      </c>
      <c r="Q71" s="44" t="str">
        <f>INDEX(CLEANED_MotorPH_Products_List_2!H:H,MATCH(MotorPHSales[[#This Row],[Product]],CLEANED_MotorPH_Products_List_2!$B:$B,0))</f>
        <v>6-speed</v>
      </c>
    </row>
    <row r="72" spans="1:17" ht="15.75" x14ac:dyDescent="0.3">
      <c r="A72" s="43">
        <v>45814</v>
      </c>
      <c r="B72" s="44" t="str">
        <f>TEXT(MotorPHSales[[#This Row],[Date]],"mmmm")</f>
        <v>June</v>
      </c>
      <c r="C72" s="44">
        <f>DAY(MotorPHSales[[#This Row],[Date]])</f>
        <v>6</v>
      </c>
      <c r="D72" s="44">
        <f>YEAR(MotorPHSales[[#This Row],[Date]])</f>
        <v>2025</v>
      </c>
      <c r="E72" s="44" t="s">
        <v>194</v>
      </c>
      <c r="F72" s="44" t="s">
        <v>51</v>
      </c>
      <c r="G72" s="45">
        <v>78900</v>
      </c>
      <c r="H72" s="44">
        <v>36</v>
      </c>
      <c r="I72" s="45">
        <v>2840400</v>
      </c>
      <c r="J72" s="44" t="s">
        <v>197</v>
      </c>
      <c r="K72" s="44" t="str">
        <f>INDEX(CLEANED_MotorPH_Products_List_2!C:C,MATCH(MotorPHSales[[#This Row],[Product]],CLEANED_MotorPH_Products_List_2!$B:$B,0))</f>
        <v>Adventure</v>
      </c>
      <c r="L72" s="44" t="str">
        <f>INDEX(CLEANED_MotorPH_Products_List_2!E:E,MATCH(MotorPHSales[[#This Row],[Product]],CLEANED_MotorPH_Products_List_2!$B:$B,0))</f>
        <v>Single cylinder</v>
      </c>
      <c r="M72" s="44" t="str">
        <f>INDEX(CLEANED_MotorPH_Products_List_2!F:F,MATCH(MotorPHSales[[#This Row],[Product]],CLEANED_MotorPH_Products_List_2!$B:$B,0))</f>
        <v>oil-cooled</v>
      </c>
      <c r="N72" s="44" t="str">
        <f>INDEX(CLEANED_MotorPH_Products_List_2!G:G,MATCH(MotorPHSales[[#This Row],[Product]],CLEANED_MotorPH_Products_List_2!$B:$B,0))</f>
        <v>223cc</v>
      </c>
      <c r="O72" s="44" t="str">
        <f>INDEX(CLEANED_MotorPH_Products_List_2!K:K,MATCH(MotorPHSales[[#This Row],[Product]],CLEANED_MotorPH_Products_List_2!B:B,0))</f>
        <v>Mid-range</v>
      </c>
      <c r="P72" s="45">
        <f>IF(MotorPHSales[[#This Row],[Segment]]="Entry-level",MotorPHSales[[#This Row],[UnitPrice]]/(1+30%),IF(MotorPHSales[[#This Row],[Segment]]="Mid-range",MotorPHSales[[#This Row],[UnitPrice]]/(1+35%),MotorPHSales[[#This Row],[UnitPrice]]/(1+40%)))*MotorPHSales[[#This Row],[Quantity]]</f>
        <v>2104000</v>
      </c>
      <c r="Q72" s="44" t="str">
        <f>INDEX(CLEANED_MotorPH_Products_List_2!H:H,MATCH(MotorPHSales[[#This Row],[Product]],CLEANED_MotorPH_Products_List_2!$B:$B,0))</f>
        <v>6-speed</v>
      </c>
    </row>
    <row r="73" spans="1:17" ht="15.75" x14ac:dyDescent="0.3">
      <c r="A73" s="43">
        <v>45862</v>
      </c>
      <c r="B73" s="44" t="str">
        <f>TEXT(MotorPHSales[[#This Row],[Date]],"mmmm")</f>
        <v>July</v>
      </c>
      <c r="C73" s="44">
        <f>DAY(MotorPHSales[[#This Row],[Date]])</f>
        <v>24</v>
      </c>
      <c r="D73" s="44">
        <f>YEAR(MotorPHSales[[#This Row],[Date]])</f>
        <v>2025</v>
      </c>
      <c r="E73" s="44" t="s">
        <v>196</v>
      </c>
      <c r="F73" s="44" t="s">
        <v>63</v>
      </c>
      <c r="G73" s="45">
        <v>48000</v>
      </c>
      <c r="H73" s="44">
        <v>9</v>
      </c>
      <c r="I73" s="45">
        <v>432000</v>
      </c>
      <c r="J73" s="44" t="s">
        <v>197</v>
      </c>
      <c r="K73" s="44" t="str">
        <f>INDEX(CLEANED_MotorPH_Products_List_2!C:C,MATCH(MotorPHSales[[#This Row],[Product]],CLEANED_MotorPH_Products_List_2!$B:$B,0))</f>
        <v>Commuter</v>
      </c>
      <c r="L73" s="44" t="str">
        <f>INDEX(CLEANED_MotorPH_Products_List_2!E:E,MATCH(MotorPHSales[[#This Row],[Product]],CLEANED_MotorPH_Products_List_2!$B:$B,0))</f>
        <v>Single cylinder</v>
      </c>
      <c r="M73" s="44" t="str">
        <f>INDEX(CLEANED_MotorPH_Products_List_2!F:F,MATCH(MotorPHSales[[#This Row],[Product]],CLEANED_MotorPH_Products_List_2!$B:$B,0))</f>
        <v>air-cooled</v>
      </c>
      <c r="N73" s="44" t="str">
        <f>INDEX(CLEANED_MotorPH_Products_List_2!G:G,MATCH(MotorPHSales[[#This Row],[Product]],CLEANED_MotorPH_Products_List_2!$B:$B,0))</f>
        <v>125cc</v>
      </c>
      <c r="O73" s="44" t="str">
        <f>INDEX(CLEANED_MotorPH_Products_List_2!K:K,MATCH(MotorPHSales[[#This Row],[Product]],CLEANED_MotorPH_Products_List_2!B:B,0))</f>
        <v>Entry-level</v>
      </c>
      <c r="P73" s="45">
        <f>IF(MotorPHSales[[#This Row],[Segment]]="Entry-level",MotorPHSales[[#This Row],[UnitPrice]]/(1+30%),IF(MotorPHSales[[#This Row],[Segment]]="Mid-range",MotorPHSales[[#This Row],[UnitPrice]]/(1+35%),MotorPHSales[[#This Row],[UnitPrice]]/(1+40%)))*MotorPHSales[[#This Row],[Quantity]]</f>
        <v>332307.69230769231</v>
      </c>
      <c r="Q73" s="44" t="str">
        <f>INDEX(CLEANED_MotorPH_Products_List_2!H:H,MATCH(MotorPHSales[[#This Row],[Product]],CLEANED_MotorPH_Products_List_2!$B:$B,0))</f>
        <v>4-speed</v>
      </c>
    </row>
    <row r="74" spans="1:17" ht="15.75" x14ac:dyDescent="0.3">
      <c r="A74" s="43">
        <v>45812</v>
      </c>
      <c r="B74" s="44" t="str">
        <f>TEXT(MotorPHSales[[#This Row],[Date]],"mmmm")</f>
        <v>June</v>
      </c>
      <c r="C74" s="44">
        <f>DAY(MotorPHSales[[#This Row],[Date]])</f>
        <v>4</v>
      </c>
      <c r="D74" s="44">
        <f>YEAR(MotorPHSales[[#This Row],[Date]])</f>
        <v>2025</v>
      </c>
      <c r="E74" s="44" t="s">
        <v>194</v>
      </c>
      <c r="F74" s="44" t="s">
        <v>47</v>
      </c>
      <c r="G74" s="45">
        <v>398000</v>
      </c>
      <c r="H74" s="44">
        <v>36</v>
      </c>
      <c r="I74" s="45">
        <v>14328000</v>
      </c>
      <c r="J74" s="44" t="s">
        <v>197</v>
      </c>
      <c r="K74" s="44" t="str">
        <f>INDEX(CLEANED_MotorPH_Products_List_2!C:C,MATCH(MotorPHSales[[#This Row],[Product]],CLEANED_MotorPH_Products_List_2!$B:$B,0))</f>
        <v>Cruiser</v>
      </c>
      <c r="L74" s="44" t="str">
        <f>INDEX(CLEANED_MotorPH_Products_List_2!E:E,MATCH(MotorPHSales[[#This Row],[Product]],CLEANED_MotorPH_Products_List_2!$B:$B,0))</f>
        <v>Parallel-twin</v>
      </c>
      <c r="M74" s="44" t="str">
        <f>INDEX(CLEANED_MotorPH_Products_List_2!F:F,MATCH(MotorPHSales[[#This Row],[Product]],CLEANED_MotorPH_Products_List_2!$B:$B,0))</f>
        <v>liquid-cooled</v>
      </c>
      <c r="N74" s="44" t="str">
        <f>INDEX(CLEANED_MotorPH_Products_List_2!G:G,MATCH(MotorPHSales[[#This Row],[Product]],CLEANED_MotorPH_Products_List_2!$B:$B,0))</f>
        <v>649cc</v>
      </c>
      <c r="O74" s="44" t="str">
        <f>INDEX(CLEANED_MotorPH_Products_List_2!K:K,MATCH(MotorPHSales[[#This Row],[Product]],CLEANED_MotorPH_Products_List_2!B:B,0))</f>
        <v>Premium</v>
      </c>
      <c r="P74" s="45">
        <f>IF(MotorPHSales[[#This Row],[Segment]]="Entry-level",MotorPHSales[[#This Row],[UnitPrice]]/(1+30%),IF(MotorPHSales[[#This Row],[Segment]]="Mid-range",MotorPHSales[[#This Row],[UnitPrice]]/(1+35%),MotorPHSales[[#This Row],[UnitPrice]]/(1+40%)))*MotorPHSales[[#This Row],[Quantity]]</f>
        <v>10234285.714285716</v>
      </c>
      <c r="Q74" s="44" t="str">
        <f>INDEX(CLEANED_MotorPH_Products_List_2!H:H,MATCH(MotorPHSales[[#This Row],[Product]],CLEANED_MotorPH_Products_List_2!$B:$B,0))</f>
        <v>6-speed</v>
      </c>
    </row>
    <row r="75" spans="1:17" ht="15.75" x14ac:dyDescent="0.3">
      <c r="A75" s="43">
        <v>45862</v>
      </c>
      <c r="B75" s="44" t="str">
        <f>TEXT(MotorPHSales[[#This Row],[Date]],"mmmm")</f>
        <v>July</v>
      </c>
      <c r="C75" s="44">
        <f>DAY(MotorPHSales[[#This Row],[Date]])</f>
        <v>24</v>
      </c>
      <c r="D75" s="44">
        <f>YEAR(MotorPHSales[[#This Row],[Date]])</f>
        <v>2025</v>
      </c>
      <c r="E75" s="44" t="s">
        <v>194</v>
      </c>
      <c r="F75" s="44" t="s">
        <v>90</v>
      </c>
      <c r="G75" s="45">
        <v>165000</v>
      </c>
      <c r="H75" s="44">
        <v>42</v>
      </c>
      <c r="I75" s="45">
        <v>6930000</v>
      </c>
      <c r="J75" s="44" t="s">
        <v>195</v>
      </c>
      <c r="K75" s="44" t="str">
        <f>INDEX(CLEANED_MotorPH_Products_List_2!C:C,MATCH(MotorPHSales[[#This Row],[Product]],CLEANED_MotorPH_Products_List_2!$B:$B,0))</f>
        <v>Sport</v>
      </c>
      <c r="L75" s="44" t="str">
        <f>INDEX(CLEANED_MotorPH_Products_List_2!E:E,MATCH(MotorPHSales[[#This Row],[Product]],CLEANED_MotorPH_Products_List_2!$B:$B,0))</f>
        <v>Single cylinder</v>
      </c>
      <c r="M75" s="44" t="str">
        <f>INDEX(CLEANED_MotorPH_Products_List_2!F:F,MATCH(MotorPHSales[[#This Row],[Product]],CLEANED_MotorPH_Products_List_2!$B:$B,0))</f>
        <v>liquid-cooled</v>
      </c>
      <c r="N75" s="44" t="str">
        <f>INDEX(CLEANED_MotorPH_Products_List_2!G:G,MATCH(MotorPHSales[[#This Row],[Product]],CLEANED_MotorPH_Products_List_2!$B:$B,0))</f>
        <v>292cc</v>
      </c>
      <c r="O75" s="44" t="str">
        <f>INDEX(CLEANED_MotorPH_Products_List_2!K:K,MATCH(MotorPHSales[[#This Row],[Product]],CLEANED_MotorPH_Products_List_2!B:B,0))</f>
        <v>Mid-range</v>
      </c>
      <c r="P75" s="45">
        <f>IF(MotorPHSales[[#This Row],[Segment]]="Entry-level",MotorPHSales[[#This Row],[UnitPrice]]/(1+30%),IF(MotorPHSales[[#This Row],[Segment]]="Mid-range",MotorPHSales[[#This Row],[UnitPrice]]/(1+35%),MotorPHSales[[#This Row],[UnitPrice]]/(1+40%)))*MotorPHSales[[#This Row],[Quantity]]</f>
        <v>5133333.333333333</v>
      </c>
      <c r="Q75" s="44" t="str">
        <f>INDEX(CLEANED_MotorPH_Products_List_2!H:H,MATCH(MotorPHSales[[#This Row],[Product]],CLEANED_MotorPH_Products_List_2!$B:$B,0))</f>
        <v>6-speed</v>
      </c>
    </row>
    <row r="76" spans="1:17" ht="15.75" x14ac:dyDescent="0.3">
      <c r="A76" s="43">
        <v>45871</v>
      </c>
      <c r="B76" s="44" t="str">
        <f>TEXT(MotorPHSales[[#This Row],[Date]],"mmmm")</f>
        <v>August</v>
      </c>
      <c r="C76" s="44">
        <f>DAY(MotorPHSales[[#This Row],[Date]])</f>
        <v>2</v>
      </c>
      <c r="D76" s="44">
        <f>YEAR(MotorPHSales[[#This Row],[Date]])</f>
        <v>2025</v>
      </c>
      <c r="E76" s="44" t="s">
        <v>194</v>
      </c>
      <c r="F76" s="44" t="s">
        <v>57</v>
      </c>
      <c r="G76" s="45">
        <v>125900</v>
      </c>
      <c r="H76" s="44">
        <v>13</v>
      </c>
      <c r="I76" s="45">
        <v>1636700</v>
      </c>
      <c r="J76" s="44" t="s">
        <v>197</v>
      </c>
      <c r="K76" s="44" t="str">
        <f>INDEX(CLEANED_MotorPH_Products_List_2!C:C,MATCH(MotorPHSales[[#This Row],[Product]],CLEANED_MotorPH_Products_List_2!$B:$B,0))</f>
        <v>Underbone</v>
      </c>
      <c r="L76" s="44" t="str">
        <f>INDEX(CLEANED_MotorPH_Products_List_2!E:E,MATCH(MotorPHSales[[#This Row],[Product]],CLEANED_MotorPH_Products_List_2!$B:$B,0))</f>
        <v>Single cylinder</v>
      </c>
      <c r="M76" s="44" t="str">
        <f>INDEX(CLEANED_MotorPH_Products_List_2!F:F,MATCH(MotorPHSales[[#This Row],[Product]],CLEANED_MotorPH_Products_List_2!$B:$B,0))</f>
        <v>liquid-cooled</v>
      </c>
      <c r="N76" s="44" t="str">
        <f>INDEX(CLEANED_MotorPH_Products_List_2!G:G,MATCH(MotorPHSales[[#This Row],[Product]],CLEANED_MotorPH_Products_List_2!$B:$B,0))</f>
        <v>155cc</v>
      </c>
      <c r="O76" s="44" t="str">
        <f>INDEX(CLEANED_MotorPH_Products_List_2!K:K,MATCH(MotorPHSales[[#This Row],[Product]],CLEANED_MotorPH_Products_List_2!B:B,0))</f>
        <v>Entry-level</v>
      </c>
      <c r="P76" s="45">
        <f>IF(MotorPHSales[[#This Row],[Segment]]="Entry-level",MotorPHSales[[#This Row],[UnitPrice]]/(1+30%),IF(MotorPHSales[[#This Row],[Segment]]="Mid-range",MotorPHSales[[#This Row],[UnitPrice]]/(1+35%),MotorPHSales[[#This Row],[UnitPrice]]/(1+40%)))*MotorPHSales[[#This Row],[Quantity]]</f>
        <v>1259000</v>
      </c>
      <c r="Q76" s="44" t="str">
        <f>INDEX(CLEANED_MotorPH_Products_List_2!H:H,MATCH(MotorPHSales[[#This Row],[Product]],CLEANED_MotorPH_Products_List_2!$B:$B,0))</f>
        <v>6-speed</v>
      </c>
    </row>
    <row r="77" spans="1:17" ht="15.75" x14ac:dyDescent="0.3">
      <c r="A77" s="43">
        <v>45826</v>
      </c>
      <c r="B77" s="44" t="str">
        <f>TEXT(MotorPHSales[[#This Row],[Date]],"mmmm")</f>
        <v>June</v>
      </c>
      <c r="C77" s="44">
        <f>DAY(MotorPHSales[[#This Row],[Date]])</f>
        <v>18</v>
      </c>
      <c r="D77" s="44">
        <f>YEAR(MotorPHSales[[#This Row],[Date]])</f>
        <v>2025</v>
      </c>
      <c r="E77" s="44" t="s">
        <v>196</v>
      </c>
      <c r="F77" s="44" t="s">
        <v>70</v>
      </c>
      <c r="G77" s="45">
        <v>219000</v>
      </c>
      <c r="H77" s="44">
        <v>4</v>
      </c>
      <c r="I77" s="45">
        <v>876000</v>
      </c>
      <c r="J77" s="44" t="s">
        <v>197</v>
      </c>
      <c r="K77" s="44" t="str">
        <f>INDEX(CLEANED_MotorPH_Products_List_2!C:C,MATCH(MotorPHSales[[#This Row],[Product]],CLEANED_MotorPH_Products_List_2!$B:$B,0))</f>
        <v>Scooter</v>
      </c>
      <c r="L77" s="44" t="str">
        <f>INDEX(CLEANED_MotorPH_Products_List_2!E:E,MATCH(MotorPHSales[[#This Row],[Product]],CLEANED_MotorPH_Products_List_2!$B:$B,0))</f>
        <v>Single cylinder</v>
      </c>
      <c r="M77" s="44" t="str">
        <f>INDEX(CLEANED_MotorPH_Products_List_2!F:F,MATCH(MotorPHSales[[#This Row],[Product]],CLEANED_MotorPH_Products_List_2!$B:$B,0))</f>
        <v>liquid-cooled</v>
      </c>
      <c r="N77" s="44" t="str">
        <f>INDEX(CLEANED_MotorPH_Products_List_2!G:G,MATCH(MotorPHSales[[#This Row],[Product]],CLEANED_MotorPH_Products_List_2!$B:$B,0))</f>
        <v>174cc</v>
      </c>
      <c r="O77" s="44" t="str">
        <f>INDEX(CLEANED_MotorPH_Products_List_2!K:K,MATCH(MotorPHSales[[#This Row],[Product]],CLEANED_MotorPH_Products_List_2!B:B,0))</f>
        <v>Entry-level</v>
      </c>
      <c r="P77" s="45">
        <f>IF(MotorPHSales[[#This Row],[Segment]]="Entry-level",MotorPHSales[[#This Row],[UnitPrice]]/(1+30%),IF(MotorPHSales[[#This Row],[Segment]]="Mid-range",MotorPHSales[[#This Row],[UnitPrice]]/(1+35%),MotorPHSales[[#This Row],[UnitPrice]]/(1+40%)))*MotorPHSales[[#This Row],[Quantity]]</f>
        <v>673846.15384615387</v>
      </c>
      <c r="Q77" s="44" t="str">
        <f>INDEX(CLEANED_MotorPH_Products_List_2!H:H,MATCH(MotorPHSales[[#This Row],[Product]],CLEANED_MotorPH_Products_List_2!$B:$B,0))</f>
        <v>CVT</v>
      </c>
    </row>
    <row r="78" spans="1:17" ht="15.75" x14ac:dyDescent="0.3">
      <c r="A78" s="43">
        <v>45898</v>
      </c>
      <c r="B78" s="44" t="str">
        <f>TEXT(MotorPHSales[[#This Row],[Date]],"mmmm")</f>
        <v>August</v>
      </c>
      <c r="C78" s="44">
        <f>DAY(MotorPHSales[[#This Row],[Date]])</f>
        <v>29</v>
      </c>
      <c r="D78" s="44">
        <f>YEAR(MotorPHSales[[#This Row],[Date]])</f>
        <v>2025</v>
      </c>
      <c r="E78" s="44" t="s">
        <v>194</v>
      </c>
      <c r="F78" s="44" t="s">
        <v>78</v>
      </c>
      <c r="G78" s="45">
        <v>99900</v>
      </c>
      <c r="H78" s="44">
        <v>46</v>
      </c>
      <c r="I78" s="45">
        <v>4595400</v>
      </c>
      <c r="J78" s="44" t="s">
        <v>198</v>
      </c>
      <c r="K78" s="44" t="str">
        <f>INDEX(CLEANED_MotorPH_Products_List_2!C:C,MATCH(MotorPHSales[[#This Row],[Product]],CLEANED_MotorPH_Products_List_2!$B:$B,0))</f>
        <v>Street</v>
      </c>
      <c r="L78" s="44" t="str">
        <f>INDEX(CLEANED_MotorPH_Products_List_2!E:E,MATCH(MotorPHSales[[#This Row],[Product]],CLEANED_MotorPH_Products_List_2!$B:$B,0))</f>
        <v>Single cylinder</v>
      </c>
      <c r="M78" s="44" t="str">
        <f>INDEX(CLEANED_MotorPH_Products_List_2!F:F,MATCH(MotorPHSales[[#This Row],[Product]],CLEANED_MotorPH_Products_List_2!$B:$B,0))</f>
        <v>air-cooled</v>
      </c>
      <c r="N78" s="44" t="str">
        <f>INDEX(CLEANED_MotorPH_Products_List_2!G:G,MATCH(MotorPHSales[[#This Row],[Product]],CLEANED_MotorPH_Products_List_2!$B:$B,0))</f>
        <v>149cc</v>
      </c>
      <c r="O78" s="44" t="str">
        <f>INDEX(CLEANED_MotorPH_Products_List_2!K:K,MATCH(MotorPHSales[[#This Row],[Product]],CLEANED_MotorPH_Products_List_2!B:B,0))</f>
        <v>Entry-level</v>
      </c>
      <c r="P78" s="45">
        <f>IF(MotorPHSales[[#This Row],[Segment]]="Entry-level",MotorPHSales[[#This Row],[UnitPrice]]/(1+30%),IF(MotorPHSales[[#This Row],[Segment]]="Mid-range",MotorPHSales[[#This Row],[UnitPrice]]/(1+35%),MotorPHSales[[#This Row],[UnitPrice]]/(1+40%)))*MotorPHSales[[#This Row],[Quantity]]</f>
        <v>3534923.076923077</v>
      </c>
      <c r="Q78" s="44" t="str">
        <f>INDEX(CLEANED_MotorPH_Products_List_2!H:H,MATCH(MotorPHSales[[#This Row],[Product]],CLEANED_MotorPH_Products_List_2!$B:$B,0))</f>
        <v>5-speed</v>
      </c>
    </row>
    <row r="79" spans="1:17" ht="15.75" x14ac:dyDescent="0.3">
      <c r="A79" s="43">
        <v>45852</v>
      </c>
      <c r="B79" s="44" t="str">
        <f>TEXT(MotorPHSales[[#This Row],[Date]],"mmmm")</f>
        <v>July</v>
      </c>
      <c r="C79" s="44">
        <f>DAY(MotorPHSales[[#This Row],[Date]])</f>
        <v>14</v>
      </c>
      <c r="D79" s="44">
        <f>YEAR(MotorPHSales[[#This Row],[Date]])</f>
        <v>2025</v>
      </c>
      <c r="E79" s="44" t="s">
        <v>194</v>
      </c>
      <c r="F79" s="44" t="s">
        <v>26</v>
      </c>
      <c r="G79" s="45">
        <v>151900</v>
      </c>
      <c r="H79" s="44">
        <v>5</v>
      </c>
      <c r="I79" s="45">
        <v>759500</v>
      </c>
      <c r="J79" s="44" t="s">
        <v>198</v>
      </c>
      <c r="K79" s="44" t="str">
        <f>INDEX(CLEANED_MotorPH_Products_List_2!C:C,MATCH(MotorPHSales[[#This Row],[Product]],CLEANED_MotorPH_Products_List_2!$B:$B,0))</f>
        <v>Scooter</v>
      </c>
      <c r="L79" s="44" t="str">
        <f>INDEX(CLEANED_MotorPH_Products_List_2!E:E,MATCH(MotorPHSales[[#This Row],[Product]],CLEANED_MotorPH_Products_List_2!$B:$B,0))</f>
        <v>Single cylinder</v>
      </c>
      <c r="M79" s="44" t="str">
        <f>INDEX(CLEANED_MotorPH_Products_List_2!F:F,MATCH(MotorPHSales[[#This Row],[Product]],CLEANED_MotorPH_Products_List_2!$B:$B,0))</f>
        <v>liquid-cooled</v>
      </c>
      <c r="N79" s="44" t="str">
        <f>INDEX(CLEANED_MotorPH_Products_List_2!G:G,MATCH(MotorPHSales[[#This Row],[Product]],CLEANED_MotorPH_Products_List_2!$B:$B,0))</f>
        <v>155cc</v>
      </c>
      <c r="O79" s="44" t="str">
        <f>INDEX(CLEANED_MotorPH_Products_List_2!K:K,MATCH(MotorPHSales[[#This Row],[Product]],CLEANED_MotorPH_Products_List_2!B:B,0))</f>
        <v>Entry-level</v>
      </c>
      <c r="P79" s="45">
        <f>IF(MotorPHSales[[#This Row],[Segment]]="Entry-level",MotorPHSales[[#This Row],[UnitPrice]]/(1+30%),IF(MotorPHSales[[#This Row],[Segment]]="Mid-range",MotorPHSales[[#This Row],[UnitPrice]]/(1+35%),MotorPHSales[[#This Row],[UnitPrice]]/(1+40%)))*MotorPHSales[[#This Row],[Quantity]]</f>
        <v>584230.76923076925</v>
      </c>
      <c r="Q79" s="44" t="str">
        <f>INDEX(CLEANED_MotorPH_Products_List_2!H:H,MATCH(MotorPHSales[[#This Row],[Product]],CLEANED_MotorPH_Products_List_2!$B:$B,0))</f>
        <v>CVT</v>
      </c>
    </row>
    <row r="80" spans="1:17" ht="15.75" x14ac:dyDescent="0.3">
      <c r="A80" s="43">
        <v>45842</v>
      </c>
      <c r="B80" s="44" t="str">
        <f>TEXT(MotorPHSales[[#This Row],[Date]],"mmmm")</f>
        <v>July</v>
      </c>
      <c r="C80" s="44">
        <f>DAY(MotorPHSales[[#This Row],[Date]])</f>
        <v>4</v>
      </c>
      <c r="D80" s="44">
        <f>YEAR(MotorPHSales[[#This Row],[Date]])</f>
        <v>2025</v>
      </c>
      <c r="E80" s="44" t="s">
        <v>196</v>
      </c>
      <c r="F80" s="44" t="s">
        <v>12</v>
      </c>
      <c r="G80" s="45">
        <v>119900</v>
      </c>
      <c r="H80" s="44">
        <v>5</v>
      </c>
      <c r="I80" s="45">
        <v>599500</v>
      </c>
      <c r="J80" s="44" t="s">
        <v>197</v>
      </c>
      <c r="K80" s="44" t="str">
        <f>INDEX(CLEANED_MotorPH_Products_List_2!C:C,MATCH(MotorPHSales[[#This Row],[Product]],CLEANED_MotorPH_Products_List_2!$B:$B,0))</f>
        <v>Underbone</v>
      </c>
      <c r="L80" s="44" t="str">
        <f>INDEX(CLEANED_MotorPH_Products_List_2!E:E,MATCH(MotorPHSales[[#This Row],[Product]],CLEANED_MotorPH_Products_List_2!$B:$B,0))</f>
        <v>Single cylinder</v>
      </c>
      <c r="M80" s="44" t="str">
        <f>INDEX(CLEANED_MotorPH_Products_List_2!F:F,MATCH(MotorPHSales[[#This Row],[Product]],CLEANED_MotorPH_Products_List_2!$B:$B,0))</f>
        <v>liquid-cooled</v>
      </c>
      <c r="N80" s="44" t="str">
        <f>INDEX(CLEANED_MotorPH_Products_List_2!G:G,MATCH(MotorPHSales[[#This Row],[Product]],CLEANED_MotorPH_Products_List_2!$B:$B,0))</f>
        <v>150cc</v>
      </c>
      <c r="O80" s="44" t="str">
        <f>INDEX(CLEANED_MotorPH_Products_List_2!K:K,MATCH(MotorPHSales[[#This Row],[Product]],CLEANED_MotorPH_Products_List_2!B:B,0))</f>
        <v>Entry-level</v>
      </c>
      <c r="P80" s="45">
        <f>IF(MotorPHSales[[#This Row],[Segment]]="Entry-level",MotorPHSales[[#This Row],[UnitPrice]]/(1+30%),IF(MotorPHSales[[#This Row],[Segment]]="Mid-range",MotorPHSales[[#This Row],[UnitPrice]]/(1+35%),MotorPHSales[[#This Row],[UnitPrice]]/(1+40%)))*MotorPHSales[[#This Row],[Quantity]]</f>
        <v>461153.84615384619</v>
      </c>
      <c r="Q80" s="44" t="str">
        <f>INDEX(CLEANED_MotorPH_Products_List_2!H:H,MATCH(MotorPHSales[[#This Row],[Product]],CLEANED_MotorPH_Products_List_2!$B:$B,0))</f>
        <v>6-speed</v>
      </c>
    </row>
    <row r="81" spans="1:17" ht="15.75" x14ac:dyDescent="0.3">
      <c r="A81" s="43">
        <v>45882</v>
      </c>
      <c r="B81" s="44" t="str">
        <f>TEXT(MotorPHSales[[#This Row],[Date]],"mmmm")</f>
        <v>August</v>
      </c>
      <c r="C81" s="44">
        <f>DAY(MotorPHSales[[#This Row],[Date]])</f>
        <v>13</v>
      </c>
      <c r="D81" s="44">
        <f>YEAR(MotorPHSales[[#This Row],[Date]])</f>
        <v>2025</v>
      </c>
      <c r="E81" s="44" t="s">
        <v>194</v>
      </c>
      <c r="F81" s="44" t="s">
        <v>10</v>
      </c>
      <c r="G81" s="45">
        <v>340000</v>
      </c>
      <c r="H81" s="44">
        <v>8</v>
      </c>
      <c r="I81" s="45">
        <v>2720000</v>
      </c>
      <c r="J81" s="44" t="s">
        <v>195</v>
      </c>
      <c r="K81" s="44" t="str">
        <f>INDEX(CLEANED_MotorPH_Products_List_2!C:C,MATCH(MotorPHSales[[#This Row],[Product]],CLEANED_MotorPH_Products_List_2!$B:$B,0))</f>
        <v>Sport</v>
      </c>
      <c r="L81" s="44" t="str">
        <f>INDEX(CLEANED_MotorPH_Products_List_2!E:E,MATCH(MotorPHSales[[#This Row],[Product]],CLEANED_MotorPH_Products_List_2!$B:$B,0))</f>
        <v>Parallel-twin</v>
      </c>
      <c r="M81" s="44" t="str">
        <f>INDEX(CLEANED_MotorPH_Products_List_2!F:F,MATCH(MotorPHSales[[#This Row],[Product]],CLEANED_MotorPH_Products_List_2!$B:$B,0))</f>
        <v>liquid-cooled</v>
      </c>
      <c r="N81" s="44" t="str">
        <f>INDEX(CLEANED_MotorPH_Products_List_2!G:G,MATCH(MotorPHSales[[#This Row],[Product]],CLEANED_MotorPH_Products_List_2!$B:$B,0))</f>
        <v>399cc</v>
      </c>
      <c r="O81" s="44" t="str">
        <f>INDEX(CLEANED_MotorPH_Products_List_2!K:K,MATCH(MotorPHSales[[#This Row],[Product]],CLEANED_MotorPH_Products_List_2!B:B,0))</f>
        <v>Mid-range</v>
      </c>
      <c r="P81" s="45">
        <f>IF(MotorPHSales[[#This Row],[Segment]]="Entry-level",MotorPHSales[[#This Row],[UnitPrice]]/(1+30%),IF(MotorPHSales[[#This Row],[Segment]]="Mid-range",MotorPHSales[[#This Row],[UnitPrice]]/(1+35%),MotorPHSales[[#This Row],[UnitPrice]]/(1+40%)))*MotorPHSales[[#This Row],[Quantity]]</f>
        <v>2014814.8148148146</v>
      </c>
      <c r="Q81" s="44" t="str">
        <f>INDEX(CLEANED_MotorPH_Products_List_2!H:H,MATCH(MotorPHSales[[#This Row],[Product]],CLEANED_MotorPH_Products_List_2!$B:$B,0))</f>
        <v>6-speed</v>
      </c>
    </row>
    <row r="82" spans="1:17" ht="15.75" x14ac:dyDescent="0.3">
      <c r="A82" s="43">
        <v>45870</v>
      </c>
      <c r="B82" s="44" t="str">
        <f>TEXT(MotorPHSales[[#This Row],[Date]],"mmmm")</f>
        <v>August</v>
      </c>
      <c r="C82" s="44">
        <f>DAY(MotorPHSales[[#This Row],[Date]])</f>
        <v>1</v>
      </c>
      <c r="D82" s="44">
        <f>YEAR(MotorPHSales[[#This Row],[Date]])</f>
        <v>2025</v>
      </c>
      <c r="E82" s="44" t="s">
        <v>196</v>
      </c>
      <c r="F82" s="44" t="s">
        <v>78</v>
      </c>
      <c r="G82" s="45">
        <v>99900</v>
      </c>
      <c r="H82" s="44">
        <v>8</v>
      </c>
      <c r="I82" s="45">
        <v>799200</v>
      </c>
      <c r="J82" s="44" t="s">
        <v>195</v>
      </c>
      <c r="K82" s="44" t="str">
        <f>INDEX(CLEANED_MotorPH_Products_List_2!C:C,MATCH(MotorPHSales[[#This Row],[Product]],CLEANED_MotorPH_Products_List_2!$B:$B,0))</f>
        <v>Street</v>
      </c>
      <c r="L82" s="44" t="str">
        <f>INDEX(CLEANED_MotorPH_Products_List_2!E:E,MATCH(MotorPHSales[[#This Row],[Product]],CLEANED_MotorPH_Products_List_2!$B:$B,0))</f>
        <v>Single cylinder</v>
      </c>
      <c r="M82" s="44" t="str">
        <f>INDEX(CLEANED_MotorPH_Products_List_2!F:F,MATCH(MotorPHSales[[#This Row],[Product]],CLEANED_MotorPH_Products_List_2!$B:$B,0))</f>
        <v>air-cooled</v>
      </c>
      <c r="N82" s="44" t="str">
        <f>INDEX(CLEANED_MotorPH_Products_List_2!G:G,MATCH(MotorPHSales[[#This Row],[Product]],CLEANED_MotorPH_Products_List_2!$B:$B,0))</f>
        <v>149cc</v>
      </c>
      <c r="O82" s="44" t="str">
        <f>INDEX(CLEANED_MotorPH_Products_List_2!K:K,MATCH(MotorPHSales[[#This Row],[Product]],CLEANED_MotorPH_Products_List_2!B:B,0))</f>
        <v>Entry-level</v>
      </c>
      <c r="P82" s="45">
        <f>IF(MotorPHSales[[#This Row],[Segment]]="Entry-level",MotorPHSales[[#This Row],[UnitPrice]]/(1+30%),IF(MotorPHSales[[#This Row],[Segment]]="Mid-range",MotorPHSales[[#This Row],[UnitPrice]]/(1+35%),MotorPHSales[[#This Row],[UnitPrice]]/(1+40%)))*MotorPHSales[[#This Row],[Quantity]]</f>
        <v>614769.23076923075</v>
      </c>
      <c r="Q82" s="44" t="str">
        <f>INDEX(CLEANED_MotorPH_Products_List_2!H:H,MATCH(MotorPHSales[[#This Row],[Product]],CLEANED_MotorPH_Products_List_2!$B:$B,0))</f>
        <v>5-speed</v>
      </c>
    </row>
    <row r="83" spans="1:17" ht="15.75" x14ac:dyDescent="0.3">
      <c r="A83" s="43">
        <v>45822</v>
      </c>
      <c r="B83" s="44" t="str">
        <f>TEXT(MotorPHSales[[#This Row],[Date]],"mmmm")</f>
        <v>June</v>
      </c>
      <c r="C83" s="44">
        <f>DAY(MotorPHSales[[#This Row],[Date]])</f>
        <v>14</v>
      </c>
      <c r="D83" s="44">
        <f>YEAR(MotorPHSales[[#This Row],[Date]])</f>
        <v>2025</v>
      </c>
      <c r="E83" s="44" t="s">
        <v>194</v>
      </c>
      <c r="F83" s="44" t="s">
        <v>99</v>
      </c>
      <c r="G83" s="45">
        <v>689000</v>
      </c>
      <c r="H83" s="44">
        <v>40</v>
      </c>
      <c r="I83" s="45">
        <v>27560000</v>
      </c>
      <c r="J83" s="44" t="s">
        <v>195</v>
      </c>
      <c r="K83" s="44" t="str">
        <f>INDEX(CLEANED_MotorPH_Products_List_2!C:C,MATCH(MotorPHSales[[#This Row],[Product]],CLEANED_MotorPH_Products_List_2!$B:$B,0))</f>
        <v>Heritage</v>
      </c>
      <c r="L83" s="44" t="str">
        <f>INDEX(CLEANED_MotorPH_Products_List_2!E:E,MATCH(MotorPHSales[[#This Row],[Product]],CLEANED_MotorPH_Products_List_2!$B:$B,0))</f>
        <v>V-twin</v>
      </c>
      <c r="M83" s="44" t="str">
        <f>INDEX(CLEANED_MotorPH_Products_List_2!F:F,MATCH(MotorPHSales[[#This Row],[Product]],CLEANED_MotorPH_Products_List_2!$B:$B,0))</f>
        <v>air-cooled</v>
      </c>
      <c r="N83" s="44" t="str">
        <f>INDEX(CLEANED_MotorPH_Products_List_2!G:G,MATCH(MotorPHSales[[#This Row],[Product]],CLEANED_MotorPH_Products_List_2!$B:$B,0))</f>
        <v>853cc</v>
      </c>
      <c r="O83" s="44" t="str">
        <f>INDEX(CLEANED_MotorPH_Products_List_2!K:K,MATCH(MotorPHSales[[#This Row],[Product]],CLEANED_MotorPH_Products_List_2!B:B,0))</f>
        <v>Premium</v>
      </c>
      <c r="P83" s="45">
        <f>IF(MotorPHSales[[#This Row],[Segment]]="Entry-level",MotorPHSales[[#This Row],[UnitPrice]]/(1+30%),IF(MotorPHSales[[#This Row],[Segment]]="Mid-range",MotorPHSales[[#This Row],[UnitPrice]]/(1+35%),MotorPHSales[[#This Row],[UnitPrice]]/(1+40%)))*MotorPHSales[[#This Row],[Quantity]]</f>
        <v>19685714.285714287</v>
      </c>
      <c r="Q83" s="44" t="str">
        <f>INDEX(CLEANED_MotorPH_Products_List_2!H:H,MATCH(MotorPHSales[[#This Row],[Product]],CLEANED_MotorPH_Products_List_2!$B:$B,0))</f>
        <v>6-speed</v>
      </c>
    </row>
    <row r="84" spans="1:17" ht="15.75" x14ac:dyDescent="0.3">
      <c r="A84" s="43">
        <v>45856</v>
      </c>
      <c r="B84" s="44" t="str">
        <f>TEXT(MotorPHSales[[#This Row],[Date]],"mmmm")</f>
        <v>July</v>
      </c>
      <c r="C84" s="44">
        <f>DAY(MotorPHSales[[#This Row],[Date]])</f>
        <v>18</v>
      </c>
      <c r="D84" s="44">
        <f>YEAR(MotorPHSales[[#This Row],[Date]])</f>
        <v>2025</v>
      </c>
      <c r="E84" s="44" t="s">
        <v>194</v>
      </c>
      <c r="F84" s="44" t="s">
        <v>94</v>
      </c>
      <c r="G84" s="45">
        <v>299000</v>
      </c>
      <c r="H84" s="44">
        <v>31</v>
      </c>
      <c r="I84" s="45">
        <v>9269000</v>
      </c>
      <c r="J84" s="44" t="s">
        <v>198</v>
      </c>
      <c r="K84" s="44" t="str">
        <f>INDEX(CLEANED_MotorPH_Products_List_2!C:C,MATCH(MotorPHSales[[#This Row],[Product]],CLEANED_MotorPH_Products_List_2!$B:$B,0))</f>
        <v>Dual-sport</v>
      </c>
      <c r="L84" s="44" t="str">
        <f>INDEX(CLEANED_MotorPH_Products_List_2!E:E,MATCH(MotorPHSales[[#This Row],[Product]],CLEANED_MotorPH_Products_List_2!$B:$B,0))</f>
        <v>Single cylinder</v>
      </c>
      <c r="M84" s="44" t="str">
        <f>INDEX(CLEANED_MotorPH_Products_List_2!F:F,MATCH(MotorPHSales[[#This Row],[Product]],CLEANED_MotorPH_Products_List_2!$B:$B,0))</f>
        <v>air-cooled</v>
      </c>
      <c r="N84" s="44" t="str">
        <f>INDEX(CLEANED_MotorPH_Products_List_2!G:G,MATCH(MotorPHSales[[#This Row],[Product]],CLEANED_MotorPH_Products_List_2!$B:$B,0))</f>
        <v>249cc</v>
      </c>
      <c r="O84" s="44" t="str">
        <f>INDEX(CLEANED_MotorPH_Products_List_2!K:K,MATCH(MotorPHSales[[#This Row],[Product]],CLEANED_MotorPH_Products_List_2!B:B,0))</f>
        <v>Mid-range</v>
      </c>
      <c r="P84" s="45">
        <f>IF(MotorPHSales[[#This Row],[Segment]]="Entry-level",MotorPHSales[[#This Row],[UnitPrice]]/(1+30%),IF(MotorPHSales[[#This Row],[Segment]]="Mid-range",MotorPHSales[[#This Row],[UnitPrice]]/(1+35%),MotorPHSales[[#This Row],[UnitPrice]]/(1+40%)))*MotorPHSales[[#This Row],[Quantity]]</f>
        <v>6865925.9259259254</v>
      </c>
      <c r="Q84" s="44" t="str">
        <f>INDEX(CLEANED_MotorPH_Products_List_2!H:H,MATCH(MotorPHSales[[#This Row],[Product]],CLEANED_MotorPH_Products_List_2!$B:$B,0))</f>
        <v>5-speed</v>
      </c>
    </row>
    <row r="85" spans="1:17" ht="15.75" x14ac:dyDescent="0.3">
      <c r="A85" s="43">
        <v>45880</v>
      </c>
      <c r="B85" s="44" t="str">
        <f>TEXT(MotorPHSales[[#This Row],[Date]],"mmmm")</f>
        <v>August</v>
      </c>
      <c r="C85" s="44">
        <f>DAY(MotorPHSales[[#This Row],[Date]])</f>
        <v>11</v>
      </c>
      <c r="D85" s="44">
        <f>YEAR(MotorPHSales[[#This Row],[Date]])</f>
        <v>2025</v>
      </c>
      <c r="E85" s="44" t="s">
        <v>194</v>
      </c>
      <c r="F85" s="44" t="s">
        <v>12</v>
      </c>
      <c r="G85" s="45">
        <v>119900</v>
      </c>
      <c r="H85" s="44">
        <v>2</v>
      </c>
      <c r="I85" s="45">
        <v>239800</v>
      </c>
      <c r="J85" s="44" t="s">
        <v>198</v>
      </c>
      <c r="K85" s="44" t="str">
        <f>INDEX(CLEANED_MotorPH_Products_List_2!C:C,MATCH(MotorPHSales[[#This Row],[Product]],CLEANED_MotorPH_Products_List_2!$B:$B,0))</f>
        <v>Underbone</v>
      </c>
      <c r="L85" s="44" t="str">
        <f>INDEX(CLEANED_MotorPH_Products_List_2!E:E,MATCH(MotorPHSales[[#This Row],[Product]],CLEANED_MotorPH_Products_List_2!$B:$B,0))</f>
        <v>Single cylinder</v>
      </c>
      <c r="M85" s="44" t="str">
        <f>INDEX(CLEANED_MotorPH_Products_List_2!F:F,MATCH(MotorPHSales[[#This Row],[Product]],CLEANED_MotorPH_Products_List_2!$B:$B,0))</f>
        <v>liquid-cooled</v>
      </c>
      <c r="N85" s="44" t="str">
        <f>INDEX(CLEANED_MotorPH_Products_List_2!G:G,MATCH(MotorPHSales[[#This Row],[Product]],CLEANED_MotorPH_Products_List_2!$B:$B,0))</f>
        <v>150cc</v>
      </c>
      <c r="O85" s="44" t="str">
        <f>INDEX(CLEANED_MotorPH_Products_List_2!K:K,MATCH(MotorPHSales[[#This Row],[Product]],CLEANED_MotorPH_Products_List_2!B:B,0))</f>
        <v>Entry-level</v>
      </c>
      <c r="P85" s="45">
        <f>IF(MotorPHSales[[#This Row],[Segment]]="Entry-level",MotorPHSales[[#This Row],[UnitPrice]]/(1+30%),IF(MotorPHSales[[#This Row],[Segment]]="Mid-range",MotorPHSales[[#This Row],[UnitPrice]]/(1+35%),MotorPHSales[[#This Row],[UnitPrice]]/(1+40%)))*MotorPHSales[[#This Row],[Quantity]]</f>
        <v>184461.53846153847</v>
      </c>
      <c r="Q85" s="44" t="str">
        <f>INDEX(CLEANED_MotorPH_Products_List_2!H:H,MATCH(MotorPHSales[[#This Row],[Product]],CLEANED_MotorPH_Products_List_2!$B:$B,0))</f>
        <v>6-speed</v>
      </c>
    </row>
    <row r="86" spans="1:17" ht="15.75" x14ac:dyDescent="0.3">
      <c r="A86" s="43">
        <v>45886</v>
      </c>
      <c r="B86" s="44" t="str">
        <f>TEXT(MotorPHSales[[#This Row],[Date]],"mmmm")</f>
        <v>August</v>
      </c>
      <c r="C86" s="44">
        <f>DAY(MotorPHSales[[#This Row],[Date]])</f>
        <v>17</v>
      </c>
      <c r="D86" s="44">
        <f>YEAR(MotorPHSales[[#This Row],[Date]])</f>
        <v>2025</v>
      </c>
      <c r="E86" s="44" t="s">
        <v>196</v>
      </c>
      <c r="F86" s="44" t="s">
        <v>28</v>
      </c>
      <c r="G86" s="45">
        <v>164900</v>
      </c>
      <c r="H86" s="44">
        <v>8</v>
      </c>
      <c r="I86" s="45">
        <v>1319200</v>
      </c>
      <c r="J86" s="44" t="s">
        <v>197</v>
      </c>
      <c r="K86" s="44" t="str">
        <f>INDEX(CLEANED_MotorPH_Products_List_2!C:C,MATCH(MotorPHSales[[#This Row],[Product]],CLEANED_MotorPH_Products_List_2!$B:$B,0))</f>
        <v>Scooter</v>
      </c>
      <c r="L86" s="44" t="str">
        <f>INDEX(CLEANED_MotorPH_Products_List_2!E:E,MATCH(MotorPHSales[[#This Row],[Product]],CLEANED_MotorPH_Products_List_2!$B:$B,0))</f>
        <v>Single cylinder</v>
      </c>
      <c r="M86" s="44" t="str">
        <f>INDEX(CLEANED_MotorPH_Products_List_2!F:F,MATCH(MotorPHSales[[#This Row],[Product]],CLEANED_MotorPH_Products_List_2!$B:$B,0))</f>
        <v>liquid-cooled</v>
      </c>
      <c r="N86" s="44" t="str">
        <f>INDEX(CLEANED_MotorPH_Products_List_2!G:G,MATCH(MotorPHSales[[#This Row],[Product]],CLEANED_MotorPH_Products_List_2!$B:$B,0))</f>
        <v>157cc</v>
      </c>
      <c r="O86" s="44" t="str">
        <f>INDEX(CLEANED_MotorPH_Products_List_2!K:K,MATCH(MotorPHSales[[#This Row],[Product]],CLEANED_MotorPH_Products_List_2!B:B,0))</f>
        <v>Entry-level</v>
      </c>
      <c r="P86" s="45">
        <f>IF(MotorPHSales[[#This Row],[Segment]]="Entry-level",MotorPHSales[[#This Row],[UnitPrice]]/(1+30%),IF(MotorPHSales[[#This Row],[Segment]]="Mid-range",MotorPHSales[[#This Row],[UnitPrice]]/(1+35%),MotorPHSales[[#This Row],[UnitPrice]]/(1+40%)))*MotorPHSales[[#This Row],[Quantity]]</f>
        <v>1014769.2307692308</v>
      </c>
      <c r="Q86" s="44" t="str">
        <f>INDEX(CLEANED_MotorPH_Products_List_2!H:H,MATCH(MotorPHSales[[#This Row],[Product]],CLEANED_MotorPH_Products_List_2!$B:$B,0))</f>
        <v>CVT</v>
      </c>
    </row>
    <row r="87" spans="1:17" ht="15.75" x14ac:dyDescent="0.3">
      <c r="A87" s="43">
        <v>45895</v>
      </c>
      <c r="B87" s="44" t="str">
        <f>TEXT(MotorPHSales[[#This Row],[Date]],"mmmm")</f>
        <v>August</v>
      </c>
      <c r="C87" s="44">
        <f>DAY(MotorPHSales[[#This Row],[Date]])</f>
        <v>26</v>
      </c>
      <c r="D87" s="44">
        <f>YEAR(MotorPHSales[[#This Row],[Date]])</f>
        <v>2025</v>
      </c>
      <c r="E87" s="44" t="s">
        <v>194</v>
      </c>
      <c r="F87" s="44" t="s">
        <v>76</v>
      </c>
      <c r="G87" s="45">
        <v>369000</v>
      </c>
      <c r="H87" s="44">
        <v>12</v>
      </c>
      <c r="I87" s="45">
        <v>4428000</v>
      </c>
      <c r="J87" s="44" t="s">
        <v>195</v>
      </c>
      <c r="K87" s="44" t="str">
        <f>INDEX(CLEANED_MotorPH_Products_List_2!C:C,MATCH(MotorPHSales[[#This Row],[Product]],CLEANED_MotorPH_Products_List_2!$B:$B,0))</f>
        <v>Adventure</v>
      </c>
      <c r="L87" s="44" t="str">
        <f>INDEX(CLEANED_MotorPH_Products_List_2!E:E,MATCH(MotorPHSales[[#This Row],[Product]],CLEANED_MotorPH_Products_List_2!$B:$B,0))</f>
        <v>Parallel-twin</v>
      </c>
      <c r="M87" s="44" t="str">
        <f>INDEX(CLEANED_MotorPH_Products_List_2!F:F,MATCH(MotorPHSales[[#This Row],[Product]],CLEANED_MotorPH_Products_List_2!$B:$B,0))</f>
        <v>liquid-cooled</v>
      </c>
      <c r="N87" s="44" t="str">
        <f>INDEX(CLEANED_MotorPH_Products_List_2!G:G,MATCH(MotorPHSales[[#This Row],[Product]],CLEANED_MotorPH_Products_List_2!$B:$B,0))</f>
        <v>649cc</v>
      </c>
      <c r="O87" s="44" t="str">
        <f>INDEX(CLEANED_MotorPH_Products_List_2!K:K,MATCH(MotorPHSales[[#This Row],[Product]],CLEANED_MotorPH_Products_List_2!B:B,0))</f>
        <v>Premium</v>
      </c>
      <c r="P87" s="45">
        <f>IF(MotorPHSales[[#This Row],[Segment]]="Entry-level",MotorPHSales[[#This Row],[UnitPrice]]/(1+30%),IF(MotorPHSales[[#This Row],[Segment]]="Mid-range",MotorPHSales[[#This Row],[UnitPrice]]/(1+35%),MotorPHSales[[#This Row],[UnitPrice]]/(1+40%)))*MotorPHSales[[#This Row],[Quantity]]</f>
        <v>3162857.1428571427</v>
      </c>
      <c r="Q87" s="44" t="str">
        <f>INDEX(CLEANED_MotorPH_Products_List_2!H:H,MATCH(MotorPHSales[[#This Row],[Product]],CLEANED_MotorPH_Products_List_2!$B:$B,0))</f>
        <v>6-speed</v>
      </c>
    </row>
    <row r="88" spans="1:17" ht="15.75" x14ac:dyDescent="0.3">
      <c r="A88" s="43">
        <v>45870</v>
      </c>
      <c r="B88" s="44" t="str">
        <f>TEXT(MotorPHSales[[#This Row],[Date]],"mmmm")</f>
        <v>August</v>
      </c>
      <c r="C88" s="44">
        <f>DAY(MotorPHSales[[#This Row],[Date]])</f>
        <v>1</v>
      </c>
      <c r="D88" s="44">
        <f>YEAR(MotorPHSales[[#This Row],[Date]])</f>
        <v>2025</v>
      </c>
      <c r="E88" s="44" t="s">
        <v>194</v>
      </c>
      <c r="F88" s="44" t="s">
        <v>82</v>
      </c>
      <c r="G88" s="45">
        <v>199000</v>
      </c>
      <c r="H88" s="44">
        <v>19</v>
      </c>
      <c r="I88" s="45">
        <v>3781000</v>
      </c>
      <c r="J88" s="44" t="s">
        <v>198</v>
      </c>
      <c r="K88" s="44" t="str">
        <f>INDEX(CLEANED_MotorPH_Products_List_2!C:C,MATCH(MotorPHSales[[#This Row],[Product]],CLEANED_MotorPH_Products_List_2!$B:$B,0))</f>
        <v>Dual-sport</v>
      </c>
      <c r="L88" s="44" t="str">
        <f>INDEX(CLEANED_MotorPH_Products_List_2!E:E,MATCH(MotorPHSales[[#This Row],[Product]],CLEANED_MotorPH_Products_List_2!$B:$B,0))</f>
        <v>Single cylinder</v>
      </c>
      <c r="M88" s="44" t="str">
        <f>INDEX(CLEANED_MotorPH_Products_List_2!F:F,MATCH(MotorPHSales[[#This Row],[Product]],CLEANED_MotorPH_Products_List_2!$B:$B,0))</f>
        <v>air-cooled</v>
      </c>
      <c r="N88" s="44" t="str">
        <f>INDEX(CLEANED_MotorPH_Products_List_2!G:G,MATCH(MotorPHSales[[#This Row],[Product]],CLEANED_MotorPH_Products_List_2!$B:$B,0))</f>
        <v>233cc</v>
      </c>
      <c r="O88" s="44" t="str">
        <f>INDEX(CLEANED_MotorPH_Products_List_2!K:K,MATCH(MotorPHSales[[#This Row],[Product]],CLEANED_MotorPH_Products_List_2!B:B,0))</f>
        <v>Mid-range</v>
      </c>
      <c r="P88" s="45">
        <f>IF(MotorPHSales[[#This Row],[Segment]]="Entry-level",MotorPHSales[[#This Row],[UnitPrice]]/(1+30%),IF(MotorPHSales[[#This Row],[Segment]]="Mid-range",MotorPHSales[[#This Row],[UnitPrice]]/(1+35%),MotorPHSales[[#This Row],[UnitPrice]]/(1+40%)))*MotorPHSales[[#This Row],[Quantity]]</f>
        <v>2800740.7407407402</v>
      </c>
      <c r="Q88" s="44" t="str">
        <f>INDEX(CLEANED_MotorPH_Products_List_2!H:H,MATCH(MotorPHSales[[#This Row],[Product]],CLEANED_MotorPH_Products_List_2!$B:$B,0))</f>
        <v>6-speed</v>
      </c>
    </row>
    <row r="89" spans="1:17" ht="15.75" x14ac:dyDescent="0.3">
      <c r="A89" s="43">
        <v>45848</v>
      </c>
      <c r="B89" s="44" t="str">
        <f>TEXT(MotorPHSales[[#This Row],[Date]],"mmmm")</f>
        <v>July</v>
      </c>
      <c r="C89" s="44">
        <f>DAY(MotorPHSales[[#This Row],[Date]])</f>
        <v>10</v>
      </c>
      <c r="D89" s="44">
        <f>YEAR(MotorPHSales[[#This Row],[Date]])</f>
        <v>2025</v>
      </c>
      <c r="E89" s="44" t="s">
        <v>194</v>
      </c>
      <c r="F89" s="44" t="s">
        <v>47</v>
      </c>
      <c r="G89" s="45">
        <v>398000</v>
      </c>
      <c r="H89" s="44">
        <v>20</v>
      </c>
      <c r="I89" s="45">
        <v>7960000</v>
      </c>
      <c r="J89" s="44" t="s">
        <v>198</v>
      </c>
      <c r="K89" s="44" t="str">
        <f>INDEX(CLEANED_MotorPH_Products_List_2!C:C,MATCH(MotorPHSales[[#This Row],[Product]],CLEANED_MotorPH_Products_List_2!$B:$B,0))</f>
        <v>Cruiser</v>
      </c>
      <c r="L89" s="44" t="str">
        <f>INDEX(CLEANED_MotorPH_Products_List_2!E:E,MATCH(MotorPHSales[[#This Row],[Product]],CLEANED_MotorPH_Products_List_2!$B:$B,0))</f>
        <v>Parallel-twin</v>
      </c>
      <c r="M89" s="44" t="str">
        <f>INDEX(CLEANED_MotorPH_Products_List_2!F:F,MATCH(MotorPHSales[[#This Row],[Product]],CLEANED_MotorPH_Products_List_2!$B:$B,0))</f>
        <v>liquid-cooled</v>
      </c>
      <c r="N89" s="44" t="str">
        <f>INDEX(CLEANED_MotorPH_Products_List_2!G:G,MATCH(MotorPHSales[[#This Row],[Product]],CLEANED_MotorPH_Products_List_2!$B:$B,0))</f>
        <v>649cc</v>
      </c>
      <c r="O89" s="44" t="str">
        <f>INDEX(CLEANED_MotorPH_Products_List_2!K:K,MATCH(MotorPHSales[[#This Row],[Product]],CLEANED_MotorPH_Products_List_2!B:B,0))</f>
        <v>Premium</v>
      </c>
      <c r="P89" s="45">
        <f>IF(MotorPHSales[[#This Row],[Segment]]="Entry-level",MotorPHSales[[#This Row],[UnitPrice]]/(1+30%),IF(MotorPHSales[[#This Row],[Segment]]="Mid-range",MotorPHSales[[#This Row],[UnitPrice]]/(1+35%),MotorPHSales[[#This Row],[UnitPrice]]/(1+40%)))*MotorPHSales[[#This Row],[Quantity]]</f>
        <v>5685714.2857142864</v>
      </c>
      <c r="Q89" s="44" t="str">
        <f>INDEX(CLEANED_MotorPH_Products_List_2!H:H,MATCH(MotorPHSales[[#This Row],[Product]],CLEANED_MotorPH_Products_List_2!$B:$B,0))</f>
        <v>6-speed</v>
      </c>
    </row>
    <row r="90" spans="1:17" ht="15.75" x14ac:dyDescent="0.3">
      <c r="A90" s="43">
        <v>45893</v>
      </c>
      <c r="B90" s="44" t="str">
        <f>TEXT(MotorPHSales[[#This Row],[Date]],"mmmm")</f>
        <v>August</v>
      </c>
      <c r="C90" s="44">
        <f>DAY(MotorPHSales[[#This Row],[Date]])</f>
        <v>24</v>
      </c>
      <c r="D90" s="44">
        <f>YEAR(MotorPHSales[[#This Row],[Date]])</f>
        <v>2025</v>
      </c>
      <c r="E90" s="44" t="s">
        <v>194</v>
      </c>
      <c r="F90" s="44" t="s">
        <v>64</v>
      </c>
      <c r="G90" s="45">
        <v>128000</v>
      </c>
      <c r="H90" s="44">
        <v>17</v>
      </c>
      <c r="I90" s="45">
        <v>2176000</v>
      </c>
      <c r="J90" s="44" t="s">
        <v>195</v>
      </c>
      <c r="K90" s="44" t="str">
        <f>INDEX(CLEANED_MotorPH_Products_List_2!C:C,MATCH(MotorPHSales[[#This Row],[Product]],CLEANED_MotorPH_Products_List_2!$B:$B,0))</f>
        <v>Scooter</v>
      </c>
      <c r="L90" s="44" t="str">
        <f>INDEX(CLEANED_MotorPH_Products_List_2!E:E,MATCH(MotorPHSales[[#This Row],[Product]],CLEANED_MotorPH_Products_List_2!$B:$B,0))</f>
        <v>Single cylinder</v>
      </c>
      <c r="M90" s="44" t="str">
        <f>INDEX(CLEANED_MotorPH_Products_List_2!F:F,MATCH(MotorPHSales[[#This Row],[Product]],CLEANED_MotorPH_Products_List_2!$B:$B,0))</f>
        <v>liquid-cooled</v>
      </c>
      <c r="N90" s="44" t="str">
        <f>INDEX(CLEANED_MotorPH_Products_List_2!G:G,MATCH(MotorPHSales[[#This Row],[Product]],CLEANED_MotorPH_Products_List_2!$B:$B,0))</f>
        <v>149cc</v>
      </c>
      <c r="O90" s="44" t="str">
        <f>INDEX(CLEANED_MotorPH_Products_List_2!K:K,MATCH(MotorPHSales[[#This Row],[Product]],CLEANED_MotorPH_Products_List_2!B:B,0))</f>
        <v>Entry-level</v>
      </c>
      <c r="P90" s="45">
        <f>IF(MotorPHSales[[#This Row],[Segment]]="Entry-level",MotorPHSales[[#This Row],[UnitPrice]]/(1+30%),IF(MotorPHSales[[#This Row],[Segment]]="Mid-range",MotorPHSales[[#This Row],[UnitPrice]]/(1+35%),MotorPHSales[[#This Row],[UnitPrice]]/(1+40%)))*MotorPHSales[[#This Row],[Quantity]]</f>
        <v>1673846.1538461538</v>
      </c>
      <c r="Q90" s="44" t="str">
        <f>INDEX(CLEANED_MotorPH_Products_List_2!H:H,MATCH(MotorPHSales[[#This Row],[Product]],CLEANED_MotorPH_Products_List_2!$B:$B,0))</f>
        <v>CVT</v>
      </c>
    </row>
    <row r="91" spans="1:17" ht="15.75" x14ac:dyDescent="0.3">
      <c r="A91" s="43">
        <v>45888</v>
      </c>
      <c r="B91" s="44" t="str">
        <f>TEXT(MotorPHSales[[#This Row],[Date]],"mmmm")</f>
        <v>August</v>
      </c>
      <c r="C91" s="44">
        <f>DAY(MotorPHSales[[#This Row],[Date]])</f>
        <v>19</v>
      </c>
      <c r="D91" s="44">
        <f>YEAR(MotorPHSales[[#This Row],[Date]])</f>
        <v>2025</v>
      </c>
      <c r="E91" s="44" t="s">
        <v>194</v>
      </c>
      <c r="F91" s="44" t="s">
        <v>61</v>
      </c>
      <c r="G91" s="45">
        <v>284900</v>
      </c>
      <c r="H91" s="44">
        <v>17</v>
      </c>
      <c r="I91" s="45">
        <v>4843300</v>
      </c>
      <c r="J91" s="44" t="s">
        <v>197</v>
      </c>
      <c r="K91" s="44" t="str">
        <f>INDEX(CLEANED_MotorPH_Products_List_2!C:C,MATCH(MotorPHSales[[#This Row],[Product]],CLEANED_MotorPH_Products_List_2!$B:$B,0))</f>
        <v>Dual-sport</v>
      </c>
      <c r="L91" s="44" t="str">
        <f>INDEX(CLEANED_MotorPH_Products_List_2!E:E,MATCH(MotorPHSales[[#This Row],[Product]],CLEANED_MotorPH_Products_List_2!$B:$B,0))</f>
        <v>Single cylinder</v>
      </c>
      <c r="M91" s="44" t="str">
        <f>INDEX(CLEANED_MotorPH_Products_List_2!F:F,MATCH(MotorPHSales[[#This Row],[Product]],CLEANED_MotorPH_Products_List_2!$B:$B,0))</f>
        <v>liquid-cooled</v>
      </c>
      <c r="N91" s="44" t="str">
        <f>INDEX(CLEANED_MotorPH_Products_List_2!G:G,MATCH(MotorPHSales[[#This Row],[Product]],CLEANED_MotorPH_Products_List_2!$B:$B,0))</f>
        <v>286cc</v>
      </c>
      <c r="O91" s="44" t="str">
        <f>INDEX(CLEANED_MotorPH_Products_List_2!K:K,MATCH(MotorPHSales[[#This Row],[Product]],CLEANED_MotorPH_Products_List_2!B:B,0))</f>
        <v>Mid-range</v>
      </c>
      <c r="P91" s="45">
        <f>IF(MotorPHSales[[#This Row],[Segment]]="Entry-level",MotorPHSales[[#This Row],[UnitPrice]]/(1+30%),IF(MotorPHSales[[#This Row],[Segment]]="Mid-range",MotorPHSales[[#This Row],[UnitPrice]]/(1+35%),MotorPHSales[[#This Row],[UnitPrice]]/(1+40%)))*MotorPHSales[[#This Row],[Quantity]]</f>
        <v>3587629.6296296292</v>
      </c>
      <c r="Q91" s="44" t="str">
        <f>INDEX(CLEANED_MotorPH_Products_List_2!H:H,MATCH(MotorPHSales[[#This Row],[Product]],CLEANED_MotorPH_Products_List_2!$B:$B,0))</f>
        <v>6-speed</v>
      </c>
    </row>
    <row r="92" spans="1:17" ht="15.75" x14ac:dyDescent="0.3">
      <c r="A92" s="43">
        <v>45890</v>
      </c>
      <c r="B92" s="44" t="str">
        <f>TEXT(MotorPHSales[[#This Row],[Date]],"mmmm")</f>
        <v>August</v>
      </c>
      <c r="C92" s="44">
        <f>DAY(MotorPHSales[[#This Row],[Date]])</f>
        <v>21</v>
      </c>
      <c r="D92" s="44">
        <f>YEAR(MotorPHSales[[#This Row],[Date]])</f>
        <v>2025</v>
      </c>
      <c r="E92" s="44" t="s">
        <v>194</v>
      </c>
      <c r="F92" s="44" t="s">
        <v>32</v>
      </c>
      <c r="G92" s="45">
        <v>198000</v>
      </c>
      <c r="H92" s="44">
        <v>7</v>
      </c>
      <c r="I92" s="45">
        <v>1386000</v>
      </c>
      <c r="J92" s="44" t="s">
        <v>195</v>
      </c>
      <c r="K92" s="44" t="str">
        <f>INDEX(CLEANED_MotorPH_Products_List_2!C:C,MATCH(MotorPHSales[[#This Row],[Product]],CLEANED_MotorPH_Products_List_2!$B:$B,0))</f>
        <v>Sport</v>
      </c>
      <c r="L92" s="44" t="str">
        <f>INDEX(CLEANED_MotorPH_Products_List_2!E:E,MATCH(MotorPHSales[[#This Row],[Product]],CLEANED_MotorPH_Products_List_2!$B:$B,0))</f>
        <v>Single cylinder</v>
      </c>
      <c r="M92" s="44" t="str">
        <f>INDEX(CLEANED_MotorPH_Products_List_2!F:F,MATCH(MotorPHSales[[#This Row],[Product]],CLEANED_MotorPH_Products_List_2!$B:$B,0))</f>
        <v>liquid-cooled</v>
      </c>
      <c r="N92" s="44" t="str">
        <f>INDEX(CLEANED_MotorPH_Products_List_2!G:G,MATCH(MotorPHSales[[#This Row],[Product]],CLEANED_MotorPH_Products_List_2!$B:$B,0))</f>
        <v>199cc</v>
      </c>
      <c r="O92" s="44" t="str">
        <f>INDEX(CLEANED_MotorPH_Products_List_2!K:K,MATCH(MotorPHSales[[#This Row],[Product]],CLEANED_MotorPH_Products_List_2!B:B,0))</f>
        <v>Entry-level</v>
      </c>
      <c r="P92" s="45">
        <f>IF(MotorPHSales[[#This Row],[Segment]]="Entry-level",MotorPHSales[[#This Row],[UnitPrice]]/(1+30%),IF(MotorPHSales[[#This Row],[Segment]]="Mid-range",MotorPHSales[[#This Row],[UnitPrice]]/(1+35%),MotorPHSales[[#This Row],[UnitPrice]]/(1+40%)))*MotorPHSales[[#This Row],[Quantity]]</f>
        <v>1066153.8461538462</v>
      </c>
      <c r="Q92" s="44" t="str">
        <f>INDEX(CLEANED_MotorPH_Products_List_2!H:H,MATCH(MotorPHSales[[#This Row],[Product]],CLEANED_MotorPH_Products_List_2!$B:$B,0))</f>
        <v>6-speed</v>
      </c>
    </row>
    <row r="93" spans="1:17" ht="15.75" x14ac:dyDescent="0.3">
      <c r="A93" s="43">
        <v>45861</v>
      </c>
      <c r="B93" s="44" t="str">
        <f>TEXT(MotorPHSales[[#This Row],[Date]],"mmmm")</f>
        <v>July</v>
      </c>
      <c r="C93" s="44">
        <f>DAY(MotorPHSales[[#This Row],[Date]])</f>
        <v>23</v>
      </c>
      <c r="D93" s="44">
        <f>YEAR(MotorPHSales[[#This Row],[Date]])</f>
        <v>2025</v>
      </c>
      <c r="E93" s="44" t="s">
        <v>196</v>
      </c>
      <c r="F93" s="44" t="s">
        <v>8</v>
      </c>
      <c r="G93" s="45">
        <v>178000</v>
      </c>
      <c r="H93" s="44">
        <v>6</v>
      </c>
      <c r="I93" s="45">
        <v>1068000</v>
      </c>
      <c r="J93" s="44" t="s">
        <v>195</v>
      </c>
      <c r="K93" s="44" t="str">
        <f>INDEX(CLEANED_MotorPH_Products_List_2!C:C,MATCH(MotorPHSales[[#This Row],[Product]],CLEANED_MotorPH_Products_List_2!$B:$B,0))</f>
        <v>Naked bike</v>
      </c>
      <c r="L93" s="44" t="str">
        <f>INDEX(CLEANED_MotorPH_Products_List_2!E:E,MATCH(MotorPHSales[[#This Row],[Product]],CLEANED_MotorPH_Products_List_2!$B:$B,0))</f>
        <v>Single cylinder</v>
      </c>
      <c r="M93" s="44" t="str">
        <f>INDEX(CLEANED_MotorPH_Products_List_2!F:F,MATCH(MotorPHSales[[#This Row],[Product]],CLEANED_MotorPH_Products_List_2!$B:$B,0))</f>
        <v>liquid-cooled</v>
      </c>
      <c r="N93" s="44" t="str">
        <f>INDEX(CLEANED_MotorPH_Products_List_2!G:G,MATCH(MotorPHSales[[#This Row],[Product]],CLEANED_MotorPH_Products_List_2!$B:$B,0))</f>
        <v>155cc</v>
      </c>
      <c r="O93" s="44" t="str">
        <f>INDEX(CLEANED_MotorPH_Products_List_2!K:K,MATCH(MotorPHSales[[#This Row],[Product]],CLEANED_MotorPH_Products_List_2!B:B,0))</f>
        <v>Entry-level</v>
      </c>
      <c r="P93" s="45">
        <f>IF(MotorPHSales[[#This Row],[Segment]]="Entry-level",MotorPHSales[[#This Row],[UnitPrice]]/(1+30%),IF(MotorPHSales[[#This Row],[Segment]]="Mid-range",MotorPHSales[[#This Row],[UnitPrice]]/(1+35%),MotorPHSales[[#This Row],[UnitPrice]]/(1+40%)))*MotorPHSales[[#This Row],[Quantity]]</f>
        <v>821538.4615384615</v>
      </c>
      <c r="Q93" s="44" t="str">
        <f>INDEX(CLEANED_MotorPH_Products_List_2!H:H,MATCH(MotorPHSales[[#This Row],[Product]],CLEANED_MotorPH_Products_List_2!$B:$B,0))</f>
        <v>6-speed</v>
      </c>
    </row>
    <row r="94" spans="1:17" ht="15.75" x14ac:dyDescent="0.3">
      <c r="A94" s="43">
        <v>45832</v>
      </c>
      <c r="B94" s="44" t="str">
        <f>TEXT(MotorPHSales[[#This Row],[Date]],"mmmm")</f>
        <v>June</v>
      </c>
      <c r="C94" s="44">
        <f>DAY(MotorPHSales[[#This Row],[Date]])</f>
        <v>24</v>
      </c>
      <c r="D94" s="44">
        <f>YEAR(MotorPHSales[[#This Row],[Date]])</f>
        <v>2025</v>
      </c>
      <c r="E94" s="44" t="s">
        <v>194</v>
      </c>
      <c r="F94" s="44" t="s">
        <v>18</v>
      </c>
      <c r="G94" s="45">
        <v>328000</v>
      </c>
      <c r="H94" s="44">
        <v>4</v>
      </c>
      <c r="I94" s="45">
        <v>1312000</v>
      </c>
      <c r="J94" s="44" t="s">
        <v>197</v>
      </c>
      <c r="K94" s="44" t="str">
        <f>INDEX(CLEANED_MotorPH_Products_List_2!C:C,MATCH(MotorPHSales[[#This Row],[Product]],CLEANED_MotorPH_Products_List_2!$B:$B,0))</f>
        <v>Cafe racer</v>
      </c>
      <c r="L94" s="44" t="str">
        <f>INDEX(CLEANED_MotorPH_Products_List_2!E:E,MATCH(MotorPHSales[[#This Row],[Product]],CLEANED_MotorPH_Products_List_2!$B:$B,0))</f>
        <v>Twin cylinder</v>
      </c>
      <c r="M94" s="44" t="str">
        <f>INDEX(CLEANED_MotorPH_Products_List_2!F:F,MATCH(MotorPHSales[[#This Row],[Product]],CLEANED_MotorPH_Products_List_2!$B:$B,0))</f>
        <v>air-cooled</v>
      </c>
      <c r="N94" s="44" t="str">
        <f>INDEX(CLEANED_MotorPH_Products_List_2!G:G,MATCH(MotorPHSales[[#This Row],[Product]],CLEANED_MotorPH_Products_List_2!$B:$B,0))</f>
        <v>471cc</v>
      </c>
      <c r="O94" s="44" t="str">
        <f>INDEX(CLEANED_MotorPH_Products_List_2!K:K,MATCH(MotorPHSales[[#This Row],[Product]],CLEANED_MotorPH_Products_List_2!B:B,0))</f>
        <v>Mid-range</v>
      </c>
      <c r="P94" s="45">
        <f>IF(MotorPHSales[[#This Row],[Segment]]="Entry-level",MotorPHSales[[#This Row],[UnitPrice]]/(1+30%),IF(MotorPHSales[[#This Row],[Segment]]="Mid-range",MotorPHSales[[#This Row],[UnitPrice]]/(1+35%),MotorPHSales[[#This Row],[UnitPrice]]/(1+40%)))*MotorPHSales[[#This Row],[Quantity]]</f>
        <v>971851.8518518518</v>
      </c>
      <c r="Q94" s="44" t="str">
        <f>INDEX(CLEANED_MotorPH_Products_List_2!H:H,MATCH(MotorPHSales[[#This Row],[Product]],CLEANED_MotorPH_Products_List_2!$B:$B,0))</f>
        <v>6-speed</v>
      </c>
    </row>
    <row r="95" spans="1:17" ht="15.75" x14ac:dyDescent="0.3">
      <c r="A95" s="43">
        <v>45834</v>
      </c>
      <c r="B95" s="44" t="str">
        <f>TEXT(MotorPHSales[[#This Row],[Date]],"mmmm")</f>
        <v>June</v>
      </c>
      <c r="C95" s="44">
        <f>DAY(MotorPHSales[[#This Row],[Date]])</f>
        <v>26</v>
      </c>
      <c r="D95" s="44">
        <f>YEAR(MotorPHSales[[#This Row],[Date]])</f>
        <v>2025</v>
      </c>
      <c r="E95" s="44" t="s">
        <v>194</v>
      </c>
      <c r="F95" s="44" t="s">
        <v>94</v>
      </c>
      <c r="G95" s="45">
        <v>299000</v>
      </c>
      <c r="H95" s="44">
        <v>28</v>
      </c>
      <c r="I95" s="45">
        <v>8372000</v>
      </c>
      <c r="J95" s="44" t="s">
        <v>198</v>
      </c>
      <c r="K95" s="44" t="str">
        <f>INDEX(CLEANED_MotorPH_Products_List_2!C:C,MATCH(MotorPHSales[[#This Row],[Product]],CLEANED_MotorPH_Products_List_2!$B:$B,0))</f>
        <v>Dual-sport</v>
      </c>
      <c r="L95" s="44" t="str">
        <f>INDEX(CLEANED_MotorPH_Products_List_2!E:E,MATCH(MotorPHSales[[#This Row],[Product]],CLEANED_MotorPH_Products_List_2!$B:$B,0))</f>
        <v>Single cylinder</v>
      </c>
      <c r="M95" s="44" t="str">
        <f>INDEX(CLEANED_MotorPH_Products_List_2!F:F,MATCH(MotorPHSales[[#This Row],[Product]],CLEANED_MotorPH_Products_List_2!$B:$B,0))</f>
        <v>air-cooled</v>
      </c>
      <c r="N95" s="44" t="str">
        <f>INDEX(CLEANED_MotorPH_Products_List_2!G:G,MATCH(MotorPHSales[[#This Row],[Product]],CLEANED_MotorPH_Products_List_2!$B:$B,0))</f>
        <v>249cc</v>
      </c>
      <c r="O95" s="44" t="str">
        <f>INDEX(CLEANED_MotorPH_Products_List_2!K:K,MATCH(MotorPHSales[[#This Row],[Product]],CLEANED_MotorPH_Products_List_2!B:B,0))</f>
        <v>Mid-range</v>
      </c>
      <c r="P95" s="45">
        <f>IF(MotorPHSales[[#This Row],[Segment]]="Entry-level",MotorPHSales[[#This Row],[UnitPrice]]/(1+30%),IF(MotorPHSales[[#This Row],[Segment]]="Mid-range",MotorPHSales[[#This Row],[UnitPrice]]/(1+35%),MotorPHSales[[#This Row],[UnitPrice]]/(1+40%)))*MotorPHSales[[#This Row],[Quantity]]</f>
        <v>6201481.4814814813</v>
      </c>
      <c r="Q95" s="44" t="str">
        <f>INDEX(CLEANED_MotorPH_Products_List_2!H:H,MATCH(MotorPHSales[[#This Row],[Product]],CLEANED_MotorPH_Products_List_2!$B:$B,0))</f>
        <v>5-speed</v>
      </c>
    </row>
    <row r="96" spans="1:17" ht="15.75" x14ac:dyDescent="0.3">
      <c r="A96" s="43">
        <v>45897</v>
      </c>
      <c r="B96" s="44" t="str">
        <f>TEXT(MotorPHSales[[#This Row],[Date]],"mmmm")</f>
        <v>August</v>
      </c>
      <c r="C96" s="44">
        <f>DAY(MotorPHSales[[#This Row],[Date]])</f>
        <v>28</v>
      </c>
      <c r="D96" s="44">
        <f>YEAR(MotorPHSales[[#This Row],[Date]])</f>
        <v>2025</v>
      </c>
      <c r="E96" s="44" t="s">
        <v>196</v>
      </c>
      <c r="F96" s="44" t="s">
        <v>47</v>
      </c>
      <c r="G96" s="45">
        <v>398000</v>
      </c>
      <c r="H96" s="44">
        <v>2</v>
      </c>
      <c r="I96" s="45">
        <v>796000</v>
      </c>
      <c r="J96" s="44" t="s">
        <v>195</v>
      </c>
      <c r="K96" s="44" t="str">
        <f>INDEX(CLEANED_MotorPH_Products_List_2!C:C,MATCH(MotorPHSales[[#This Row],[Product]],CLEANED_MotorPH_Products_List_2!$B:$B,0))</f>
        <v>Cruiser</v>
      </c>
      <c r="L96" s="44" t="str">
        <f>INDEX(CLEANED_MotorPH_Products_List_2!E:E,MATCH(MotorPHSales[[#This Row],[Product]],CLEANED_MotorPH_Products_List_2!$B:$B,0))</f>
        <v>Parallel-twin</v>
      </c>
      <c r="M96" s="44" t="str">
        <f>INDEX(CLEANED_MotorPH_Products_List_2!F:F,MATCH(MotorPHSales[[#This Row],[Product]],CLEANED_MotorPH_Products_List_2!$B:$B,0))</f>
        <v>liquid-cooled</v>
      </c>
      <c r="N96" s="44" t="str">
        <f>INDEX(CLEANED_MotorPH_Products_List_2!G:G,MATCH(MotorPHSales[[#This Row],[Product]],CLEANED_MotorPH_Products_List_2!$B:$B,0))</f>
        <v>649cc</v>
      </c>
      <c r="O96" s="44" t="str">
        <f>INDEX(CLEANED_MotorPH_Products_List_2!K:K,MATCH(MotorPHSales[[#This Row],[Product]],CLEANED_MotorPH_Products_List_2!B:B,0))</f>
        <v>Premium</v>
      </c>
      <c r="P96" s="45">
        <f>IF(MotorPHSales[[#This Row],[Segment]]="Entry-level",MotorPHSales[[#This Row],[UnitPrice]]/(1+30%),IF(MotorPHSales[[#This Row],[Segment]]="Mid-range",MotorPHSales[[#This Row],[UnitPrice]]/(1+35%),MotorPHSales[[#This Row],[UnitPrice]]/(1+40%)))*MotorPHSales[[#This Row],[Quantity]]</f>
        <v>568571.42857142864</v>
      </c>
      <c r="Q96" s="44" t="str">
        <f>INDEX(CLEANED_MotorPH_Products_List_2!H:H,MATCH(MotorPHSales[[#This Row],[Product]],CLEANED_MotorPH_Products_List_2!$B:$B,0))</f>
        <v>6-speed</v>
      </c>
    </row>
    <row r="97" spans="1:17" ht="15.75" x14ac:dyDescent="0.3">
      <c r="A97" s="43">
        <v>45868</v>
      </c>
      <c r="B97" s="44" t="str">
        <f>TEXT(MotorPHSales[[#This Row],[Date]],"mmmm")</f>
        <v>July</v>
      </c>
      <c r="C97" s="44">
        <f>DAY(MotorPHSales[[#This Row],[Date]])</f>
        <v>30</v>
      </c>
      <c r="D97" s="44">
        <f>YEAR(MotorPHSales[[#This Row],[Date]])</f>
        <v>2025</v>
      </c>
      <c r="E97" s="44" t="s">
        <v>194</v>
      </c>
      <c r="F97" s="44" t="s">
        <v>61</v>
      </c>
      <c r="G97" s="45">
        <v>284900</v>
      </c>
      <c r="H97" s="44">
        <v>7</v>
      </c>
      <c r="I97" s="45">
        <v>1994300</v>
      </c>
      <c r="J97" s="44" t="s">
        <v>195</v>
      </c>
      <c r="K97" s="44" t="str">
        <f>INDEX(CLEANED_MotorPH_Products_List_2!C:C,MATCH(MotorPHSales[[#This Row],[Product]],CLEANED_MotorPH_Products_List_2!$B:$B,0))</f>
        <v>Dual-sport</v>
      </c>
      <c r="L97" s="44" t="str">
        <f>INDEX(CLEANED_MotorPH_Products_List_2!E:E,MATCH(MotorPHSales[[#This Row],[Product]],CLEANED_MotorPH_Products_List_2!$B:$B,0))</f>
        <v>Single cylinder</v>
      </c>
      <c r="M97" s="44" t="str">
        <f>INDEX(CLEANED_MotorPH_Products_List_2!F:F,MATCH(MotorPHSales[[#This Row],[Product]],CLEANED_MotorPH_Products_List_2!$B:$B,0))</f>
        <v>liquid-cooled</v>
      </c>
      <c r="N97" s="44" t="str">
        <f>INDEX(CLEANED_MotorPH_Products_List_2!G:G,MATCH(MotorPHSales[[#This Row],[Product]],CLEANED_MotorPH_Products_List_2!$B:$B,0))</f>
        <v>286cc</v>
      </c>
      <c r="O97" s="44" t="str">
        <f>INDEX(CLEANED_MotorPH_Products_List_2!K:K,MATCH(MotorPHSales[[#This Row],[Product]],CLEANED_MotorPH_Products_List_2!B:B,0))</f>
        <v>Mid-range</v>
      </c>
      <c r="P97" s="45">
        <f>IF(MotorPHSales[[#This Row],[Segment]]="Entry-level",MotorPHSales[[#This Row],[UnitPrice]]/(1+30%),IF(MotorPHSales[[#This Row],[Segment]]="Mid-range",MotorPHSales[[#This Row],[UnitPrice]]/(1+35%),MotorPHSales[[#This Row],[UnitPrice]]/(1+40%)))*MotorPHSales[[#This Row],[Quantity]]</f>
        <v>1477259.2592592591</v>
      </c>
      <c r="Q97" s="44" t="str">
        <f>INDEX(CLEANED_MotorPH_Products_List_2!H:H,MATCH(MotorPHSales[[#This Row],[Product]],CLEANED_MotorPH_Products_List_2!$B:$B,0))</f>
        <v>6-speed</v>
      </c>
    </row>
    <row r="98" spans="1:17" ht="15.75" x14ac:dyDescent="0.3">
      <c r="A98" s="43">
        <v>45849</v>
      </c>
      <c r="B98" s="44" t="str">
        <f>TEXT(MotorPHSales[[#This Row],[Date]],"mmmm")</f>
        <v>July</v>
      </c>
      <c r="C98" s="44">
        <f>DAY(MotorPHSales[[#This Row],[Date]])</f>
        <v>11</v>
      </c>
      <c r="D98" s="44">
        <f>YEAR(MotorPHSales[[#This Row],[Date]])</f>
        <v>2025</v>
      </c>
      <c r="E98" s="44" t="s">
        <v>194</v>
      </c>
      <c r="F98" s="44" t="s">
        <v>82</v>
      </c>
      <c r="G98" s="45">
        <v>199000</v>
      </c>
      <c r="H98" s="44">
        <v>6</v>
      </c>
      <c r="I98" s="45">
        <v>1194000</v>
      </c>
      <c r="J98" s="44" t="s">
        <v>198</v>
      </c>
      <c r="K98" s="44" t="str">
        <f>INDEX(CLEANED_MotorPH_Products_List_2!C:C,MATCH(MotorPHSales[[#This Row],[Product]],CLEANED_MotorPH_Products_List_2!$B:$B,0))</f>
        <v>Dual-sport</v>
      </c>
      <c r="L98" s="44" t="str">
        <f>INDEX(CLEANED_MotorPH_Products_List_2!E:E,MATCH(MotorPHSales[[#This Row],[Product]],CLEANED_MotorPH_Products_List_2!$B:$B,0))</f>
        <v>Single cylinder</v>
      </c>
      <c r="M98" s="44" t="str">
        <f>INDEX(CLEANED_MotorPH_Products_List_2!F:F,MATCH(MotorPHSales[[#This Row],[Product]],CLEANED_MotorPH_Products_List_2!$B:$B,0))</f>
        <v>air-cooled</v>
      </c>
      <c r="N98" s="44" t="str">
        <f>INDEX(CLEANED_MotorPH_Products_List_2!G:G,MATCH(MotorPHSales[[#This Row],[Product]],CLEANED_MotorPH_Products_List_2!$B:$B,0))</f>
        <v>233cc</v>
      </c>
      <c r="O98" s="44" t="str">
        <f>INDEX(CLEANED_MotorPH_Products_List_2!K:K,MATCH(MotorPHSales[[#This Row],[Product]],CLEANED_MotorPH_Products_List_2!B:B,0))</f>
        <v>Mid-range</v>
      </c>
      <c r="P98" s="45">
        <f>IF(MotorPHSales[[#This Row],[Segment]]="Entry-level",MotorPHSales[[#This Row],[UnitPrice]]/(1+30%),IF(MotorPHSales[[#This Row],[Segment]]="Mid-range",MotorPHSales[[#This Row],[UnitPrice]]/(1+35%),MotorPHSales[[#This Row],[UnitPrice]]/(1+40%)))*MotorPHSales[[#This Row],[Quantity]]</f>
        <v>884444.44444444426</v>
      </c>
      <c r="Q98" s="44" t="str">
        <f>INDEX(CLEANED_MotorPH_Products_List_2!H:H,MATCH(MotorPHSales[[#This Row],[Product]],CLEANED_MotorPH_Products_List_2!$B:$B,0))</f>
        <v>6-speed</v>
      </c>
    </row>
    <row r="99" spans="1:17" ht="15.75" x14ac:dyDescent="0.3">
      <c r="A99" s="43">
        <v>45837</v>
      </c>
      <c r="B99" s="44" t="str">
        <f>TEXT(MotorPHSales[[#This Row],[Date]],"mmmm")</f>
        <v>June</v>
      </c>
      <c r="C99" s="44">
        <f>DAY(MotorPHSales[[#This Row],[Date]])</f>
        <v>29</v>
      </c>
      <c r="D99" s="44">
        <f>YEAR(MotorPHSales[[#This Row],[Date]])</f>
        <v>2025</v>
      </c>
      <c r="E99" s="44" t="s">
        <v>196</v>
      </c>
      <c r="F99" s="44" t="s">
        <v>20</v>
      </c>
      <c r="G99" s="45">
        <v>534000</v>
      </c>
      <c r="H99" s="44">
        <v>7</v>
      </c>
      <c r="I99" s="45">
        <v>1246000</v>
      </c>
      <c r="J99" s="44" t="s">
        <v>198</v>
      </c>
      <c r="K99" s="44" t="str">
        <f>INDEX(CLEANED_MotorPH_Products_List_2!C:C,MATCH(MotorPHSales[[#This Row],[Product]],CLEANED_MotorPH_Products_List_2!$B:$B,0))</f>
        <v>Naked bike</v>
      </c>
      <c r="L99" s="44" t="str">
        <f>INDEX(CLEANED_MotorPH_Products_List_2!E:E,MATCH(MotorPHSales[[#This Row],[Product]],CLEANED_MotorPH_Products_List_2!$B:$B,0))</f>
        <v>Single cylinder</v>
      </c>
      <c r="M99" s="44" t="str">
        <f>INDEX(CLEANED_MotorPH_Products_List_2!F:F,MATCH(MotorPHSales[[#This Row],[Product]],CLEANED_MotorPH_Products_List_2!$B:$B,0))</f>
        <v>liquid-cooled</v>
      </c>
      <c r="N99" s="44" t="str">
        <f>INDEX(CLEANED_MotorPH_Products_List_2!G:G,MATCH(MotorPHSales[[#This Row],[Product]],CLEANED_MotorPH_Products_List_2!$B:$B,0))</f>
        <v>199cc</v>
      </c>
      <c r="O99" s="44" t="str">
        <f>INDEX(CLEANED_MotorPH_Products_List_2!K:K,MATCH(MotorPHSales[[#This Row],[Product]],CLEANED_MotorPH_Products_List_2!B:B,0))</f>
        <v>Entry-level</v>
      </c>
      <c r="P99" s="45">
        <f>IF(MotorPHSales[[#This Row],[Segment]]="Entry-level",MotorPHSales[[#This Row],[UnitPrice]]/(1+30%),IF(MotorPHSales[[#This Row],[Segment]]="Mid-range",MotorPHSales[[#This Row],[UnitPrice]]/(1+35%),MotorPHSales[[#This Row],[UnitPrice]]/(1+40%)))*MotorPHSales[[#This Row],[Quantity]]</f>
        <v>2875384.615384615</v>
      </c>
      <c r="Q99" s="44" t="str">
        <f>INDEX(CLEANED_MotorPH_Products_List_2!H:H,MATCH(MotorPHSales[[#This Row],[Product]],CLEANED_MotorPH_Products_List_2!$B:$B,0))</f>
        <v>6-speed</v>
      </c>
    </row>
    <row r="100" spans="1:17" ht="15.75" x14ac:dyDescent="0.3">
      <c r="A100" s="43">
        <v>45823</v>
      </c>
      <c r="B100" s="44" t="str">
        <f>TEXT(MotorPHSales[[#This Row],[Date]],"mmmm")</f>
        <v>June</v>
      </c>
      <c r="C100" s="44">
        <f>DAY(MotorPHSales[[#This Row],[Date]])</f>
        <v>15</v>
      </c>
      <c r="D100" s="44">
        <f>YEAR(MotorPHSales[[#This Row],[Date]])</f>
        <v>2025</v>
      </c>
      <c r="E100" s="44" t="s">
        <v>194</v>
      </c>
      <c r="F100" s="44" t="s">
        <v>66</v>
      </c>
      <c r="G100" s="45">
        <v>499000</v>
      </c>
      <c r="H100" s="44">
        <v>19</v>
      </c>
      <c r="I100" s="45">
        <v>9481000</v>
      </c>
      <c r="J100" s="44" t="s">
        <v>198</v>
      </c>
      <c r="K100" s="44" t="str">
        <f>INDEX(CLEANED_MotorPH_Products_List_2!C:C,MATCH(MotorPHSales[[#This Row],[Product]],CLEANED_MotorPH_Products_List_2!$B:$B,0))</f>
        <v>Cruiser</v>
      </c>
      <c r="L100" s="44" t="str">
        <f>INDEX(CLEANED_MotorPH_Products_List_2!E:E,MATCH(MotorPHSales[[#This Row],[Product]],CLEANED_MotorPH_Products_List_2!$B:$B,0))</f>
        <v>V-twin</v>
      </c>
      <c r="M100" s="44" t="str">
        <f>INDEX(CLEANED_MotorPH_Products_List_2!F:F,MATCH(MotorPHSales[[#This Row],[Product]],CLEANED_MotorPH_Products_List_2!$B:$B,0))</f>
        <v>liquid-cooled</v>
      </c>
      <c r="N100" s="44" t="str">
        <f>INDEX(CLEANED_MotorPH_Products_List_2!G:G,MATCH(MotorPHSales[[#This Row],[Product]],CLEANED_MotorPH_Products_List_2!$B:$B,0))</f>
        <v>749cc</v>
      </c>
      <c r="O100" s="44" t="str">
        <f>INDEX(CLEANED_MotorPH_Products_List_2!K:K,MATCH(MotorPHSales[[#This Row],[Product]],CLEANED_MotorPH_Products_List_2!B:B,0))</f>
        <v>Premium</v>
      </c>
      <c r="P100" s="45">
        <f>IF(MotorPHSales[[#This Row],[Segment]]="Entry-level",MotorPHSales[[#This Row],[UnitPrice]]/(1+30%),IF(MotorPHSales[[#This Row],[Segment]]="Mid-range",MotorPHSales[[#This Row],[UnitPrice]]/(1+35%),MotorPHSales[[#This Row],[UnitPrice]]/(1+40%)))*MotorPHSales[[#This Row],[Quantity]]</f>
        <v>6772142.8571428582</v>
      </c>
      <c r="Q100" s="44" t="str">
        <f>INDEX(CLEANED_MotorPH_Products_List_2!H:H,MATCH(MotorPHSales[[#This Row],[Product]],CLEANED_MotorPH_Products_List_2!$B:$B,0))</f>
        <v>6-speed</v>
      </c>
    </row>
    <row r="101" spans="1:17" ht="15.75" x14ac:dyDescent="0.3">
      <c r="A101" s="43">
        <v>45853</v>
      </c>
      <c r="B101" s="44" t="str">
        <f>TEXT(MotorPHSales[[#This Row],[Date]],"mmmm")</f>
        <v>July</v>
      </c>
      <c r="C101" s="44">
        <f>DAY(MotorPHSales[[#This Row],[Date]])</f>
        <v>15</v>
      </c>
      <c r="D101" s="44">
        <f>YEAR(MotorPHSales[[#This Row],[Date]])</f>
        <v>2025</v>
      </c>
      <c r="E101" s="44" t="s">
        <v>194</v>
      </c>
      <c r="F101" s="44" t="s">
        <v>42</v>
      </c>
      <c r="G101" s="45">
        <v>125000</v>
      </c>
      <c r="H101" s="44">
        <v>19</v>
      </c>
      <c r="I101" s="45">
        <v>2375000</v>
      </c>
      <c r="J101" s="44" t="s">
        <v>198</v>
      </c>
      <c r="K101" s="44" t="str">
        <f>INDEX(CLEANED_MotorPH_Products_List_2!C:C,MATCH(MotorPHSales[[#This Row],[Product]],CLEANED_MotorPH_Products_List_2!$B:$B,0))</f>
        <v>Naked bike</v>
      </c>
      <c r="L101" s="44" t="str">
        <f>INDEX(CLEANED_MotorPH_Products_List_2!E:E,MATCH(MotorPHSales[[#This Row],[Product]],CLEANED_MotorPH_Products_List_2!$B:$B,0))</f>
        <v>Single cylinder</v>
      </c>
      <c r="M101" s="44" t="str">
        <f>INDEX(CLEANED_MotorPH_Products_List_2!F:F,MATCH(MotorPHSales[[#This Row],[Product]],CLEANED_MotorPH_Products_List_2!$B:$B,0))</f>
        <v>liquid-cooled</v>
      </c>
      <c r="N101" s="44" t="str">
        <f>INDEX(CLEANED_MotorPH_Products_List_2!G:G,MATCH(MotorPHSales[[#This Row],[Product]],CLEANED_MotorPH_Products_List_2!$B:$B,0))</f>
        <v>147cc</v>
      </c>
      <c r="O101" s="44" t="str">
        <f>INDEX(CLEANED_MotorPH_Products_List_2!K:K,MATCH(MotorPHSales[[#This Row],[Product]],CLEANED_MotorPH_Products_List_2!B:B,0))</f>
        <v>Entry-level</v>
      </c>
      <c r="P101" s="45">
        <f>IF(MotorPHSales[[#This Row],[Segment]]="Entry-level",MotorPHSales[[#This Row],[UnitPrice]]/(1+30%),IF(MotorPHSales[[#This Row],[Segment]]="Mid-range",MotorPHSales[[#This Row],[UnitPrice]]/(1+35%),MotorPHSales[[#This Row],[UnitPrice]]/(1+40%)))*MotorPHSales[[#This Row],[Quantity]]</f>
        <v>1826923.076923077</v>
      </c>
      <c r="Q101" s="44" t="str">
        <f>INDEX(CLEANED_MotorPH_Products_List_2!H:H,MATCH(MotorPHSales[[#This Row],[Product]],CLEANED_MotorPH_Products_List_2!$B:$B,0))</f>
        <v>6-speed</v>
      </c>
    </row>
    <row r="102" spans="1:17" ht="15.75" x14ac:dyDescent="0.3">
      <c r="A102" s="43">
        <v>45873</v>
      </c>
      <c r="B102" s="44" t="str">
        <f>TEXT(MotorPHSales[[#This Row],[Date]],"mmmm")</f>
        <v>August</v>
      </c>
      <c r="C102" s="44">
        <f>DAY(MotorPHSales[[#This Row],[Date]])</f>
        <v>4</v>
      </c>
      <c r="D102" s="44">
        <f>YEAR(MotorPHSales[[#This Row],[Date]])</f>
        <v>2025</v>
      </c>
      <c r="E102" s="44" t="s">
        <v>196</v>
      </c>
      <c r="F102" s="44" t="s">
        <v>53</v>
      </c>
      <c r="G102" s="45">
        <v>345000</v>
      </c>
      <c r="H102" s="44">
        <v>4</v>
      </c>
      <c r="I102" s="45">
        <v>1380000</v>
      </c>
      <c r="J102" s="44" t="s">
        <v>198</v>
      </c>
      <c r="K102" s="44" t="str">
        <f>INDEX(CLEANED_MotorPH_Products_List_2!C:C,MATCH(MotorPHSales[[#This Row],[Product]],CLEANED_MotorPH_Products_List_2!$B:$B,0))</f>
        <v>Touring</v>
      </c>
      <c r="L102" s="44" t="str">
        <f>INDEX(CLEANED_MotorPH_Products_List_2!E:E,MATCH(MotorPHSales[[#This Row],[Product]],CLEANED_MotorPH_Products_List_2!$B:$B,0))</f>
        <v>Parallel-twin</v>
      </c>
      <c r="M102" s="44" t="str">
        <f>INDEX(CLEANED_MotorPH_Products_List_2!F:F,MATCH(MotorPHSales[[#This Row],[Product]],CLEANED_MotorPH_Products_List_2!$B:$B,0))</f>
        <v>liquid-cooled</v>
      </c>
      <c r="N102" s="44" t="str">
        <f>INDEX(CLEANED_MotorPH_Products_List_2!G:G,MATCH(MotorPHSales[[#This Row],[Product]],CLEANED_MotorPH_Products_List_2!$B:$B,0))</f>
        <v>649cc</v>
      </c>
      <c r="O102" s="44" t="str">
        <f>INDEX(CLEANED_MotorPH_Products_List_2!K:K,MATCH(MotorPHSales[[#This Row],[Product]],CLEANED_MotorPH_Products_List_2!B:B,0))</f>
        <v>Premium</v>
      </c>
      <c r="P102" s="45">
        <f>IF(MotorPHSales[[#This Row],[Segment]]="Entry-level",MotorPHSales[[#This Row],[UnitPrice]]/(1+30%),IF(MotorPHSales[[#This Row],[Segment]]="Mid-range",MotorPHSales[[#This Row],[UnitPrice]]/(1+35%),MotorPHSales[[#This Row],[UnitPrice]]/(1+40%)))*MotorPHSales[[#This Row],[Quantity]]</f>
        <v>985714.2857142858</v>
      </c>
      <c r="Q102" s="44" t="str">
        <f>INDEX(CLEANED_MotorPH_Products_List_2!H:H,MATCH(MotorPHSales[[#This Row],[Product]],CLEANED_MotorPH_Products_List_2!$B:$B,0))</f>
        <v>6-speed</v>
      </c>
    </row>
    <row r="103" spans="1:17" ht="15.75" x14ac:dyDescent="0.3">
      <c r="A103" s="43">
        <v>45897</v>
      </c>
      <c r="B103" s="44" t="str">
        <f>TEXT(MotorPHSales[[#This Row],[Date]],"mmmm")</f>
        <v>August</v>
      </c>
      <c r="C103" s="44">
        <f>DAY(MotorPHSales[[#This Row],[Date]])</f>
        <v>28</v>
      </c>
      <c r="D103" s="44">
        <f>YEAR(MotorPHSales[[#This Row],[Date]])</f>
        <v>2025</v>
      </c>
      <c r="E103" s="44" t="s">
        <v>196</v>
      </c>
      <c r="F103" s="44" t="s">
        <v>92</v>
      </c>
      <c r="G103" s="45">
        <v>289000</v>
      </c>
      <c r="H103" s="44">
        <v>10</v>
      </c>
      <c r="I103" s="45">
        <v>2890000</v>
      </c>
      <c r="J103" s="44" t="s">
        <v>195</v>
      </c>
      <c r="K103" s="44" t="str">
        <f>INDEX(CLEANED_MotorPH_Products_List_2!C:C,MATCH(MotorPHSales[[#This Row],[Product]],CLEANED_MotorPH_Products_List_2!$B:$B,0))</f>
        <v>Scooter</v>
      </c>
      <c r="L103" s="44" t="str">
        <f>INDEX(CLEANED_MotorPH_Products_List_2!E:E,MATCH(MotorPHSales[[#This Row],[Product]],CLEANED_MotorPH_Products_List_2!$B:$B,0))</f>
        <v>Single cylinder</v>
      </c>
      <c r="M103" s="44" t="str">
        <f>INDEX(CLEANED_MotorPH_Products_List_2!F:F,MATCH(MotorPHSales[[#This Row],[Product]],CLEANED_MotorPH_Products_List_2!$B:$B,0))</f>
        <v>liquid-cooled</v>
      </c>
      <c r="N103" s="44" t="str">
        <f>INDEX(CLEANED_MotorPH_Products_List_2!G:G,MATCH(MotorPHSales[[#This Row],[Product]],CLEANED_MotorPH_Products_List_2!$B:$B,0))</f>
        <v>181cc</v>
      </c>
      <c r="O103" s="44" t="str">
        <f>INDEX(CLEANED_MotorPH_Products_List_2!K:K,MATCH(MotorPHSales[[#This Row],[Product]],CLEANED_MotorPH_Products_List_2!B:B,0))</f>
        <v>Entry-level</v>
      </c>
      <c r="P103" s="45">
        <f>IF(MotorPHSales[[#This Row],[Segment]]="Entry-level",MotorPHSales[[#This Row],[UnitPrice]]/(1+30%),IF(MotorPHSales[[#This Row],[Segment]]="Mid-range",MotorPHSales[[#This Row],[UnitPrice]]/(1+35%),MotorPHSales[[#This Row],[UnitPrice]]/(1+40%)))*MotorPHSales[[#This Row],[Quantity]]</f>
        <v>2223076.923076923</v>
      </c>
      <c r="Q103" s="44" t="str">
        <f>INDEX(CLEANED_MotorPH_Products_List_2!H:H,MATCH(MotorPHSales[[#This Row],[Product]],CLEANED_MotorPH_Products_List_2!$B:$B,0))</f>
        <v>CVT</v>
      </c>
    </row>
    <row r="104" spans="1:17" ht="15.75" x14ac:dyDescent="0.3">
      <c r="A104" s="43">
        <v>45879</v>
      </c>
      <c r="B104" s="44" t="str">
        <f>TEXT(MotorPHSales[[#This Row],[Date]],"mmmm")</f>
        <v>August</v>
      </c>
      <c r="C104" s="44">
        <f>DAY(MotorPHSales[[#This Row],[Date]])</f>
        <v>10</v>
      </c>
      <c r="D104" s="44">
        <f>YEAR(MotorPHSales[[#This Row],[Date]])</f>
        <v>2025</v>
      </c>
      <c r="E104" s="44" t="s">
        <v>196</v>
      </c>
      <c r="F104" s="44" t="s">
        <v>72</v>
      </c>
      <c r="G104" s="45">
        <v>319000</v>
      </c>
      <c r="H104" s="44">
        <v>31</v>
      </c>
      <c r="I104" s="45">
        <v>9889000</v>
      </c>
      <c r="J104" s="44" t="s">
        <v>198</v>
      </c>
      <c r="K104" s="44" t="str">
        <f>INDEX(CLEANED_MotorPH_Products_List_2!C:C,MATCH(MotorPHSales[[#This Row],[Product]],CLEANED_MotorPH_Products_List_2!$B:$B,0))</f>
        <v>Scooter</v>
      </c>
      <c r="L104" s="44" t="str">
        <f>INDEX(CLEANED_MotorPH_Products_List_2!E:E,MATCH(MotorPHSales[[#This Row],[Product]],CLEANED_MotorPH_Products_List_2!$B:$B,0))</f>
        <v>Single cylinder</v>
      </c>
      <c r="M104" s="44" t="str">
        <f>INDEX(CLEANED_MotorPH_Products_List_2!F:F,MATCH(MotorPHSales[[#This Row],[Product]],CLEANED_MotorPH_Products_List_2!$B:$B,0))</f>
        <v>liquid-cooled</v>
      </c>
      <c r="N104" s="44" t="str">
        <f>INDEX(CLEANED_MotorPH_Products_List_2!G:G,MATCH(MotorPHSales[[#This Row],[Product]],CLEANED_MotorPH_Products_List_2!$B:$B,0))</f>
        <v>292cc</v>
      </c>
      <c r="O104" s="44" t="str">
        <f>INDEX(CLEANED_MotorPH_Products_List_2!K:K,MATCH(MotorPHSales[[#This Row],[Product]],CLEANED_MotorPH_Products_List_2!B:B,0))</f>
        <v>Mid-range</v>
      </c>
      <c r="P104" s="45">
        <f>IF(MotorPHSales[[#This Row],[Segment]]="Entry-level",MotorPHSales[[#This Row],[UnitPrice]]/(1+30%),IF(MotorPHSales[[#This Row],[Segment]]="Mid-range",MotorPHSales[[#This Row],[UnitPrice]]/(1+35%),MotorPHSales[[#This Row],[UnitPrice]]/(1+40%)))*MotorPHSales[[#This Row],[Quantity]]</f>
        <v>7325185.1851851847</v>
      </c>
      <c r="Q104" s="44" t="str">
        <f>INDEX(CLEANED_MotorPH_Products_List_2!H:H,MATCH(MotorPHSales[[#This Row],[Product]],CLEANED_MotorPH_Products_List_2!$B:$B,0))</f>
        <v>CVT</v>
      </c>
    </row>
    <row r="105" spans="1:17" ht="15.75" x14ac:dyDescent="0.3">
      <c r="A105" s="43">
        <v>45817</v>
      </c>
      <c r="B105" s="44" t="str">
        <f>TEXT(MotorPHSales[[#This Row],[Date]],"mmmm")</f>
        <v>June</v>
      </c>
      <c r="C105" s="44">
        <f>DAY(MotorPHSales[[#This Row],[Date]])</f>
        <v>9</v>
      </c>
      <c r="D105" s="44">
        <f>YEAR(MotorPHSales[[#This Row],[Date]])</f>
        <v>2025</v>
      </c>
      <c r="E105" s="44" t="s">
        <v>194</v>
      </c>
      <c r="F105" s="44" t="s">
        <v>88</v>
      </c>
      <c r="G105" s="45">
        <v>599000</v>
      </c>
      <c r="H105" s="44">
        <v>14</v>
      </c>
      <c r="I105" s="45">
        <v>8386000</v>
      </c>
      <c r="J105" s="44" t="s">
        <v>198</v>
      </c>
      <c r="K105" s="44" t="str">
        <f>INDEX(CLEANED_MotorPH_Products_List_2!C:C,MATCH(MotorPHSales[[#This Row],[Product]],CLEANED_MotorPH_Products_List_2!$B:$B,0))</f>
        <v>Naked bike</v>
      </c>
      <c r="L105" s="44" t="str">
        <f>INDEX(CLEANED_MotorPH_Products_List_2!E:E,MATCH(MotorPHSales[[#This Row],[Product]],CLEANED_MotorPH_Products_List_2!$B:$B,0))</f>
        <v>Parallel-twin</v>
      </c>
      <c r="M105" s="44" t="str">
        <f>INDEX(CLEANED_MotorPH_Products_List_2!F:F,MATCH(MotorPHSales[[#This Row],[Product]],CLEANED_MotorPH_Products_List_2!$B:$B,0))</f>
        <v>liquid-cooled</v>
      </c>
      <c r="N105" s="44" t="str">
        <f>INDEX(CLEANED_MotorPH_Products_List_2!G:G,MATCH(MotorPHSales[[#This Row],[Product]],CLEANED_MotorPH_Products_List_2!$B:$B,0))</f>
        <v>799cc</v>
      </c>
      <c r="O105" s="44" t="str">
        <f>INDEX(CLEANED_MotorPH_Products_List_2!K:K,MATCH(MotorPHSales[[#This Row],[Product]],CLEANED_MotorPH_Products_List_2!B:B,0))</f>
        <v>Premium</v>
      </c>
      <c r="P105" s="45">
        <f>IF(MotorPHSales[[#This Row],[Segment]]="Entry-level",MotorPHSales[[#This Row],[UnitPrice]]/(1+30%),IF(MotorPHSales[[#This Row],[Segment]]="Mid-range",MotorPHSales[[#This Row],[UnitPrice]]/(1+35%),MotorPHSales[[#This Row],[UnitPrice]]/(1+40%)))*MotorPHSales[[#This Row],[Quantity]]</f>
        <v>5990000.0000000009</v>
      </c>
      <c r="Q105" s="44" t="str">
        <f>INDEX(CLEANED_MotorPH_Products_List_2!H:H,MATCH(MotorPHSales[[#This Row],[Product]],CLEANED_MotorPH_Products_List_2!$B:$B,0))</f>
        <v>6-speed</v>
      </c>
    </row>
    <row r="106" spans="1:17" ht="15.75" x14ac:dyDescent="0.3">
      <c r="A106" s="43">
        <v>45896</v>
      </c>
      <c r="B106" s="44" t="str">
        <f>TEXT(MotorPHSales[[#This Row],[Date]],"mmmm")</f>
        <v>August</v>
      </c>
      <c r="C106" s="44">
        <f>DAY(MotorPHSales[[#This Row],[Date]])</f>
        <v>27</v>
      </c>
      <c r="D106" s="44">
        <f>YEAR(MotorPHSales[[#This Row],[Date]])</f>
        <v>2025</v>
      </c>
      <c r="E106" s="44" t="s">
        <v>196</v>
      </c>
      <c r="F106" s="44" t="s">
        <v>26</v>
      </c>
      <c r="G106" s="45">
        <v>151900</v>
      </c>
      <c r="H106" s="44">
        <v>19</v>
      </c>
      <c r="I106" s="45">
        <v>2886100</v>
      </c>
      <c r="J106" s="44" t="s">
        <v>197</v>
      </c>
      <c r="K106" s="44" t="str">
        <f>INDEX(CLEANED_MotorPH_Products_List_2!C:C,MATCH(MotorPHSales[[#This Row],[Product]],CLEANED_MotorPH_Products_List_2!$B:$B,0))</f>
        <v>Scooter</v>
      </c>
      <c r="L106" s="44" t="str">
        <f>INDEX(CLEANED_MotorPH_Products_List_2!E:E,MATCH(MotorPHSales[[#This Row],[Product]],CLEANED_MotorPH_Products_List_2!$B:$B,0))</f>
        <v>Single cylinder</v>
      </c>
      <c r="M106" s="44" t="str">
        <f>INDEX(CLEANED_MotorPH_Products_List_2!F:F,MATCH(MotorPHSales[[#This Row],[Product]],CLEANED_MotorPH_Products_List_2!$B:$B,0))</f>
        <v>liquid-cooled</v>
      </c>
      <c r="N106" s="44" t="str">
        <f>INDEX(CLEANED_MotorPH_Products_List_2!G:G,MATCH(MotorPHSales[[#This Row],[Product]],CLEANED_MotorPH_Products_List_2!$B:$B,0))</f>
        <v>155cc</v>
      </c>
      <c r="O106" s="44" t="str">
        <f>INDEX(CLEANED_MotorPH_Products_List_2!K:K,MATCH(MotorPHSales[[#This Row],[Product]],CLEANED_MotorPH_Products_List_2!B:B,0))</f>
        <v>Entry-level</v>
      </c>
      <c r="P106" s="45">
        <f>IF(MotorPHSales[[#This Row],[Segment]]="Entry-level",MotorPHSales[[#This Row],[UnitPrice]]/(1+30%),IF(MotorPHSales[[#This Row],[Segment]]="Mid-range",MotorPHSales[[#This Row],[UnitPrice]]/(1+35%),MotorPHSales[[#This Row],[UnitPrice]]/(1+40%)))*MotorPHSales[[#This Row],[Quantity]]</f>
        <v>2220076.923076923</v>
      </c>
      <c r="Q106" s="44" t="str">
        <f>INDEX(CLEANED_MotorPH_Products_List_2!H:H,MATCH(MotorPHSales[[#This Row],[Product]],CLEANED_MotorPH_Products_List_2!$B:$B,0))</f>
        <v>CVT</v>
      </c>
    </row>
    <row r="107" spans="1:17" ht="15.75" x14ac:dyDescent="0.3">
      <c r="A107" s="43">
        <v>45809</v>
      </c>
      <c r="B107" s="44" t="str">
        <f>TEXT(MotorPHSales[[#This Row],[Date]],"mmmm")</f>
        <v>June</v>
      </c>
      <c r="C107" s="44">
        <f>DAY(MotorPHSales[[#This Row],[Date]])</f>
        <v>1</v>
      </c>
      <c r="D107" s="44">
        <f>YEAR(MotorPHSales[[#This Row],[Date]])</f>
        <v>2025</v>
      </c>
      <c r="E107" s="44" t="s">
        <v>196</v>
      </c>
      <c r="F107" s="44" t="s">
        <v>88</v>
      </c>
      <c r="G107" s="45">
        <v>599000</v>
      </c>
      <c r="H107" s="44">
        <v>9</v>
      </c>
      <c r="I107" s="45">
        <v>5391000</v>
      </c>
      <c r="J107" s="44" t="s">
        <v>198</v>
      </c>
      <c r="K107" s="44" t="str">
        <f>INDEX(CLEANED_MotorPH_Products_List_2!C:C,MATCH(MotorPHSales[[#This Row],[Product]],CLEANED_MotorPH_Products_List_2!$B:$B,0))</f>
        <v>Naked bike</v>
      </c>
      <c r="L107" s="44" t="str">
        <f>INDEX(CLEANED_MotorPH_Products_List_2!E:E,MATCH(MotorPHSales[[#This Row],[Product]],CLEANED_MotorPH_Products_List_2!$B:$B,0))</f>
        <v>Parallel-twin</v>
      </c>
      <c r="M107" s="44" t="str">
        <f>INDEX(CLEANED_MotorPH_Products_List_2!F:F,MATCH(MotorPHSales[[#This Row],[Product]],CLEANED_MotorPH_Products_List_2!$B:$B,0))</f>
        <v>liquid-cooled</v>
      </c>
      <c r="N107" s="44" t="str">
        <f>INDEX(CLEANED_MotorPH_Products_List_2!G:G,MATCH(MotorPHSales[[#This Row],[Product]],CLEANED_MotorPH_Products_List_2!$B:$B,0))</f>
        <v>799cc</v>
      </c>
      <c r="O107" s="44" t="str">
        <f>INDEX(CLEANED_MotorPH_Products_List_2!K:K,MATCH(MotorPHSales[[#This Row],[Product]],CLEANED_MotorPH_Products_List_2!B:B,0))</f>
        <v>Premium</v>
      </c>
      <c r="P107" s="45">
        <f>IF(MotorPHSales[[#This Row],[Segment]]="Entry-level",MotorPHSales[[#This Row],[UnitPrice]]/(1+30%),IF(MotorPHSales[[#This Row],[Segment]]="Mid-range",MotorPHSales[[#This Row],[UnitPrice]]/(1+35%),MotorPHSales[[#This Row],[UnitPrice]]/(1+40%)))*MotorPHSales[[#This Row],[Quantity]]</f>
        <v>3850714.2857142859</v>
      </c>
      <c r="Q107" s="44" t="str">
        <f>INDEX(CLEANED_MotorPH_Products_List_2!H:H,MATCH(MotorPHSales[[#This Row],[Product]],CLEANED_MotorPH_Products_List_2!$B:$B,0))</f>
        <v>6-speed</v>
      </c>
    </row>
    <row r="108" spans="1:17" ht="15.75" x14ac:dyDescent="0.3">
      <c r="A108" s="43">
        <v>45816</v>
      </c>
      <c r="B108" s="44" t="str">
        <f>TEXT(MotorPHSales[[#This Row],[Date]],"mmmm")</f>
        <v>June</v>
      </c>
      <c r="C108" s="44">
        <f>DAY(MotorPHSales[[#This Row],[Date]])</f>
        <v>8</v>
      </c>
      <c r="D108" s="44">
        <f>YEAR(MotorPHSales[[#This Row],[Date]])</f>
        <v>2025</v>
      </c>
      <c r="E108" s="44" t="s">
        <v>196</v>
      </c>
      <c r="F108" s="44" t="s">
        <v>47</v>
      </c>
      <c r="G108" s="45">
        <v>398000</v>
      </c>
      <c r="H108" s="44">
        <v>1</v>
      </c>
      <c r="I108" s="45">
        <v>398000</v>
      </c>
      <c r="J108" s="44" t="s">
        <v>198</v>
      </c>
      <c r="K108" s="44" t="str">
        <f>INDEX(CLEANED_MotorPH_Products_List_2!C:C,MATCH(MotorPHSales[[#This Row],[Product]],CLEANED_MotorPH_Products_List_2!$B:$B,0))</f>
        <v>Cruiser</v>
      </c>
      <c r="L108" s="44" t="str">
        <f>INDEX(CLEANED_MotorPH_Products_List_2!E:E,MATCH(MotorPHSales[[#This Row],[Product]],CLEANED_MotorPH_Products_List_2!$B:$B,0))</f>
        <v>Parallel-twin</v>
      </c>
      <c r="M108" s="44" t="str">
        <f>INDEX(CLEANED_MotorPH_Products_List_2!F:F,MATCH(MotorPHSales[[#This Row],[Product]],CLEANED_MotorPH_Products_List_2!$B:$B,0))</f>
        <v>liquid-cooled</v>
      </c>
      <c r="N108" s="44" t="str">
        <f>INDEX(CLEANED_MotorPH_Products_List_2!G:G,MATCH(MotorPHSales[[#This Row],[Product]],CLEANED_MotorPH_Products_List_2!$B:$B,0))</f>
        <v>649cc</v>
      </c>
      <c r="O108" s="44" t="str">
        <f>INDEX(CLEANED_MotorPH_Products_List_2!K:K,MATCH(MotorPHSales[[#This Row],[Product]],CLEANED_MotorPH_Products_List_2!B:B,0))</f>
        <v>Premium</v>
      </c>
      <c r="P108" s="45">
        <f>IF(MotorPHSales[[#This Row],[Segment]]="Entry-level",MotorPHSales[[#This Row],[UnitPrice]]/(1+30%),IF(MotorPHSales[[#This Row],[Segment]]="Mid-range",MotorPHSales[[#This Row],[UnitPrice]]/(1+35%),MotorPHSales[[#This Row],[UnitPrice]]/(1+40%)))*MotorPHSales[[#This Row],[Quantity]]</f>
        <v>284285.71428571432</v>
      </c>
      <c r="Q108" s="44" t="str">
        <f>INDEX(CLEANED_MotorPH_Products_List_2!H:H,MATCH(MotorPHSales[[#This Row],[Product]],CLEANED_MotorPH_Products_List_2!$B:$B,0))</f>
        <v>6-speed</v>
      </c>
    </row>
    <row r="109" spans="1:17" ht="15.75" x14ac:dyDescent="0.3">
      <c r="A109" s="43">
        <v>45896</v>
      </c>
      <c r="B109" s="44" t="str">
        <f>TEXT(MotorPHSales[[#This Row],[Date]],"mmmm")</f>
        <v>August</v>
      </c>
      <c r="C109" s="44">
        <f>DAY(MotorPHSales[[#This Row],[Date]])</f>
        <v>27</v>
      </c>
      <c r="D109" s="44">
        <f>YEAR(MotorPHSales[[#This Row],[Date]])</f>
        <v>2025</v>
      </c>
      <c r="E109" s="44" t="s">
        <v>196</v>
      </c>
      <c r="F109" s="44" t="s">
        <v>42</v>
      </c>
      <c r="G109" s="45">
        <v>125000</v>
      </c>
      <c r="H109" s="44">
        <v>14</v>
      </c>
      <c r="I109" s="45">
        <v>1750000</v>
      </c>
      <c r="J109" s="44" t="s">
        <v>198</v>
      </c>
      <c r="K109" s="44" t="str">
        <f>INDEX(CLEANED_MotorPH_Products_List_2!C:C,MATCH(MotorPHSales[[#This Row],[Product]],CLEANED_MotorPH_Products_List_2!$B:$B,0))</f>
        <v>Naked bike</v>
      </c>
      <c r="L109" s="44" t="str">
        <f>INDEX(CLEANED_MotorPH_Products_List_2!E:E,MATCH(MotorPHSales[[#This Row],[Product]],CLEANED_MotorPH_Products_List_2!$B:$B,0))</f>
        <v>Single cylinder</v>
      </c>
      <c r="M109" s="44" t="str">
        <f>INDEX(CLEANED_MotorPH_Products_List_2!F:F,MATCH(MotorPHSales[[#This Row],[Product]],CLEANED_MotorPH_Products_List_2!$B:$B,0))</f>
        <v>liquid-cooled</v>
      </c>
      <c r="N109" s="44" t="str">
        <f>INDEX(CLEANED_MotorPH_Products_List_2!G:G,MATCH(MotorPHSales[[#This Row],[Product]],CLEANED_MotorPH_Products_List_2!$B:$B,0))</f>
        <v>147cc</v>
      </c>
      <c r="O109" s="44" t="str">
        <f>INDEX(CLEANED_MotorPH_Products_List_2!K:K,MATCH(MotorPHSales[[#This Row],[Product]],CLEANED_MotorPH_Products_List_2!B:B,0))</f>
        <v>Entry-level</v>
      </c>
      <c r="P109" s="45">
        <f>IF(MotorPHSales[[#This Row],[Segment]]="Entry-level",MotorPHSales[[#This Row],[UnitPrice]]/(1+30%),IF(MotorPHSales[[#This Row],[Segment]]="Mid-range",MotorPHSales[[#This Row],[UnitPrice]]/(1+35%),MotorPHSales[[#This Row],[UnitPrice]]/(1+40%)))*MotorPHSales[[#This Row],[Quantity]]</f>
        <v>1346153.8461538462</v>
      </c>
      <c r="Q109" s="44" t="str">
        <f>INDEX(CLEANED_MotorPH_Products_List_2!H:H,MATCH(MotorPHSales[[#This Row],[Product]],CLEANED_MotorPH_Products_List_2!$B:$B,0))</f>
        <v>6-speed</v>
      </c>
    </row>
    <row r="110" spans="1:17" ht="15.75" x14ac:dyDescent="0.3">
      <c r="A110" s="43">
        <v>45871</v>
      </c>
      <c r="B110" s="44" t="str">
        <f>TEXT(MotorPHSales[[#This Row],[Date]],"mmmm")</f>
        <v>August</v>
      </c>
      <c r="C110" s="44">
        <f>DAY(MotorPHSales[[#This Row],[Date]])</f>
        <v>2</v>
      </c>
      <c r="D110" s="44">
        <f>YEAR(MotorPHSales[[#This Row],[Date]])</f>
        <v>2025</v>
      </c>
      <c r="E110" s="44" t="s">
        <v>194</v>
      </c>
      <c r="F110" s="44" t="s">
        <v>53</v>
      </c>
      <c r="G110" s="45">
        <v>345000</v>
      </c>
      <c r="H110" s="44">
        <v>6</v>
      </c>
      <c r="I110" s="45">
        <v>2070000</v>
      </c>
      <c r="J110" s="44" t="s">
        <v>195</v>
      </c>
      <c r="K110" s="44" t="str">
        <f>INDEX(CLEANED_MotorPH_Products_List_2!C:C,MATCH(MotorPHSales[[#This Row],[Product]],CLEANED_MotorPH_Products_List_2!$B:$B,0))</f>
        <v>Touring</v>
      </c>
      <c r="L110" s="44" t="str">
        <f>INDEX(CLEANED_MotorPH_Products_List_2!E:E,MATCH(MotorPHSales[[#This Row],[Product]],CLEANED_MotorPH_Products_List_2!$B:$B,0))</f>
        <v>Parallel-twin</v>
      </c>
      <c r="M110" s="44" t="str">
        <f>INDEX(CLEANED_MotorPH_Products_List_2!F:F,MATCH(MotorPHSales[[#This Row],[Product]],CLEANED_MotorPH_Products_List_2!$B:$B,0))</f>
        <v>liquid-cooled</v>
      </c>
      <c r="N110" s="44" t="str">
        <f>INDEX(CLEANED_MotorPH_Products_List_2!G:G,MATCH(MotorPHSales[[#This Row],[Product]],CLEANED_MotorPH_Products_List_2!$B:$B,0))</f>
        <v>649cc</v>
      </c>
      <c r="O110" s="44" t="str">
        <f>INDEX(CLEANED_MotorPH_Products_List_2!K:K,MATCH(MotorPHSales[[#This Row],[Product]],CLEANED_MotorPH_Products_List_2!B:B,0))</f>
        <v>Premium</v>
      </c>
      <c r="P110" s="45">
        <f>IF(MotorPHSales[[#This Row],[Segment]]="Entry-level",MotorPHSales[[#This Row],[UnitPrice]]/(1+30%),IF(MotorPHSales[[#This Row],[Segment]]="Mid-range",MotorPHSales[[#This Row],[UnitPrice]]/(1+35%),MotorPHSales[[#This Row],[UnitPrice]]/(1+40%)))*MotorPHSales[[#This Row],[Quantity]]</f>
        <v>1478571.4285714286</v>
      </c>
      <c r="Q110" s="44" t="str">
        <f>INDEX(CLEANED_MotorPH_Products_List_2!H:H,MATCH(MotorPHSales[[#This Row],[Product]],CLEANED_MotorPH_Products_List_2!$B:$B,0))</f>
        <v>6-speed</v>
      </c>
    </row>
    <row r="111" spans="1:17" ht="15.75" x14ac:dyDescent="0.3">
      <c r="A111" s="43">
        <v>45819</v>
      </c>
      <c r="B111" s="44" t="str">
        <f>TEXT(MotorPHSales[[#This Row],[Date]],"mmmm")</f>
        <v>June</v>
      </c>
      <c r="C111" s="44">
        <f>DAY(MotorPHSales[[#This Row],[Date]])</f>
        <v>11</v>
      </c>
      <c r="D111" s="44">
        <f>YEAR(MotorPHSales[[#This Row],[Date]])</f>
        <v>2025</v>
      </c>
      <c r="E111" s="44" t="s">
        <v>196</v>
      </c>
      <c r="F111" s="44" t="s">
        <v>47</v>
      </c>
      <c r="G111" s="45">
        <v>398000</v>
      </c>
      <c r="H111" s="44">
        <v>22</v>
      </c>
      <c r="I111" s="45">
        <v>8756000</v>
      </c>
      <c r="J111" s="44" t="s">
        <v>197</v>
      </c>
      <c r="K111" s="44" t="str">
        <f>INDEX(CLEANED_MotorPH_Products_List_2!C:C,MATCH(MotorPHSales[[#This Row],[Product]],CLEANED_MotorPH_Products_List_2!$B:$B,0))</f>
        <v>Cruiser</v>
      </c>
      <c r="L111" s="44" t="str">
        <f>INDEX(CLEANED_MotorPH_Products_List_2!E:E,MATCH(MotorPHSales[[#This Row],[Product]],CLEANED_MotorPH_Products_List_2!$B:$B,0))</f>
        <v>Parallel-twin</v>
      </c>
      <c r="M111" s="44" t="str">
        <f>INDEX(CLEANED_MotorPH_Products_List_2!F:F,MATCH(MotorPHSales[[#This Row],[Product]],CLEANED_MotorPH_Products_List_2!$B:$B,0))</f>
        <v>liquid-cooled</v>
      </c>
      <c r="N111" s="44" t="str">
        <f>INDEX(CLEANED_MotorPH_Products_List_2!G:G,MATCH(MotorPHSales[[#This Row],[Product]],CLEANED_MotorPH_Products_List_2!$B:$B,0))</f>
        <v>649cc</v>
      </c>
      <c r="O111" s="44" t="str">
        <f>INDEX(CLEANED_MotorPH_Products_List_2!K:K,MATCH(MotorPHSales[[#This Row],[Product]],CLEANED_MotorPH_Products_List_2!B:B,0))</f>
        <v>Premium</v>
      </c>
      <c r="P111" s="45">
        <f>IF(MotorPHSales[[#This Row],[Segment]]="Entry-level",MotorPHSales[[#This Row],[UnitPrice]]/(1+30%),IF(MotorPHSales[[#This Row],[Segment]]="Mid-range",MotorPHSales[[#This Row],[UnitPrice]]/(1+35%),MotorPHSales[[#This Row],[UnitPrice]]/(1+40%)))*MotorPHSales[[#This Row],[Quantity]]</f>
        <v>6254285.7142857146</v>
      </c>
      <c r="Q111" s="44" t="str">
        <f>INDEX(CLEANED_MotorPH_Products_List_2!H:H,MATCH(MotorPHSales[[#This Row],[Product]],CLEANED_MotorPH_Products_List_2!$B:$B,0))</f>
        <v>6-speed</v>
      </c>
    </row>
    <row r="112" spans="1:17" ht="15.75" x14ac:dyDescent="0.3">
      <c r="A112" s="43">
        <v>45889</v>
      </c>
      <c r="B112" s="44" t="str">
        <f>TEXT(MotorPHSales[[#This Row],[Date]],"mmmm")</f>
        <v>August</v>
      </c>
      <c r="C112" s="44">
        <f>DAY(MotorPHSales[[#This Row],[Date]])</f>
        <v>20</v>
      </c>
      <c r="D112" s="44">
        <f>YEAR(MotorPHSales[[#This Row],[Date]])</f>
        <v>2025</v>
      </c>
      <c r="E112" s="44" t="s">
        <v>194</v>
      </c>
      <c r="F112" s="44" t="s">
        <v>12</v>
      </c>
      <c r="G112" s="45">
        <v>119900</v>
      </c>
      <c r="H112" s="44">
        <v>13</v>
      </c>
      <c r="I112" s="45">
        <v>1558700</v>
      </c>
      <c r="J112" s="44" t="s">
        <v>195</v>
      </c>
      <c r="K112" s="44" t="str">
        <f>INDEX(CLEANED_MotorPH_Products_List_2!C:C,MATCH(MotorPHSales[[#This Row],[Product]],CLEANED_MotorPH_Products_List_2!$B:$B,0))</f>
        <v>Underbone</v>
      </c>
      <c r="L112" s="44" t="str">
        <f>INDEX(CLEANED_MotorPH_Products_List_2!E:E,MATCH(MotorPHSales[[#This Row],[Product]],CLEANED_MotorPH_Products_List_2!$B:$B,0))</f>
        <v>Single cylinder</v>
      </c>
      <c r="M112" s="44" t="str">
        <f>INDEX(CLEANED_MotorPH_Products_List_2!F:F,MATCH(MotorPHSales[[#This Row],[Product]],CLEANED_MotorPH_Products_List_2!$B:$B,0))</f>
        <v>liquid-cooled</v>
      </c>
      <c r="N112" s="44" t="str">
        <f>INDEX(CLEANED_MotorPH_Products_List_2!G:G,MATCH(MotorPHSales[[#This Row],[Product]],CLEANED_MotorPH_Products_List_2!$B:$B,0))</f>
        <v>150cc</v>
      </c>
      <c r="O112" s="44" t="str">
        <f>INDEX(CLEANED_MotorPH_Products_List_2!K:K,MATCH(MotorPHSales[[#This Row],[Product]],CLEANED_MotorPH_Products_List_2!B:B,0))</f>
        <v>Entry-level</v>
      </c>
      <c r="P112" s="45">
        <f>IF(MotorPHSales[[#This Row],[Segment]]="Entry-level",MotorPHSales[[#This Row],[UnitPrice]]/(1+30%),IF(MotorPHSales[[#This Row],[Segment]]="Mid-range",MotorPHSales[[#This Row],[UnitPrice]]/(1+35%),MotorPHSales[[#This Row],[UnitPrice]]/(1+40%)))*MotorPHSales[[#This Row],[Quantity]]</f>
        <v>1199000</v>
      </c>
      <c r="Q112" s="44" t="str">
        <f>INDEX(CLEANED_MotorPH_Products_List_2!H:H,MATCH(MotorPHSales[[#This Row],[Product]],CLEANED_MotorPH_Products_List_2!$B:$B,0))</f>
        <v>6-speed</v>
      </c>
    </row>
    <row r="113" spans="1:17" ht="15.75" x14ac:dyDescent="0.3">
      <c r="A113" s="43">
        <v>45816</v>
      </c>
      <c r="B113" s="44" t="str">
        <f>TEXT(MotorPHSales[[#This Row],[Date]],"mmmm")</f>
        <v>June</v>
      </c>
      <c r="C113" s="44">
        <f>DAY(MotorPHSales[[#This Row],[Date]])</f>
        <v>8</v>
      </c>
      <c r="D113" s="44">
        <f>YEAR(MotorPHSales[[#This Row],[Date]])</f>
        <v>2025</v>
      </c>
      <c r="E113" s="44" t="s">
        <v>196</v>
      </c>
      <c r="F113" s="44" t="s">
        <v>96</v>
      </c>
      <c r="G113" s="45">
        <v>242700</v>
      </c>
      <c r="H113" s="44">
        <v>5</v>
      </c>
      <c r="I113" s="45">
        <v>404500</v>
      </c>
      <c r="J113" s="44" t="s">
        <v>198</v>
      </c>
      <c r="K113" s="44" t="str">
        <f>INDEX(CLEANED_MotorPH_Products_List_2!C:C,MATCH(MotorPHSales[[#This Row],[Product]],CLEANED_MotorPH_Products_List_2!$B:$B,0))</f>
        <v>Scooter</v>
      </c>
      <c r="L113" s="44" t="str">
        <f>INDEX(CLEANED_MotorPH_Products_List_2!E:E,MATCH(MotorPHSales[[#This Row],[Product]],CLEANED_MotorPH_Products_List_2!$B:$B,0))</f>
        <v>Single cylinder</v>
      </c>
      <c r="M113" s="44" t="str">
        <f>INDEX(CLEANED_MotorPH_Products_List_2!F:F,MATCH(MotorPHSales[[#This Row],[Product]],CLEANED_MotorPH_Products_List_2!$B:$B,0))</f>
        <v>air-cooled</v>
      </c>
      <c r="N113" s="44" t="str">
        <f>INDEX(CLEANED_MotorPH_Products_List_2!G:G,MATCH(MotorPHSales[[#This Row],[Product]],CLEANED_MotorPH_Products_List_2!$B:$B,0))</f>
        <v>124cc</v>
      </c>
      <c r="O113" s="44" t="str">
        <f>INDEX(CLEANED_MotorPH_Products_List_2!K:K,MATCH(MotorPHSales[[#This Row],[Product]],CLEANED_MotorPH_Products_List_2!B:B,0))</f>
        <v>Entry-level</v>
      </c>
      <c r="P113" s="45">
        <f>IF(MotorPHSales[[#This Row],[Segment]]="Entry-level",MotorPHSales[[#This Row],[UnitPrice]]/(1+30%),IF(MotorPHSales[[#This Row],[Segment]]="Mid-range",MotorPHSales[[#This Row],[UnitPrice]]/(1+35%),MotorPHSales[[#This Row],[UnitPrice]]/(1+40%)))*MotorPHSales[[#This Row],[Quantity]]</f>
        <v>933461.5384615385</v>
      </c>
      <c r="Q113" s="44" t="str">
        <f>INDEX(CLEANED_MotorPH_Products_List_2!H:H,MATCH(MotorPHSales[[#This Row],[Product]],CLEANED_MotorPH_Products_List_2!$B:$B,0))</f>
        <v>CVT</v>
      </c>
    </row>
    <row r="114" spans="1:17" ht="15.75" x14ac:dyDescent="0.3">
      <c r="A114" s="43">
        <v>45843</v>
      </c>
      <c r="B114" s="44" t="str">
        <f>TEXT(MotorPHSales[[#This Row],[Date]],"mmmm")</f>
        <v>July</v>
      </c>
      <c r="C114" s="44">
        <f>DAY(MotorPHSales[[#This Row],[Date]])</f>
        <v>5</v>
      </c>
      <c r="D114" s="44">
        <f>YEAR(MotorPHSales[[#This Row],[Date]])</f>
        <v>2025</v>
      </c>
      <c r="E114" s="44" t="s">
        <v>196</v>
      </c>
      <c r="F114" s="44" t="s">
        <v>53</v>
      </c>
      <c r="G114" s="45">
        <v>345000</v>
      </c>
      <c r="H114" s="44">
        <v>9</v>
      </c>
      <c r="I114" s="45">
        <v>3105000</v>
      </c>
      <c r="J114" s="44" t="s">
        <v>195</v>
      </c>
      <c r="K114" s="44" t="str">
        <f>INDEX(CLEANED_MotorPH_Products_List_2!C:C,MATCH(MotorPHSales[[#This Row],[Product]],CLEANED_MotorPH_Products_List_2!$B:$B,0))</f>
        <v>Touring</v>
      </c>
      <c r="L114" s="44" t="str">
        <f>INDEX(CLEANED_MotorPH_Products_List_2!E:E,MATCH(MotorPHSales[[#This Row],[Product]],CLEANED_MotorPH_Products_List_2!$B:$B,0))</f>
        <v>Parallel-twin</v>
      </c>
      <c r="M114" s="44" t="str">
        <f>INDEX(CLEANED_MotorPH_Products_List_2!F:F,MATCH(MotorPHSales[[#This Row],[Product]],CLEANED_MotorPH_Products_List_2!$B:$B,0))</f>
        <v>liquid-cooled</v>
      </c>
      <c r="N114" s="44" t="str">
        <f>INDEX(CLEANED_MotorPH_Products_List_2!G:G,MATCH(MotorPHSales[[#This Row],[Product]],CLEANED_MotorPH_Products_List_2!$B:$B,0))</f>
        <v>649cc</v>
      </c>
      <c r="O114" s="44" t="str">
        <f>INDEX(CLEANED_MotorPH_Products_List_2!K:K,MATCH(MotorPHSales[[#This Row],[Product]],CLEANED_MotorPH_Products_List_2!B:B,0))</f>
        <v>Premium</v>
      </c>
      <c r="P114" s="45">
        <f>IF(MotorPHSales[[#This Row],[Segment]]="Entry-level",MotorPHSales[[#This Row],[UnitPrice]]/(1+30%),IF(MotorPHSales[[#This Row],[Segment]]="Mid-range",MotorPHSales[[#This Row],[UnitPrice]]/(1+35%),MotorPHSales[[#This Row],[UnitPrice]]/(1+40%)))*MotorPHSales[[#This Row],[Quantity]]</f>
        <v>2217857.1428571432</v>
      </c>
      <c r="Q114" s="44" t="str">
        <f>INDEX(CLEANED_MotorPH_Products_List_2!H:H,MATCH(MotorPHSales[[#This Row],[Product]],CLEANED_MotorPH_Products_List_2!$B:$B,0))</f>
        <v>6-speed</v>
      </c>
    </row>
    <row r="115" spans="1:17" ht="15.75" x14ac:dyDescent="0.3">
      <c r="A115" s="43">
        <v>45843</v>
      </c>
      <c r="B115" s="44" t="str">
        <f>TEXT(MotorPHSales[[#This Row],[Date]],"mmmm")</f>
        <v>July</v>
      </c>
      <c r="C115" s="44">
        <f>DAY(MotorPHSales[[#This Row],[Date]])</f>
        <v>5</v>
      </c>
      <c r="D115" s="44">
        <f>YEAR(MotorPHSales[[#This Row],[Date]])</f>
        <v>2025</v>
      </c>
      <c r="E115" s="44" t="s">
        <v>194</v>
      </c>
      <c r="F115" s="44" t="s">
        <v>49</v>
      </c>
      <c r="G115" s="45">
        <v>68900</v>
      </c>
      <c r="H115" s="44">
        <v>21</v>
      </c>
      <c r="I115" s="45">
        <v>1446900</v>
      </c>
      <c r="J115" s="44" t="s">
        <v>195</v>
      </c>
      <c r="K115" s="44" t="str">
        <f>INDEX(CLEANED_MotorPH_Products_List_2!C:C,MATCH(MotorPHSales[[#This Row],[Product]],CLEANED_MotorPH_Products_List_2!$B:$B,0))</f>
        <v>Standard</v>
      </c>
      <c r="L115" s="44" t="str">
        <f>INDEX(CLEANED_MotorPH_Products_List_2!E:E,MATCH(MotorPHSales[[#This Row],[Product]],CLEANED_MotorPH_Products_List_2!$B:$B,0))</f>
        <v>Single cylinder</v>
      </c>
      <c r="M115" s="44" t="str">
        <f>INDEX(CLEANED_MotorPH_Products_List_2!F:F,MATCH(MotorPHSales[[#This Row],[Product]],CLEANED_MotorPH_Products_List_2!$B:$B,0))</f>
        <v>air-cooled</v>
      </c>
      <c r="N115" s="44" t="str">
        <f>INDEX(CLEANED_MotorPH_Products_List_2!G:G,MATCH(MotorPHSales[[#This Row],[Product]],CLEANED_MotorPH_Products_List_2!$B:$B,0))</f>
        <v>149cc</v>
      </c>
      <c r="O115" s="44" t="str">
        <f>INDEX(CLEANED_MotorPH_Products_List_2!K:K,MATCH(MotorPHSales[[#This Row],[Product]],CLEANED_MotorPH_Products_List_2!B:B,0))</f>
        <v>Entry-level</v>
      </c>
      <c r="P115" s="45">
        <f>IF(MotorPHSales[[#This Row],[Segment]]="Entry-level",MotorPHSales[[#This Row],[UnitPrice]]/(1+30%),IF(MotorPHSales[[#This Row],[Segment]]="Mid-range",MotorPHSales[[#This Row],[UnitPrice]]/(1+35%),MotorPHSales[[#This Row],[UnitPrice]]/(1+40%)))*MotorPHSales[[#This Row],[Quantity]]</f>
        <v>1113000</v>
      </c>
      <c r="Q115" s="44" t="str">
        <f>INDEX(CLEANED_MotorPH_Products_List_2!H:H,MATCH(MotorPHSales[[#This Row],[Product]],CLEANED_MotorPH_Products_List_2!$B:$B,0))</f>
        <v>5-speed</v>
      </c>
    </row>
    <row r="116" spans="1:17" ht="15.75" x14ac:dyDescent="0.3">
      <c r="A116" s="43">
        <v>45841</v>
      </c>
      <c r="B116" s="44" t="str">
        <f>TEXT(MotorPHSales[[#This Row],[Date]],"mmmm")</f>
        <v>July</v>
      </c>
      <c r="C116" s="44">
        <f>DAY(MotorPHSales[[#This Row],[Date]])</f>
        <v>3</v>
      </c>
      <c r="D116" s="44">
        <f>YEAR(MotorPHSales[[#This Row],[Date]])</f>
        <v>2025</v>
      </c>
      <c r="E116" s="44" t="s">
        <v>196</v>
      </c>
      <c r="F116" s="44" t="s">
        <v>16</v>
      </c>
      <c r="G116" s="45">
        <v>165000</v>
      </c>
      <c r="H116" s="44">
        <v>20</v>
      </c>
      <c r="I116" s="45">
        <v>3300000</v>
      </c>
      <c r="J116" s="44" t="s">
        <v>197</v>
      </c>
      <c r="K116" s="44" t="str">
        <f>INDEX(CLEANED_MotorPH_Products_List_2!C:C,MATCH(MotorPHSales[[#This Row],[Product]],CLEANED_MotorPH_Products_List_2!$B:$B,0))</f>
        <v>Naked bike</v>
      </c>
      <c r="L116" s="44" t="str">
        <f>INDEX(CLEANED_MotorPH_Products_List_2!E:E,MATCH(MotorPHSales[[#This Row],[Product]],CLEANED_MotorPH_Products_List_2!$B:$B,0))</f>
        <v>Single cylinder</v>
      </c>
      <c r="M116" s="44" t="str">
        <f>INDEX(CLEANED_MotorPH_Products_List_2!F:F,MATCH(MotorPHSales[[#This Row],[Product]],CLEANED_MotorPH_Products_List_2!$B:$B,0))</f>
        <v>liquid-cooled</v>
      </c>
      <c r="N116" s="44" t="str">
        <f>INDEX(CLEANED_MotorPH_Products_List_2!G:G,MATCH(MotorPHSales[[#This Row],[Product]],CLEANED_MotorPH_Products_List_2!$B:$B,0))</f>
        <v>292cc</v>
      </c>
      <c r="O116" s="44" t="str">
        <f>INDEX(CLEANED_MotorPH_Products_List_2!K:K,MATCH(MotorPHSales[[#This Row],[Product]],CLEANED_MotorPH_Products_List_2!B:B,0))</f>
        <v>Mid-range</v>
      </c>
      <c r="P116" s="45">
        <f>IF(MotorPHSales[[#This Row],[Segment]]="Entry-level",MotorPHSales[[#This Row],[UnitPrice]]/(1+30%),IF(MotorPHSales[[#This Row],[Segment]]="Mid-range",MotorPHSales[[#This Row],[UnitPrice]]/(1+35%),MotorPHSales[[#This Row],[UnitPrice]]/(1+40%)))*MotorPHSales[[#This Row],[Quantity]]</f>
        <v>2444444.4444444445</v>
      </c>
      <c r="Q116" s="44" t="str">
        <f>INDEX(CLEANED_MotorPH_Products_List_2!H:H,MATCH(MotorPHSales[[#This Row],[Product]],CLEANED_MotorPH_Products_List_2!$B:$B,0))</f>
        <v>6-speed</v>
      </c>
    </row>
    <row r="117" spans="1:17" ht="15.75" x14ac:dyDescent="0.3">
      <c r="A117" s="43">
        <v>45813</v>
      </c>
      <c r="B117" s="44" t="str">
        <f>TEXT(MotorPHSales[[#This Row],[Date]],"mmmm")</f>
        <v>June</v>
      </c>
      <c r="C117" s="44">
        <f>DAY(MotorPHSales[[#This Row],[Date]])</f>
        <v>5</v>
      </c>
      <c r="D117" s="44">
        <f>YEAR(MotorPHSales[[#This Row],[Date]])</f>
        <v>2025</v>
      </c>
      <c r="E117" s="44" t="s">
        <v>196</v>
      </c>
      <c r="F117" s="44" t="s">
        <v>78</v>
      </c>
      <c r="G117" s="45">
        <v>99900</v>
      </c>
      <c r="H117" s="44">
        <v>17</v>
      </c>
      <c r="I117" s="45">
        <v>1698300</v>
      </c>
      <c r="J117" s="44" t="s">
        <v>197</v>
      </c>
      <c r="K117" s="44" t="str">
        <f>INDEX(CLEANED_MotorPH_Products_List_2!C:C,MATCH(MotorPHSales[[#This Row],[Product]],CLEANED_MotorPH_Products_List_2!$B:$B,0))</f>
        <v>Street</v>
      </c>
      <c r="L117" s="44" t="str">
        <f>INDEX(CLEANED_MotorPH_Products_List_2!E:E,MATCH(MotorPHSales[[#This Row],[Product]],CLEANED_MotorPH_Products_List_2!$B:$B,0))</f>
        <v>Single cylinder</v>
      </c>
      <c r="M117" s="44" t="str">
        <f>INDEX(CLEANED_MotorPH_Products_List_2!F:F,MATCH(MotorPHSales[[#This Row],[Product]],CLEANED_MotorPH_Products_List_2!$B:$B,0))</f>
        <v>air-cooled</v>
      </c>
      <c r="N117" s="44" t="str">
        <f>INDEX(CLEANED_MotorPH_Products_List_2!G:G,MATCH(MotorPHSales[[#This Row],[Product]],CLEANED_MotorPH_Products_List_2!$B:$B,0))</f>
        <v>149cc</v>
      </c>
      <c r="O117" s="44" t="str">
        <f>INDEX(CLEANED_MotorPH_Products_List_2!K:K,MATCH(MotorPHSales[[#This Row],[Product]],CLEANED_MotorPH_Products_List_2!B:B,0))</f>
        <v>Entry-level</v>
      </c>
      <c r="P117" s="45">
        <f>IF(MotorPHSales[[#This Row],[Segment]]="Entry-level",MotorPHSales[[#This Row],[UnitPrice]]/(1+30%),IF(MotorPHSales[[#This Row],[Segment]]="Mid-range",MotorPHSales[[#This Row],[UnitPrice]]/(1+35%),MotorPHSales[[#This Row],[UnitPrice]]/(1+40%)))*MotorPHSales[[#This Row],[Quantity]]</f>
        <v>1306384.6153846153</v>
      </c>
      <c r="Q117" s="44" t="str">
        <f>INDEX(CLEANED_MotorPH_Products_List_2!H:H,MATCH(MotorPHSales[[#This Row],[Product]],CLEANED_MotorPH_Products_List_2!$B:$B,0))</f>
        <v>5-speed</v>
      </c>
    </row>
    <row r="118" spans="1:17" ht="15.75" x14ac:dyDescent="0.3">
      <c r="A118" s="43">
        <v>45849</v>
      </c>
      <c r="B118" s="44" t="str">
        <f>TEXT(MotorPHSales[[#This Row],[Date]],"mmmm")</f>
        <v>July</v>
      </c>
      <c r="C118" s="44">
        <f>DAY(MotorPHSales[[#This Row],[Date]])</f>
        <v>11</v>
      </c>
      <c r="D118" s="44">
        <f>YEAR(MotorPHSales[[#This Row],[Date]])</f>
        <v>2025</v>
      </c>
      <c r="E118" s="44" t="s">
        <v>196</v>
      </c>
      <c r="F118" s="44" t="s">
        <v>88</v>
      </c>
      <c r="G118" s="45">
        <v>599000</v>
      </c>
      <c r="H118" s="44">
        <v>26</v>
      </c>
      <c r="I118" s="45">
        <v>15574000</v>
      </c>
      <c r="J118" s="44" t="s">
        <v>198</v>
      </c>
      <c r="K118" s="44" t="str">
        <f>INDEX(CLEANED_MotorPH_Products_List_2!C:C,MATCH(MotorPHSales[[#This Row],[Product]],CLEANED_MotorPH_Products_List_2!$B:$B,0))</f>
        <v>Naked bike</v>
      </c>
      <c r="L118" s="44" t="str">
        <f>INDEX(CLEANED_MotorPH_Products_List_2!E:E,MATCH(MotorPHSales[[#This Row],[Product]],CLEANED_MotorPH_Products_List_2!$B:$B,0))</f>
        <v>Parallel-twin</v>
      </c>
      <c r="M118" s="44" t="str">
        <f>INDEX(CLEANED_MotorPH_Products_List_2!F:F,MATCH(MotorPHSales[[#This Row],[Product]],CLEANED_MotorPH_Products_List_2!$B:$B,0))</f>
        <v>liquid-cooled</v>
      </c>
      <c r="N118" s="44" t="str">
        <f>INDEX(CLEANED_MotorPH_Products_List_2!G:G,MATCH(MotorPHSales[[#This Row],[Product]],CLEANED_MotorPH_Products_List_2!$B:$B,0))</f>
        <v>799cc</v>
      </c>
      <c r="O118" s="44" t="str">
        <f>INDEX(CLEANED_MotorPH_Products_List_2!K:K,MATCH(MotorPHSales[[#This Row],[Product]],CLEANED_MotorPH_Products_List_2!B:B,0))</f>
        <v>Premium</v>
      </c>
      <c r="P118" s="45">
        <f>IF(MotorPHSales[[#This Row],[Segment]]="Entry-level",MotorPHSales[[#This Row],[UnitPrice]]/(1+30%),IF(MotorPHSales[[#This Row],[Segment]]="Mid-range",MotorPHSales[[#This Row],[UnitPrice]]/(1+35%),MotorPHSales[[#This Row],[UnitPrice]]/(1+40%)))*MotorPHSales[[#This Row],[Quantity]]</f>
        <v>11124285.714285715</v>
      </c>
      <c r="Q118" s="44" t="str">
        <f>INDEX(CLEANED_MotorPH_Products_List_2!H:H,MATCH(MotorPHSales[[#This Row],[Product]],CLEANED_MotorPH_Products_List_2!$B:$B,0))</f>
        <v>6-speed</v>
      </c>
    </row>
    <row r="119" spans="1:17" ht="15.75" x14ac:dyDescent="0.3">
      <c r="A119" s="43">
        <v>45836</v>
      </c>
      <c r="B119" s="44" t="str">
        <f>TEXT(MotorPHSales[[#This Row],[Date]],"mmmm")</f>
        <v>June</v>
      </c>
      <c r="C119" s="44">
        <f>DAY(MotorPHSales[[#This Row],[Date]])</f>
        <v>28</v>
      </c>
      <c r="D119" s="44">
        <f>YEAR(MotorPHSales[[#This Row],[Date]])</f>
        <v>2025</v>
      </c>
      <c r="E119" s="44" t="s">
        <v>196</v>
      </c>
      <c r="F119" s="44" t="s">
        <v>10</v>
      </c>
      <c r="G119" s="45">
        <v>340000</v>
      </c>
      <c r="H119" s="44">
        <v>8</v>
      </c>
      <c r="I119" s="45">
        <v>2720000</v>
      </c>
      <c r="J119" s="44" t="s">
        <v>198</v>
      </c>
      <c r="K119" s="44" t="str">
        <f>INDEX(CLEANED_MotorPH_Products_List_2!C:C,MATCH(MotorPHSales[[#This Row],[Product]],CLEANED_MotorPH_Products_List_2!$B:$B,0))</f>
        <v>Sport</v>
      </c>
      <c r="L119" s="44" t="str">
        <f>INDEX(CLEANED_MotorPH_Products_List_2!E:E,MATCH(MotorPHSales[[#This Row],[Product]],CLEANED_MotorPH_Products_List_2!$B:$B,0))</f>
        <v>Parallel-twin</v>
      </c>
      <c r="M119" s="44" t="str">
        <f>INDEX(CLEANED_MotorPH_Products_List_2!F:F,MATCH(MotorPHSales[[#This Row],[Product]],CLEANED_MotorPH_Products_List_2!$B:$B,0))</f>
        <v>liquid-cooled</v>
      </c>
      <c r="N119" s="44" t="str">
        <f>INDEX(CLEANED_MotorPH_Products_List_2!G:G,MATCH(MotorPHSales[[#This Row],[Product]],CLEANED_MotorPH_Products_List_2!$B:$B,0))</f>
        <v>399cc</v>
      </c>
      <c r="O119" s="44" t="str">
        <f>INDEX(CLEANED_MotorPH_Products_List_2!K:K,MATCH(MotorPHSales[[#This Row],[Product]],CLEANED_MotorPH_Products_List_2!B:B,0))</f>
        <v>Mid-range</v>
      </c>
      <c r="P119" s="45">
        <f>IF(MotorPHSales[[#This Row],[Segment]]="Entry-level",MotorPHSales[[#This Row],[UnitPrice]]/(1+30%),IF(MotorPHSales[[#This Row],[Segment]]="Mid-range",MotorPHSales[[#This Row],[UnitPrice]]/(1+35%),MotorPHSales[[#This Row],[UnitPrice]]/(1+40%)))*MotorPHSales[[#This Row],[Quantity]]</f>
        <v>2014814.8148148146</v>
      </c>
      <c r="Q119" s="44" t="str">
        <f>INDEX(CLEANED_MotorPH_Products_List_2!H:H,MATCH(MotorPHSales[[#This Row],[Product]],CLEANED_MotorPH_Products_List_2!$B:$B,0))</f>
        <v>6-speed</v>
      </c>
    </row>
    <row r="120" spans="1:17" ht="15.75" x14ac:dyDescent="0.3">
      <c r="A120" s="43">
        <v>45815</v>
      </c>
      <c r="B120" s="44" t="str">
        <f>TEXT(MotorPHSales[[#This Row],[Date]],"mmmm")</f>
        <v>June</v>
      </c>
      <c r="C120" s="44">
        <f>DAY(MotorPHSales[[#This Row],[Date]])</f>
        <v>7</v>
      </c>
      <c r="D120" s="44">
        <f>YEAR(MotorPHSales[[#This Row],[Date]])</f>
        <v>2025</v>
      </c>
      <c r="E120" s="44" t="s">
        <v>194</v>
      </c>
      <c r="F120" s="44" t="s">
        <v>61</v>
      </c>
      <c r="G120" s="45">
        <v>284900</v>
      </c>
      <c r="H120" s="44">
        <v>2</v>
      </c>
      <c r="I120" s="45">
        <v>569800</v>
      </c>
      <c r="J120" s="44" t="s">
        <v>198</v>
      </c>
      <c r="K120" s="44" t="str">
        <f>INDEX(CLEANED_MotorPH_Products_List_2!C:C,MATCH(MotorPHSales[[#This Row],[Product]],CLEANED_MotorPH_Products_List_2!$B:$B,0))</f>
        <v>Dual-sport</v>
      </c>
      <c r="L120" s="44" t="str">
        <f>INDEX(CLEANED_MotorPH_Products_List_2!E:E,MATCH(MotorPHSales[[#This Row],[Product]],CLEANED_MotorPH_Products_List_2!$B:$B,0))</f>
        <v>Single cylinder</v>
      </c>
      <c r="M120" s="44" t="str">
        <f>INDEX(CLEANED_MotorPH_Products_List_2!F:F,MATCH(MotorPHSales[[#This Row],[Product]],CLEANED_MotorPH_Products_List_2!$B:$B,0))</f>
        <v>liquid-cooled</v>
      </c>
      <c r="N120" s="44" t="str">
        <f>INDEX(CLEANED_MotorPH_Products_List_2!G:G,MATCH(MotorPHSales[[#This Row],[Product]],CLEANED_MotorPH_Products_List_2!$B:$B,0))</f>
        <v>286cc</v>
      </c>
      <c r="O120" s="44" t="str">
        <f>INDEX(CLEANED_MotorPH_Products_List_2!K:K,MATCH(MotorPHSales[[#This Row],[Product]],CLEANED_MotorPH_Products_List_2!B:B,0))</f>
        <v>Mid-range</v>
      </c>
      <c r="P120" s="45">
        <f>IF(MotorPHSales[[#This Row],[Segment]]="Entry-level",MotorPHSales[[#This Row],[UnitPrice]]/(1+30%),IF(MotorPHSales[[#This Row],[Segment]]="Mid-range",MotorPHSales[[#This Row],[UnitPrice]]/(1+35%),MotorPHSales[[#This Row],[UnitPrice]]/(1+40%)))*MotorPHSales[[#This Row],[Quantity]]</f>
        <v>422074.07407407404</v>
      </c>
      <c r="Q120" s="44" t="str">
        <f>INDEX(CLEANED_MotorPH_Products_List_2!H:H,MATCH(MotorPHSales[[#This Row],[Product]],CLEANED_MotorPH_Products_List_2!$B:$B,0))</f>
        <v>6-speed</v>
      </c>
    </row>
    <row r="121" spans="1:17" ht="15.75" x14ac:dyDescent="0.3">
      <c r="A121" s="43">
        <v>45881</v>
      </c>
      <c r="B121" s="44" t="str">
        <f>TEXT(MotorPHSales[[#This Row],[Date]],"mmmm")</f>
        <v>August</v>
      </c>
      <c r="C121" s="44">
        <f>DAY(MotorPHSales[[#This Row],[Date]])</f>
        <v>12</v>
      </c>
      <c r="D121" s="44">
        <f>YEAR(MotorPHSales[[#This Row],[Date]])</f>
        <v>2025</v>
      </c>
      <c r="E121" s="44" t="s">
        <v>194</v>
      </c>
      <c r="F121" s="44" t="s">
        <v>63</v>
      </c>
      <c r="G121" s="45">
        <v>48000</v>
      </c>
      <c r="H121" s="44">
        <v>33</v>
      </c>
      <c r="I121" s="45">
        <v>1584000</v>
      </c>
      <c r="J121" s="44" t="s">
        <v>195</v>
      </c>
      <c r="K121" s="44" t="str">
        <f>INDEX(CLEANED_MotorPH_Products_List_2!C:C,MATCH(MotorPHSales[[#This Row],[Product]],CLEANED_MotorPH_Products_List_2!$B:$B,0))</f>
        <v>Commuter</v>
      </c>
      <c r="L121" s="44" t="str">
        <f>INDEX(CLEANED_MotorPH_Products_List_2!E:E,MATCH(MotorPHSales[[#This Row],[Product]],CLEANED_MotorPH_Products_List_2!$B:$B,0))</f>
        <v>Single cylinder</v>
      </c>
      <c r="M121" s="44" t="str">
        <f>INDEX(CLEANED_MotorPH_Products_List_2!F:F,MATCH(MotorPHSales[[#This Row],[Product]],CLEANED_MotorPH_Products_List_2!$B:$B,0))</f>
        <v>air-cooled</v>
      </c>
      <c r="N121" s="44" t="str">
        <f>INDEX(CLEANED_MotorPH_Products_List_2!G:G,MATCH(MotorPHSales[[#This Row],[Product]],CLEANED_MotorPH_Products_List_2!$B:$B,0))</f>
        <v>125cc</v>
      </c>
      <c r="O121" s="44" t="str">
        <f>INDEX(CLEANED_MotorPH_Products_List_2!K:K,MATCH(MotorPHSales[[#This Row],[Product]],CLEANED_MotorPH_Products_List_2!B:B,0))</f>
        <v>Entry-level</v>
      </c>
      <c r="P121" s="45">
        <f>IF(MotorPHSales[[#This Row],[Segment]]="Entry-level",MotorPHSales[[#This Row],[UnitPrice]]/(1+30%),IF(MotorPHSales[[#This Row],[Segment]]="Mid-range",MotorPHSales[[#This Row],[UnitPrice]]/(1+35%),MotorPHSales[[#This Row],[UnitPrice]]/(1+40%)))*MotorPHSales[[#This Row],[Quantity]]</f>
        <v>1218461.5384615385</v>
      </c>
      <c r="Q121" s="44" t="str">
        <f>INDEX(CLEANED_MotorPH_Products_List_2!H:H,MATCH(MotorPHSales[[#This Row],[Product]],CLEANED_MotorPH_Products_List_2!$B:$B,0))</f>
        <v>4-speed</v>
      </c>
    </row>
    <row r="122" spans="1:17" ht="15.75" x14ac:dyDescent="0.3">
      <c r="A122" s="43">
        <v>45880</v>
      </c>
      <c r="B122" s="44" t="str">
        <f>TEXT(MotorPHSales[[#This Row],[Date]],"mmmm")</f>
        <v>August</v>
      </c>
      <c r="C122" s="44">
        <f>DAY(MotorPHSales[[#This Row],[Date]])</f>
        <v>11</v>
      </c>
      <c r="D122" s="44">
        <f>YEAR(MotorPHSales[[#This Row],[Date]])</f>
        <v>2025</v>
      </c>
      <c r="E122" s="44" t="s">
        <v>194</v>
      </c>
      <c r="F122" s="44" t="s">
        <v>18</v>
      </c>
      <c r="G122" s="45">
        <v>984000</v>
      </c>
      <c r="H122" s="44">
        <v>12</v>
      </c>
      <c r="I122" s="45">
        <v>3936000</v>
      </c>
      <c r="J122" s="44" t="s">
        <v>195</v>
      </c>
      <c r="K122" s="44" t="str">
        <f>INDEX(CLEANED_MotorPH_Products_List_2!C:C,MATCH(MotorPHSales[[#This Row],[Product]],CLEANED_MotorPH_Products_List_2!$B:$B,0))</f>
        <v>Cafe racer</v>
      </c>
      <c r="L122" s="44" t="str">
        <f>INDEX(CLEANED_MotorPH_Products_List_2!E:E,MATCH(MotorPHSales[[#This Row],[Product]],CLEANED_MotorPH_Products_List_2!$B:$B,0))</f>
        <v>Twin cylinder</v>
      </c>
      <c r="M122" s="44" t="str">
        <f>INDEX(CLEANED_MotorPH_Products_List_2!F:F,MATCH(MotorPHSales[[#This Row],[Product]],CLEANED_MotorPH_Products_List_2!$B:$B,0))</f>
        <v>air-cooled</v>
      </c>
      <c r="N122" s="44" t="str">
        <f>INDEX(CLEANED_MotorPH_Products_List_2!G:G,MATCH(MotorPHSales[[#This Row],[Product]],CLEANED_MotorPH_Products_List_2!$B:$B,0))</f>
        <v>471cc</v>
      </c>
      <c r="O122" s="44" t="str">
        <f>INDEX(CLEANED_MotorPH_Products_List_2!K:K,MATCH(MotorPHSales[[#This Row],[Product]],CLEANED_MotorPH_Products_List_2!B:B,0))</f>
        <v>Mid-range</v>
      </c>
      <c r="P122" s="45">
        <f>IF(MotorPHSales[[#This Row],[Segment]]="Entry-level",MotorPHSales[[#This Row],[UnitPrice]]/(1+30%),IF(MotorPHSales[[#This Row],[Segment]]="Mid-range",MotorPHSales[[#This Row],[UnitPrice]]/(1+35%),MotorPHSales[[#This Row],[UnitPrice]]/(1+40%)))*MotorPHSales[[#This Row],[Quantity]]</f>
        <v>8746666.666666666</v>
      </c>
      <c r="Q122" s="44" t="str">
        <f>INDEX(CLEANED_MotorPH_Products_List_2!H:H,MATCH(MotorPHSales[[#This Row],[Product]],CLEANED_MotorPH_Products_List_2!$B:$B,0))</f>
        <v>6-speed</v>
      </c>
    </row>
    <row r="123" spans="1:17" ht="15.75" x14ac:dyDescent="0.3">
      <c r="A123" s="43">
        <v>45820</v>
      </c>
      <c r="B123" s="44" t="str">
        <f>TEXT(MotorPHSales[[#This Row],[Date]],"mmmm")</f>
        <v>June</v>
      </c>
      <c r="C123" s="44">
        <f>DAY(MotorPHSales[[#This Row],[Date]])</f>
        <v>12</v>
      </c>
      <c r="D123" s="44">
        <f>YEAR(MotorPHSales[[#This Row],[Date]])</f>
        <v>2025</v>
      </c>
      <c r="E123" s="44" t="s">
        <v>194</v>
      </c>
      <c r="F123" s="44" t="s">
        <v>34</v>
      </c>
      <c r="G123" s="45">
        <v>320000</v>
      </c>
      <c r="H123" s="44">
        <v>49</v>
      </c>
      <c r="I123" s="45">
        <v>15680000</v>
      </c>
      <c r="J123" s="44" t="s">
        <v>197</v>
      </c>
      <c r="K123" s="44" t="str">
        <f>INDEX(CLEANED_MotorPH_Products_List_2!C:C,MATCH(MotorPHSales[[#This Row],[Product]],CLEANED_MotorPH_Products_List_2!$B:$B,0))</f>
        <v>Adventure</v>
      </c>
      <c r="L123" s="44" t="str">
        <f>INDEX(CLEANED_MotorPH_Products_List_2!E:E,MATCH(MotorPHSales[[#This Row],[Product]],CLEANED_MotorPH_Products_List_2!$B:$B,0))</f>
        <v>Single cylinder</v>
      </c>
      <c r="M123" s="44" t="str">
        <f>INDEX(CLEANED_MotorPH_Products_List_2!F:F,MATCH(MotorPHSales[[#This Row],[Product]],CLEANED_MotorPH_Products_List_2!$B:$B,0))</f>
        <v>liquid-cooled</v>
      </c>
      <c r="N123" s="44" t="str">
        <f>INDEX(CLEANED_MotorPH_Products_List_2!G:G,MATCH(MotorPHSales[[#This Row],[Product]],CLEANED_MotorPH_Products_List_2!$B:$B,0))</f>
        <v>313cc</v>
      </c>
      <c r="O123" s="44" t="str">
        <f>INDEX(CLEANED_MotorPH_Products_List_2!K:K,MATCH(MotorPHSales[[#This Row],[Product]],CLEANED_MotorPH_Products_List_2!B:B,0))</f>
        <v>Mid-range</v>
      </c>
      <c r="P123" s="45">
        <f>IF(MotorPHSales[[#This Row],[Segment]]="Entry-level",MotorPHSales[[#This Row],[UnitPrice]]/(1+30%),IF(MotorPHSales[[#This Row],[Segment]]="Mid-range",MotorPHSales[[#This Row],[UnitPrice]]/(1+35%),MotorPHSales[[#This Row],[UnitPrice]]/(1+40%)))*MotorPHSales[[#This Row],[Quantity]]</f>
        <v>11614814.814814813</v>
      </c>
      <c r="Q123" s="44" t="str">
        <f>INDEX(CLEANED_MotorPH_Products_List_2!H:H,MATCH(MotorPHSales[[#This Row],[Product]],CLEANED_MotorPH_Products_List_2!$B:$B,0))</f>
        <v>6-speed</v>
      </c>
    </row>
    <row r="124" spans="1:17" ht="15.75" x14ac:dyDescent="0.3">
      <c r="A124" s="43">
        <v>45842</v>
      </c>
      <c r="B124" s="44" t="str">
        <f>TEXT(MotorPHSales[[#This Row],[Date]],"mmmm")</f>
        <v>July</v>
      </c>
      <c r="C124" s="44">
        <f>DAY(MotorPHSales[[#This Row],[Date]])</f>
        <v>4</v>
      </c>
      <c r="D124" s="44">
        <f>YEAR(MotorPHSales[[#This Row],[Date]])</f>
        <v>2025</v>
      </c>
      <c r="E124" s="44" t="s">
        <v>194</v>
      </c>
      <c r="F124" s="44" t="s">
        <v>26</v>
      </c>
      <c r="G124" s="45">
        <v>151900</v>
      </c>
      <c r="H124" s="44">
        <v>32</v>
      </c>
      <c r="I124" s="45">
        <v>4860800</v>
      </c>
      <c r="J124" s="44" t="s">
        <v>197</v>
      </c>
      <c r="K124" s="44" t="str">
        <f>INDEX(CLEANED_MotorPH_Products_List_2!C:C,MATCH(MotorPHSales[[#This Row],[Product]],CLEANED_MotorPH_Products_List_2!$B:$B,0))</f>
        <v>Scooter</v>
      </c>
      <c r="L124" s="44" t="str">
        <f>INDEX(CLEANED_MotorPH_Products_List_2!E:E,MATCH(MotorPHSales[[#This Row],[Product]],CLEANED_MotorPH_Products_List_2!$B:$B,0))</f>
        <v>Single cylinder</v>
      </c>
      <c r="M124" s="44" t="str">
        <f>INDEX(CLEANED_MotorPH_Products_List_2!F:F,MATCH(MotorPHSales[[#This Row],[Product]],CLEANED_MotorPH_Products_List_2!$B:$B,0))</f>
        <v>liquid-cooled</v>
      </c>
      <c r="N124" s="44" t="str">
        <f>INDEX(CLEANED_MotorPH_Products_List_2!G:G,MATCH(MotorPHSales[[#This Row],[Product]],CLEANED_MotorPH_Products_List_2!$B:$B,0))</f>
        <v>155cc</v>
      </c>
      <c r="O124" s="44" t="str">
        <f>INDEX(CLEANED_MotorPH_Products_List_2!K:K,MATCH(MotorPHSales[[#This Row],[Product]],CLEANED_MotorPH_Products_List_2!B:B,0))</f>
        <v>Entry-level</v>
      </c>
      <c r="P124" s="45">
        <f>IF(MotorPHSales[[#This Row],[Segment]]="Entry-level",MotorPHSales[[#This Row],[UnitPrice]]/(1+30%),IF(MotorPHSales[[#This Row],[Segment]]="Mid-range",MotorPHSales[[#This Row],[UnitPrice]]/(1+35%),MotorPHSales[[#This Row],[UnitPrice]]/(1+40%)))*MotorPHSales[[#This Row],[Quantity]]</f>
        <v>3739076.923076923</v>
      </c>
      <c r="Q124" s="44" t="str">
        <f>INDEX(CLEANED_MotorPH_Products_List_2!H:H,MATCH(MotorPHSales[[#This Row],[Product]],CLEANED_MotorPH_Products_List_2!$B:$B,0))</f>
        <v>CVT</v>
      </c>
    </row>
    <row r="125" spans="1:17" ht="15.75" x14ac:dyDescent="0.3">
      <c r="A125" s="43">
        <v>45841</v>
      </c>
      <c r="B125" s="44" t="str">
        <f>TEXT(MotorPHSales[[#This Row],[Date]],"mmmm")</f>
        <v>July</v>
      </c>
      <c r="C125" s="44">
        <f>DAY(MotorPHSales[[#This Row],[Date]])</f>
        <v>3</v>
      </c>
      <c r="D125" s="44">
        <f>YEAR(MotorPHSales[[#This Row],[Date]])</f>
        <v>2025</v>
      </c>
      <c r="E125" s="44" t="s">
        <v>194</v>
      </c>
      <c r="F125" s="44" t="s">
        <v>82</v>
      </c>
      <c r="G125" s="45">
        <v>199000</v>
      </c>
      <c r="H125" s="44">
        <v>13</v>
      </c>
      <c r="I125" s="45">
        <v>2587000</v>
      </c>
      <c r="J125" s="44" t="s">
        <v>198</v>
      </c>
      <c r="K125" s="44" t="str">
        <f>INDEX(CLEANED_MotorPH_Products_List_2!C:C,MATCH(MotorPHSales[[#This Row],[Product]],CLEANED_MotorPH_Products_List_2!$B:$B,0))</f>
        <v>Dual-sport</v>
      </c>
      <c r="L125" s="44" t="str">
        <f>INDEX(CLEANED_MotorPH_Products_List_2!E:E,MATCH(MotorPHSales[[#This Row],[Product]],CLEANED_MotorPH_Products_List_2!$B:$B,0))</f>
        <v>Single cylinder</v>
      </c>
      <c r="M125" s="44" t="str">
        <f>INDEX(CLEANED_MotorPH_Products_List_2!F:F,MATCH(MotorPHSales[[#This Row],[Product]],CLEANED_MotorPH_Products_List_2!$B:$B,0))</f>
        <v>air-cooled</v>
      </c>
      <c r="N125" s="44" t="str">
        <f>INDEX(CLEANED_MotorPH_Products_List_2!G:G,MATCH(MotorPHSales[[#This Row],[Product]],CLEANED_MotorPH_Products_List_2!$B:$B,0))</f>
        <v>233cc</v>
      </c>
      <c r="O125" s="44" t="str">
        <f>INDEX(CLEANED_MotorPH_Products_List_2!K:K,MATCH(MotorPHSales[[#This Row],[Product]],CLEANED_MotorPH_Products_List_2!B:B,0))</f>
        <v>Mid-range</v>
      </c>
      <c r="P125" s="45">
        <f>IF(MotorPHSales[[#This Row],[Segment]]="Entry-level",MotorPHSales[[#This Row],[UnitPrice]]/(1+30%),IF(MotorPHSales[[#This Row],[Segment]]="Mid-range",MotorPHSales[[#This Row],[UnitPrice]]/(1+35%),MotorPHSales[[#This Row],[UnitPrice]]/(1+40%)))*MotorPHSales[[#This Row],[Quantity]]</f>
        <v>1916296.2962962959</v>
      </c>
      <c r="Q125" s="44" t="str">
        <f>INDEX(CLEANED_MotorPH_Products_List_2!H:H,MATCH(MotorPHSales[[#This Row],[Product]],CLEANED_MotorPH_Products_List_2!$B:$B,0))</f>
        <v>6-speed</v>
      </c>
    </row>
    <row r="126" spans="1:17" ht="15.75" x14ac:dyDescent="0.3">
      <c r="A126" s="43">
        <v>45856</v>
      </c>
      <c r="B126" s="44" t="str">
        <f>TEXT(MotorPHSales[[#This Row],[Date]],"mmmm")</f>
        <v>July</v>
      </c>
      <c r="C126" s="44">
        <f>DAY(MotorPHSales[[#This Row],[Date]])</f>
        <v>18</v>
      </c>
      <c r="D126" s="44">
        <f>YEAR(MotorPHSales[[#This Row],[Date]])</f>
        <v>2025</v>
      </c>
      <c r="E126" s="44" t="s">
        <v>196</v>
      </c>
      <c r="F126" s="44" t="s">
        <v>78</v>
      </c>
      <c r="G126" s="45">
        <v>99900</v>
      </c>
      <c r="H126" s="44">
        <v>5</v>
      </c>
      <c r="I126" s="45">
        <v>499500</v>
      </c>
      <c r="J126" s="44" t="s">
        <v>195</v>
      </c>
      <c r="K126" s="44" t="str">
        <f>INDEX(CLEANED_MotorPH_Products_List_2!C:C,MATCH(MotorPHSales[[#This Row],[Product]],CLEANED_MotorPH_Products_List_2!$B:$B,0))</f>
        <v>Street</v>
      </c>
      <c r="L126" s="44" t="str">
        <f>INDEX(CLEANED_MotorPH_Products_List_2!E:E,MATCH(MotorPHSales[[#This Row],[Product]],CLEANED_MotorPH_Products_List_2!$B:$B,0))</f>
        <v>Single cylinder</v>
      </c>
      <c r="M126" s="44" t="str">
        <f>INDEX(CLEANED_MotorPH_Products_List_2!F:F,MATCH(MotorPHSales[[#This Row],[Product]],CLEANED_MotorPH_Products_List_2!$B:$B,0))</f>
        <v>air-cooled</v>
      </c>
      <c r="N126" s="44" t="str">
        <f>INDEX(CLEANED_MotorPH_Products_List_2!G:G,MATCH(MotorPHSales[[#This Row],[Product]],CLEANED_MotorPH_Products_List_2!$B:$B,0))</f>
        <v>149cc</v>
      </c>
      <c r="O126" s="44" t="str">
        <f>INDEX(CLEANED_MotorPH_Products_List_2!K:K,MATCH(MotorPHSales[[#This Row],[Product]],CLEANED_MotorPH_Products_List_2!B:B,0))</f>
        <v>Entry-level</v>
      </c>
      <c r="P126" s="45">
        <f>IF(MotorPHSales[[#This Row],[Segment]]="Entry-level",MotorPHSales[[#This Row],[UnitPrice]]/(1+30%),IF(MotorPHSales[[#This Row],[Segment]]="Mid-range",MotorPHSales[[#This Row],[UnitPrice]]/(1+35%),MotorPHSales[[#This Row],[UnitPrice]]/(1+40%)))*MotorPHSales[[#This Row],[Quantity]]</f>
        <v>384230.76923076925</v>
      </c>
      <c r="Q126" s="44" t="str">
        <f>INDEX(CLEANED_MotorPH_Products_List_2!H:H,MATCH(MotorPHSales[[#This Row],[Product]],CLEANED_MotorPH_Products_List_2!$B:$B,0))</f>
        <v>5-speed</v>
      </c>
    </row>
    <row r="127" spans="1:17" ht="15.75" x14ac:dyDescent="0.3">
      <c r="A127" s="43">
        <v>45831</v>
      </c>
      <c r="B127" s="44" t="str">
        <f>TEXT(MotorPHSales[[#This Row],[Date]],"mmmm")</f>
        <v>June</v>
      </c>
      <c r="C127" s="44">
        <f>DAY(MotorPHSales[[#This Row],[Date]])</f>
        <v>23</v>
      </c>
      <c r="D127" s="44">
        <f>YEAR(MotorPHSales[[#This Row],[Date]])</f>
        <v>2025</v>
      </c>
      <c r="E127" s="44" t="s">
        <v>196</v>
      </c>
      <c r="F127" s="44" t="s">
        <v>55</v>
      </c>
      <c r="G127" s="45">
        <v>80900</v>
      </c>
      <c r="H127" s="44">
        <v>7</v>
      </c>
      <c r="I127" s="45">
        <v>566300</v>
      </c>
      <c r="J127" s="44" t="s">
        <v>197</v>
      </c>
      <c r="K127" s="44" t="str">
        <f>INDEX(CLEANED_MotorPH_Products_List_2!C:C,MATCH(MotorPHSales[[#This Row],[Product]],CLEANED_MotorPH_Products_List_2!$B:$B,0))</f>
        <v>Scooter</v>
      </c>
      <c r="L127" s="44" t="str">
        <f>INDEX(CLEANED_MotorPH_Products_List_2!E:E,MATCH(MotorPHSales[[#This Row],[Product]],CLEANED_MotorPH_Products_List_2!$B:$B,0))</f>
        <v>Single cylinder</v>
      </c>
      <c r="M127" s="44" t="str">
        <f>INDEX(CLEANED_MotorPH_Products_List_2!F:F,MATCH(MotorPHSales[[#This Row],[Product]],CLEANED_MotorPH_Products_List_2!$B:$B,0))</f>
        <v>liquid-cooled</v>
      </c>
      <c r="N127" s="44" t="str">
        <f>INDEX(CLEANED_MotorPH_Products_List_2!G:G,MATCH(MotorPHSales[[#This Row],[Product]],CLEANED_MotorPH_Products_List_2!$B:$B,0))</f>
        <v>125cc</v>
      </c>
      <c r="O127" s="44" t="str">
        <f>INDEX(CLEANED_MotorPH_Products_List_2!K:K,MATCH(MotorPHSales[[#This Row],[Product]],CLEANED_MotorPH_Products_List_2!B:B,0))</f>
        <v>Entry-level</v>
      </c>
      <c r="P127" s="45">
        <f>IF(MotorPHSales[[#This Row],[Segment]]="Entry-level",MotorPHSales[[#This Row],[UnitPrice]]/(1+30%),IF(MotorPHSales[[#This Row],[Segment]]="Mid-range",MotorPHSales[[#This Row],[UnitPrice]]/(1+35%),MotorPHSales[[#This Row],[UnitPrice]]/(1+40%)))*MotorPHSales[[#This Row],[Quantity]]</f>
        <v>435615.38461538457</v>
      </c>
      <c r="Q127" s="44" t="str">
        <f>INDEX(CLEANED_MotorPH_Products_List_2!H:H,MATCH(MotorPHSales[[#This Row],[Product]],CLEANED_MotorPH_Products_List_2!$B:$B,0))</f>
        <v>CVT</v>
      </c>
    </row>
    <row r="128" spans="1:17" ht="15.75" x14ac:dyDescent="0.3">
      <c r="A128" s="43">
        <v>45870</v>
      </c>
      <c r="B128" s="44" t="str">
        <f>TEXT(MotorPHSales[[#This Row],[Date]],"mmmm")</f>
        <v>August</v>
      </c>
      <c r="C128" s="44">
        <f>DAY(MotorPHSales[[#This Row],[Date]])</f>
        <v>1</v>
      </c>
      <c r="D128" s="44">
        <f>YEAR(MotorPHSales[[#This Row],[Date]])</f>
        <v>2025</v>
      </c>
      <c r="E128" s="44" t="s">
        <v>196</v>
      </c>
      <c r="F128" s="44" t="s">
        <v>40</v>
      </c>
      <c r="G128" s="45">
        <v>210000</v>
      </c>
      <c r="H128" s="44">
        <v>39</v>
      </c>
      <c r="I128" s="45">
        <v>8190000</v>
      </c>
      <c r="J128" s="44" t="s">
        <v>195</v>
      </c>
      <c r="K128" s="44" t="str">
        <f>INDEX(CLEANED_MotorPH_Products_List_2!C:C,MATCH(MotorPHSales[[#This Row],[Product]],CLEANED_MotorPH_Products_List_2!$B:$B,0))</f>
        <v>Scooter</v>
      </c>
      <c r="L128" s="44" t="str">
        <f>INDEX(CLEANED_MotorPH_Products_List_2!E:E,MATCH(MotorPHSales[[#This Row],[Product]],CLEANED_MotorPH_Products_List_2!$B:$B,0))</f>
        <v>Single cylinder</v>
      </c>
      <c r="M128" s="44" t="str">
        <f>INDEX(CLEANED_MotorPH_Products_List_2!F:F,MATCH(MotorPHSales[[#This Row],[Product]],CLEANED_MotorPH_Products_List_2!$B:$B,0))</f>
        <v>air-cooled</v>
      </c>
      <c r="N128" s="44" t="str">
        <f>INDEX(CLEANED_MotorPH_Products_List_2!G:G,MATCH(MotorPHSales[[#This Row],[Product]],CLEANED_MotorPH_Products_List_2!$B:$B,0))</f>
        <v>150cc</v>
      </c>
      <c r="O128" s="44" t="str">
        <f>INDEX(CLEANED_MotorPH_Products_List_2!K:K,MATCH(MotorPHSales[[#This Row],[Product]],CLEANED_MotorPH_Products_List_2!B:B,0))</f>
        <v>Entry-level</v>
      </c>
      <c r="P128" s="45">
        <f>IF(MotorPHSales[[#This Row],[Segment]]="Entry-level",MotorPHSales[[#This Row],[UnitPrice]]/(1+30%),IF(MotorPHSales[[#This Row],[Segment]]="Mid-range",MotorPHSales[[#This Row],[UnitPrice]]/(1+35%),MotorPHSales[[#This Row],[UnitPrice]]/(1+40%)))*MotorPHSales[[#This Row],[Quantity]]</f>
        <v>6300000</v>
      </c>
      <c r="Q128" s="44" t="str">
        <f>INDEX(CLEANED_MotorPH_Products_List_2!H:H,MATCH(MotorPHSales[[#This Row],[Product]],CLEANED_MotorPH_Products_List_2!$B:$B,0))</f>
        <v>CVT</v>
      </c>
    </row>
    <row r="129" spans="1:17" ht="15.75" x14ac:dyDescent="0.3">
      <c r="A129" s="43">
        <v>45896</v>
      </c>
      <c r="B129" s="44" t="str">
        <f>TEXT(MotorPHSales[[#This Row],[Date]],"mmmm")</f>
        <v>August</v>
      </c>
      <c r="C129" s="44">
        <f>DAY(MotorPHSales[[#This Row],[Date]])</f>
        <v>27</v>
      </c>
      <c r="D129" s="44">
        <f>YEAR(MotorPHSales[[#This Row],[Date]])</f>
        <v>2025</v>
      </c>
      <c r="E129" s="44" t="s">
        <v>194</v>
      </c>
      <c r="F129" s="44" t="s">
        <v>46</v>
      </c>
      <c r="G129" s="45">
        <v>124000</v>
      </c>
      <c r="H129" s="44">
        <v>10</v>
      </c>
      <c r="I129" s="45">
        <v>1240000</v>
      </c>
      <c r="J129" s="44" t="s">
        <v>198</v>
      </c>
      <c r="K129" s="44" t="str">
        <f>INDEX(CLEANED_MotorPH_Products_List_2!C:C,MATCH(MotorPHSales[[#This Row],[Product]],CLEANED_MotorPH_Products_List_2!$B:$B,0))</f>
        <v>Scooter</v>
      </c>
      <c r="L129" s="44" t="str">
        <f>INDEX(CLEANED_MotorPH_Products_List_2!E:E,MATCH(MotorPHSales[[#This Row],[Product]],CLEANED_MotorPH_Products_List_2!$B:$B,0))</f>
        <v>Single cylinder</v>
      </c>
      <c r="M129" s="44" t="str">
        <f>INDEX(CLEANED_MotorPH_Products_List_2!F:F,MATCH(MotorPHSales[[#This Row],[Product]],CLEANED_MotorPH_Products_List_2!$B:$B,0))</f>
        <v>liquid-cooled</v>
      </c>
      <c r="N129" s="44" t="str">
        <f>INDEX(CLEANED_MotorPH_Products_List_2!G:G,MATCH(MotorPHSales[[#This Row],[Product]],CLEANED_MotorPH_Products_List_2!$B:$B,0))</f>
        <v>155cc</v>
      </c>
      <c r="O129" s="44" t="str">
        <f>INDEX(CLEANED_MotorPH_Products_List_2!K:K,MATCH(MotorPHSales[[#This Row],[Product]],CLEANED_MotorPH_Products_List_2!B:B,0))</f>
        <v>Entry-level</v>
      </c>
      <c r="P129" s="45">
        <f>IF(MotorPHSales[[#This Row],[Segment]]="Entry-level",MotorPHSales[[#This Row],[UnitPrice]]/(1+30%),IF(MotorPHSales[[#This Row],[Segment]]="Mid-range",MotorPHSales[[#This Row],[UnitPrice]]/(1+35%),MotorPHSales[[#This Row],[UnitPrice]]/(1+40%)))*MotorPHSales[[#This Row],[Quantity]]</f>
        <v>953846.15384615376</v>
      </c>
      <c r="Q129" s="44" t="str">
        <f>INDEX(CLEANED_MotorPH_Products_List_2!H:H,MATCH(MotorPHSales[[#This Row],[Product]],CLEANED_MotorPH_Products_List_2!$B:$B,0))</f>
        <v>CVT</v>
      </c>
    </row>
    <row r="130" spans="1:17" ht="15.75" x14ac:dyDescent="0.3">
      <c r="A130" s="43">
        <v>45845</v>
      </c>
      <c r="B130" s="44" t="str">
        <f>TEXT(MotorPHSales[[#This Row],[Date]],"mmmm")</f>
        <v>July</v>
      </c>
      <c r="C130" s="44">
        <f>DAY(MotorPHSales[[#This Row],[Date]])</f>
        <v>7</v>
      </c>
      <c r="D130" s="44">
        <f>YEAR(MotorPHSales[[#This Row],[Date]])</f>
        <v>2025</v>
      </c>
      <c r="E130" s="44" t="s">
        <v>196</v>
      </c>
      <c r="F130" s="44" t="s">
        <v>44</v>
      </c>
      <c r="G130" s="45">
        <v>331000</v>
      </c>
      <c r="H130" s="44">
        <v>50</v>
      </c>
      <c r="I130" s="45">
        <v>16550000</v>
      </c>
      <c r="J130" s="44" t="s">
        <v>195</v>
      </c>
      <c r="K130" s="44" t="str">
        <f>INDEX(CLEANED_MotorPH_Products_List_2!C:C,MATCH(MotorPHSales[[#This Row],[Product]],CLEANED_MotorPH_Products_List_2!$B:$B,0))</f>
        <v>Naked bike</v>
      </c>
      <c r="L130" s="44" t="str">
        <f>INDEX(CLEANED_MotorPH_Products_List_2!E:E,MATCH(MotorPHSales[[#This Row],[Product]],CLEANED_MotorPH_Products_List_2!$B:$B,0))</f>
        <v>Parallel-twin</v>
      </c>
      <c r="M130" s="44" t="str">
        <f>INDEX(CLEANED_MotorPH_Products_List_2!F:F,MATCH(MotorPHSales[[#This Row],[Product]],CLEANED_MotorPH_Products_List_2!$B:$B,0))</f>
        <v>liquid-cooled</v>
      </c>
      <c r="N130" s="44" t="str">
        <f>INDEX(CLEANED_MotorPH_Products_List_2!G:G,MATCH(MotorPHSales[[#This Row],[Product]],CLEANED_MotorPH_Products_List_2!$B:$B,0))</f>
        <v>399cc</v>
      </c>
      <c r="O130" s="44" t="str">
        <f>INDEX(CLEANED_MotorPH_Products_List_2!K:K,MATCH(MotorPHSales[[#This Row],[Product]],CLEANED_MotorPH_Products_List_2!B:B,0))</f>
        <v>Mid-range</v>
      </c>
      <c r="P130" s="45">
        <f>IF(MotorPHSales[[#This Row],[Segment]]="Entry-level",MotorPHSales[[#This Row],[UnitPrice]]/(1+30%),IF(MotorPHSales[[#This Row],[Segment]]="Mid-range",MotorPHSales[[#This Row],[UnitPrice]]/(1+35%),MotorPHSales[[#This Row],[UnitPrice]]/(1+40%)))*MotorPHSales[[#This Row],[Quantity]]</f>
        <v>12259259.259259257</v>
      </c>
      <c r="Q130" s="44" t="str">
        <f>INDEX(CLEANED_MotorPH_Products_List_2!H:H,MATCH(MotorPHSales[[#This Row],[Product]],CLEANED_MotorPH_Products_List_2!$B:$B,0))</f>
        <v>6-speed</v>
      </c>
    </row>
    <row r="131" spans="1:17" ht="15.75" x14ac:dyDescent="0.3">
      <c r="A131" s="43">
        <v>45852</v>
      </c>
      <c r="B131" s="44" t="str">
        <f>TEXT(MotorPHSales[[#This Row],[Date]],"mmmm")</f>
        <v>July</v>
      </c>
      <c r="C131" s="44">
        <f>DAY(MotorPHSales[[#This Row],[Date]])</f>
        <v>14</v>
      </c>
      <c r="D131" s="44">
        <f>YEAR(MotorPHSales[[#This Row],[Date]])</f>
        <v>2025</v>
      </c>
      <c r="E131" s="44" t="s">
        <v>194</v>
      </c>
      <c r="F131" s="44" t="s">
        <v>99</v>
      </c>
      <c r="G131" s="45">
        <v>2067000</v>
      </c>
      <c r="H131" s="44">
        <v>4</v>
      </c>
      <c r="I131" s="45">
        <v>2756000</v>
      </c>
      <c r="J131" s="44" t="s">
        <v>198</v>
      </c>
      <c r="K131" s="44" t="str">
        <f>INDEX(CLEANED_MotorPH_Products_List_2!C:C,MATCH(MotorPHSales[[#This Row],[Product]],CLEANED_MotorPH_Products_List_2!$B:$B,0))</f>
        <v>Heritage</v>
      </c>
      <c r="L131" s="44" t="str">
        <f>INDEX(CLEANED_MotorPH_Products_List_2!E:E,MATCH(MotorPHSales[[#This Row],[Product]],CLEANED_MotorPH_Products_List_2!$B:$B,0))</f>
        <v>V-twin</v>
      </c>
      <c r="M131" s="44" t="str">
        <f>INDEX(CLEANED_MotorPH_Products_List_2!F:F,MATCH(MotorPHSales[[#This Row],[Product]],CLEANED_MotorPH_Products_List_2!$B:$B,0))</f>
        <v>air-cooled</v>
      </c>
      <c r="N131" s="44" t="str">
        <f>INDEX(CLEANED_MotorPH_Products_List_2!G:G,MATCH(MotorPHSales[[#This Row],[Product]],CLEANED_MotorPH_Products_List_2!$B:$B,0))</f>
        <v>853cc</v>
      </c>
      <c r="O131" s="44" t="str">
        <f>INDEX(CLEANED_MotorPH_Products_List_2!K:K,MATCH(MotorPHSales[[#This Row],[Product]],CLEANED_MotorPH_Products_List_2!B:B,0))</f>
        <v>Premium</v>
      </c>
      <c r="P131" s="45">
        <f>IF(MotorPHSales[[#This Row],[Segment]]="Entry-level",MotorPHSales[[#This Row],[UnitPrice]]/(1+30%),IF(MotorPHSales[[#This Row],[Segment]]="Mid-range",MotorPHSales[[#This Row],[UnitPrice]]/(1+35%),MotorPHSales[[#This Row],[UnitPrice]]/(1+40%)))*MotorPHSales[[#This Row],[Quantity]]</f>
        <v>5905714.2857142864</v>
      </c>
      <c r="Q131" s="44" t="str">
        <f>INDEX(CLEANED_MotorPH_Products_List_2!H:H,MATCH(MotorPHSales[[#This Row],[Product]],CLEANED_MotorPH_Products_List_2!$B:$B,0))</f>
        <v>6-speed</v>
      </c>
    </row>
    <row r="132" spans="1:17" ht="15.75" x14ac:dyDescent="0.3">
      <c r="A132" s="43">
        <v>45894</v>
      </c>
      <c r="B132" s="44" t="str">
        <f>TEXT(MotorPHSales[[#This Row],[Date]],"mmmm")</f>
        <v>August</v>
      </c>
      <c r="C132" s="44">
        <f>DAY(MotorPHSales[[#This Row],[Date]])</f>
        <v>25</v>
      </c>
      <c r="D132" s="44">
        <f>YEAR(MotorPHSales[[#This Row],[Date]])</f>
        <v>2025</v>
      </c>
      <c r="E132" s="44" t="s">
        <v>194</v>
      </c>
      <c r="F132" s="44" t="s">
        <v>99</v>
      </c>
      <c r="G132" s="45">
        <v>689000</v>
      </c>
      <c r="H132" s="44">
        <v>28</v>
      </c>
      <c r="I132" s="45">
        <v>19292000</v>
      </c>
      <c r="J132" s="44" t="s">
        <v>197</v>
      </c>
      <c r="K132" s="44" t="str">
        <f>INDEX(CLEANED_MotorPH_Products_List_2!C:C,MATCH(MotorPHSales[[#This Row],[Product]],CLEANED_MotorPH_Products_List_2!$B:$B,0))</f>
        <v>Heritage</v>
      </c>
      <c r="L132" s="44" t="str">
        <f>INDEX(CLEANED_MotorPH_Products_List_2!E:E,MATCH(MotorPHSales[[#This Row],[Product]],CLEANED_MotorPH_Products_List_2!$B:$B,0))</f>
        <v>V-twin</v>
      </c>
      <c r="M132" s="44" t="str">
        <f>INDEX(CLEANED_MotorPH_Products_List_2!F:F,MATCH(MotorPHSales[[#This Row],[Product]],CLEANED_MotorPH_Products_List_2!$B:$B,0))</f>
        <v>air-cooled</v>
      </c>
      <c r="N132" s="44" t="str">
        <f>INDEX(CLEANED_MotorPH_Products_List_2!G:G,MATCH(MotorPHSales[[#This Row],[Product]],CLEANED_MotorPH_Products_List_2!$B:$B,0))</f>
        <v>853cc</v>
      </c>
      <c r="O132" s="44" t="str">
        <f>INDEX(CLEANED_MotorPH_Products_List_2!K:K,MATCH(MotorPHSales[[#This Row],[Product]],CLEANED_MotorPH_Products_List_2!B:B,0))</f>
        <v>Premium</v>
      </c>
      <c r="P132" s="45">
        <f>IF(MotorPHSales[[#This Row],[Segment]]="Entry-level",MotorPHSales[[#This Row],[UnitPrice]]/(1+30%),IF(MotorPHSales[[#This Row],[Segment]]="Mid-range",MotorPHSales[[#This Row],[UnitPrice]]/(1+35%),MotorPHSales[[#This Row],[UnitPrice]]/(1+40%)))*MotorPHSales[[#This Row],[Quantity]]</f>
        <v>13780000</v>
      </c>
      <c r="Q132" s="44" t="str">
        <f>INDEX(CLEANED_MotorPH_Products_List_2!H:H,MATCH(MotorPHSales[[#This Row],[Product]],CLEANED_MotorPH_Products_List_2!$B:$B,0))</f>
        <v>6-speed</v>
      </c>
    </row>
    <row r="133" spans="1:17" ht="15.75" x14ac:dyDescent="0.3">
      <c r="A133" s="43">
        <v>45899</v>
      </c>
      <c r="B133" s="44" t="str">
        <f>TEXT(MotorPHSales[[#This Row],[Date]],"mmmm")</f>
        <v>August</v>
      </c>
      <c r="C133" s="44">
        <f>DAY(MotorPHSales[[#This Row],[Date]])</f>
        <v>30</v>
      </c>
      <c r="D133" s="44">
        <f>YEAR(MotorPHSales[[#This Row],[Date]])</f>
        <v>2025</v>
      </c>
      <c r="E133" s="44" t="s">
        <v>196</v>
      </c>
      <c r="F133" s="44" t="s">
        <v>36</v>
      </c>
      <c r="G133" s="45">
        <v>129000</v>
      </c>
      <c r="H133" s="44">
        <v>38</v>
      </c>
      <c r="I133" s="45">
        <v>4902000</v>
      </c>
      <c r="J133" s="44" t="s">
        <v>195</v>
      </c>
      <c r="K133" s="44" t="str">
        <f>INDEX(CLEANED_MotorPH_Products_List_2!C:C,MATCH(MotorPHSales[[#This Row],[Product]],CLEANED_MotorPH_Products_List_2!$B:$B,0))</f>
        <v>Naked bike</v>
      </c>
      <c r="L133" s="44" t="str">
        <f>INDEX(CLEANED_MotorPH_Products_List_2!E:E,MATCH(MotorPHSales[[#This Row],[Product]],CLEANED_MotorPH_Products_List_2!$B:$B,0))</f>
        <v>Single cylinder</v>
      </c>
      <c r="M133" s="44" t="str">
        <f>INDEX(CLEANED_MotorPH_Products_List_2!F:F,MATCH(MotorPHSales[[#This Row],[Product]],CLEANED_MotorPH_Products_List_2!$B:$B,0))</f>
        <v>oil-cooled</v>
      </c>
      <c r="N133" s="44" t="str">
        <f>INDEX(CLEANED_MotorPH_Products_List_2!G:G,MATCH(MotorPHSales[[#This Row],[Product]],CLEANED_MotorPH_Products_List_2!$B:$B,0))</f>
        <v>197cc</v>
      </c>
      <c r="O133" s="44" t="str">
        <f>INDEX(CLEANED_MotorPH_Products_List_2!K:K,MATCH(MotorPHSales[[#This Row],[Product]],CLEANED_MotorPH_Products_List_2!B:B,0))</f>
        <v>Entry-level</v>
      </c>
      <c r="P133" s="45">
        <f>IF(MotorPHSales[[#This Row],[Segment]]="Entry-level",MotorPHSales[[#This Row],[UnitPrice]]/(1+30%),IF(MotorPHSales[[#This Row],[Segment]]="Mid-range",MotorPHSales[[#This Row],[UnitPrice]]/(1+35%),MotorPHSales[[#This Row],[UnitPrice]]/(1+40%)))*MotorPHSales[[#This Row],[Quantity]]</f>
        <v>3770769.230769231</v>
      </c>
      <c r="Q133" s="44" t="str">
        <f>INDEX(CLEANED_MotorPH_Products_List_2!H:H,MATCH(MotorPHSales[[#This Row],[Product]],CLEANED_MotorPH_Products_List_2!$B:$B,0))</f>
        <v>5-speed</v>
      </c>
    </row>
    <row r="134" spans="1:17" ht="15.75" x14ac:dyDescent="0.3">
      <c r="A134" s="43">
        <v>45843</v>
      </c>
      <c r="B134" s="44" t="str">
        <f>TEXT(MotorPHSales[[#This Row],[Date]],"mmmm")</f>
        <v>July</v>
      </c>
      <c r="C134" s="44">
        <f>DAY(MotorPHSales[[#This Row],[Date]])</f>
        <v>5</v>
      </c>
      <c r="D134" s="44">
        <f>YEAR(MotorPHSales[[#This Row],[Date]])</f>
        <v>2025</v>
      </c>
      <c r="E134" s="44" t="s">
        <v>196</v>
      </c>
      <c r="F134" s="44" t="s">
        <v>64</v>
      </c>
      <c r="G134" s="45">
        <v>128000</v>
      </c>
      <c r="H134" s="44">
        <v>12</v>
      </c>
      <c r="I134" s="45">
        <v>1536000</v>
      </c>
      <c r="J134" s="44" t="s">
        <v>197</v>
      </c>
      <c r="K134" s="44" t="str">
        <f>INDEX(CLEANED_MotorPH_Products_List_2!C:C,MATCH(MotorPHSales[[#This Row],[Product]],CLEANED_MotorPH_Products_List_2!$B:$B,0))</f>
        <v>Scooter</v>
      </c>
      <c r="L134" s="44" t="str">
        <f>INDEX(CLEANED_MotorPH_Products_List_2!E:E,MATCH(MotorPHSales[[#This Row],[Product]],CLEANED_MotorPH_Products_List_2!$B:$B,0))</f>
        <v>Single cylinder</v>
      </c>
      <c r="M134" s="44" t="str">
        <f>INDEX(CLEANED_MotorPH_Products_List_2!F:F,MATCH(MotorPHSales[[#This Row],[Product]],CLEANED_MotorPH_Products_List_2!$B:$B,0))</f>
        <v>liquid-cooled</v>
      </c>
      <c r="N134" s="44" t="str">
        <f>INDEX(CLEANED_MotorPH_Products_List_2!G:G,MATCH(MotorPHSales[[#This Row],[Product]],CLEANED_MotorPH_Products_List_2!$B:$B,0))</f>
        <v>149cc</v>
      </c>
      <c r="O134" s="44" t="str">
        <f>INDEX(CLEANED_MotorPH_Products_List_2!K:K,MATCH(MotorPHSales[[#This Row],[Product]],CLEANED_MotorPH_Products_List_2!B:B,0))</f>
        <v>Entry-level</v>
      </c>
      <c r="P134" s="45">
        <f>IF(MotorPHSales[[#This Row],[Segment]]="Entry-level",MotorPHSales[[#This Row],[UnitPrice]]/(1+30%),IF(MotorPHSales[[#This Row],[Segment]]="Mid-range",MotorPHSales[[#This Row],[UnitPrice]]/(1+35%),MotorPHSales[[#This Row],[UnitPrice]]/(1+40%)))*MotorPHSales[[#This Row],[Quantity]]</f>
        <v>1181538.4615384615</v>
      </c>
      <c r="Q134" s="44" t="str">
        <f>INDEX(CLEANED_MotorPH_Products_List_2!H:H,MATCH(MotorPHSales[[#This Row],[Product]],CLEANED_MotorPH_Products_List_2!$B:$B,0))</f>
        <v>CVT</v>
      </c>
    </row>
    <row r="135" spans="1:17" ht="15.75" x14ac:dyDescent="0.3">
      <c r="A135" s="43">
        <v>45873</v>
      </c>
      <c r="B135" s="44" t="str">
        <f>TEXT(MotorPHSales[[#This Row],[Date]],"mmmm")</f>
        <v>August</v>
      </c>
      <c r="C135" s="44">
        <f>DAY(MotorPHSales[[#This Row],[Date]])</f>
        <v>4</v>
      </c>
      <c r="D135" s="44">
        <f>YEAR(MotorPHSales[[#This Row],[Date]])</f>
        <v>2025</v>
      </c>
      <c r="E135" s="44" t="s">
        <v>196</v>
      </c>
      <c r="F135" s="44" t="s">
        <v>72</v>
      </c>
      <c r="G135" s="45">
        <v>319000</v>
      </c>
      <c r="H135" s="44">
        <v>3</v>
      </c>
      <c r="I135" s="45">
        <v>957000</v>
      </c>
      <c r="J135" s="44" t="s">
        <v>195</v>
      </c>
      <c r="K135" s="44" t="str">
        <f>INDEX(CLEANED_MotorPH_Products_List_2!C:C,MATCH(MotorPHSales[[#This Row],[Product]],CLEANED_MotorPH_Products_List_2!$B:$B,0))</f>
        <v>Scooter</v>
      </c>
      <c r="L135" s="44" t="str">
        <f>INDEX(CLEANED_MotorPH_Products_List_2!E:E,MATCH(MotorPHSales[[#This Row],[Product]],CLEANED_MotorPH_Products_List_2!$B:$B,0))</f>
        <v>Single cylinder</v>
      </c>
      <c r="M135" s="44" t="str">
        <f>INDEX(CLEANED_MotorPH_Products_List_2!F:F,MATCH(MotorPHSales[[#This Row],[Product]],CLEANED_MotorPH_Products_List_2!$B:$B,0))</f>
        <v>liquid-cooled</v>
      </c>
      <c r="N135" s="44" t="str">
        <f>INDEX(CLEANED_MotorPH_Products_List_2!G:G,MATCH(MotorPHSales[[#This Row],[Product]],CLEANED_MotorPH_Products_List_2!$B:$B,0))</f>
        <v>292cc</v>
      </c>
      <c r="O135" s="44" t="str">
        <f>INDEX(CLEANED_MotorPH_Products_List_2!K:K,MATCH(MotorPHSales[[#This Row],[Product]],CLEANED_MotorPH_Products_List_2!B:B,0))</f>
        <v>Mid-range</v>
      </c>
      <c r="P135" s="45">
        <f>IF(MotorPHSales[[#This Row],[Segment]]="Entry-level",MotorPHSales[[#This Row],[UnitPrice]]/(1+30%),IF(MotorPHSales[[#This Row],[Segment]]="Mid-range",MotorPHSales[[#This Row],[UnitPrice]]/(1+35%),MotorPHSales[[#This Row],[UnitPrice]]/(1+40%)))*MotorPHSales[[#This Row],[Quantity]]</f>
        <v>708888.88888888888</v>
      </c>
      <c r="Q135" s="44" t="str">
        <f>INDEX(CLEANED_MotorPH_Products_List_2!H:H,MATCH(MotorPHSales[[#This Row],[Product]],CLEANED_MotorPH_Products_List_2!$B:$B,0))</f>
        <v>CVT</v>
      </c>
    </row>
    <row r="136" spans="1:17" ht="15.75" x14ac:dyDescent="0.3">
      <c r="A136" s="43">
        <v>45855</v>
      </c>
      <c r="B136" s="44" t="str">
        <f>TEXT(MotorPHSales[[#This Row],[Date]],"mmmm")</f>
        <v>July</v>
      </c>
      <c r="C136" s="44">
        <f>DAY(MotorPHSales[[#This Row],[Date]])</f>
        <v>17</v>
      </c>
      <c r="D136" s="44">
        <f>YEAR(MotorPHSales[[#This Row],[Date]])</f>
        <v>2025</v>
      </c>
      <c r="E136" s="44" t="s">
        <v>194</v>
      </c>
      <c r="F136" s="44" t="s">
        <v>97</v>
      </c>
      <c r="G136" s="45">
        <v>269000</v>
      </c>
      <c r="H136" s="44">
        <v>27</v>
      </c>
      <c r="I136" s="45">
        <v>7263000</v>
      </c>
      <c r="J136" s="44" t="s">
        <v>198</v>
      </c>
      <c r="K136" s="44" t="str">
        <f>INDEX(CLEANED_MotorPH_Products_List_2!C:C,MATCH(MotorPHSales[[#This Row],[Product]],CLEANED_MotorPH_Products_List_2!$B:$B,0))</f>
        <v>Cafe racer</v>
      </c>
      <c r="L136" s="44" t="str">
        <f>INDEX(CLEANED_MotorPH_Products_List_2!E:E,MATCH(MotorPHSales[[#This Row],[Product]],CLEANED_MotorPH_Products_List_2!$B:$B,0))</f>
        <v>Single cylinder</v>
      </c>
      <c r="M136" s="44" t="str">
        <f>INDEX(CLEANED_MotorPH_Products_List_2!F:F,MATCH(MotorPHSales[[#This Row],[Product]],CLEANED_MotorPH_Products_List_2!$B:$B,0))</f>
        <v>liquid-cooled</v>
      </c>
      <c r="N136" s="44" t="str">
        <f>INDEX(CLEANED_MotorPH_Products_List_2!G:G,MATCH(MotorPHSales[[#This Row],[Product]],CLEANED_MotorPH_Products_List_2!$B:$B,0))</f>
        <v>348cc</v>
      </c>
      <c r="O136" s="44" t="str">
        <f>INDEX(CLEANED_MotorPH_Products_List_2!K:K,MATCH(MotorPHSales[[#This Row],[Product]],CLEANED_MotorPH_Products_List_2!B:B,0))</f>
        <v>Mid-range</v>
      </c>
      <c r="P136" s="45">
        <f>IF(MotorPHSales[[#This Row],[Segment]]="Entry-level",MotorPHSales[[#This Row],[UnitPrice]]/(1+30%),IF(MotorPHSales[[#This Row],[Segment]]="Mid-range",MotorPHSales[[#This Row],[UnitPrice]]/(1+35%),MotorPHSales[[#This Row],[UnitPrice]]/(1+40%)))*MotorPHSales[[#This Row],[Quantity]]</f>
        <v>5379999.9999999991</v>
      </c>
      <c r="Q136" s="44" t="str">
        <f>INDEX(CLEANED_MotorPH_Products_List_2!H:H,MATCH(MotorPHSales[[#This Row],[Product]],CLEANED_MotorPH_Products_List_2!$B:$B,0))</f>
        <v>6-speed</v>
      </c>
    </row>
    <row r="137" spans="1:17" ht="15.75" x14ac:dyDescent="0.3">
      <c r="A137" s="43">
        <v>45886</v>
      </c>
      <c r="B137" s="44" t="str">
        <f>TEXT(MotorPHSales[[#This Row],[Date]],"mmmm")</f>
        <v>August</v>
      </c>
      <c r="C137" s="44">
        <f>DAY(MotorPHSales[[#This Row],[Date]])</f>
        <v>17</v>
      </c>
      <c r="D137" s="44">
        <f>YEAR(MotorPHSales[[#This Row],[Date]])</f>
        <v>2025</v>
      </c>
      <c r="E137" s="44" t="s">
        <v>194</v>
      </c>
      <c r="F137" s="44" t="s">
        <v>92</v>
      </c>
      <c r="G137" s="45">
        <v>289000</v>
      </c>
      <c r="H137" s="44">
        <v>37</v>
      </c>
      <c r="I137" s="45">
        <v>10693000</v>
      </c>
      <c r="J137" s="44" t="s">
        <v>195</v>
      </c>
      <c r="K137" s="44" t="str">
        <f>INDEX(CLEANED_MotorPH_Products_List_2!C:C,MATCH(MotorPHSales[[#This Row],[Product]],CLEANED_MotorPH_Products_List_2!$B:$B,0))</f>
        <v>Scooter</v>
      </c>
      <c r="L137" s="44" t="str">
        <f>INDEX(CLEANED_MotorPH_Products_List_2!E:E,MATCH(MotorPHSales[[#This Row],[Product]],CLEANED_MotorPH_Products_List_2!$B:$B,0))</f>
        <v>Single cylinder</v>
      </c>
      <c r="M137" s="44" t="str">
        <f>INDEX(CLEANED_MotorPH_Products_List_2!F:F,MATCH(MotorPHSales[[#This Row],[Product]],CLEANED_MotorPH_Products_List_2!$B:$B,0))</f>
        <v>liquid-cooled</v>
      </c>
      <c r="N137" s="44" t="str">
        <f>INDEX(CLEANED_MotorPH_Products_List_2!G:G,MATCH(MotorPHSales[[#This Row],[Product]],CLEANED_MotorPH_Products_List_2!$B:$B,0))</f>
        <v>181cc</v>
      </c>
      <c r="O137" s="44" t="str">
        <f>INDEX(CLEANED_MotorPH_Products_List_2!K:K,MATCH(MotorPHSales[[#This Row],[Product]],CLEANED_MotorPH_Products_List_2!B:B,0))</f>
        <v>Entry-level</v>
      </c>
      <c r="P137" s="45">
        <f>IF(MotorPHSales[[#This Row],[Segment]]="Entry-level",MotorPHSales[[#This Row],[UnitPrice]]/(1+30%),IF(MotorPHSales[[#This Row],[Segment]]="Mid-range",MotorPHSales[[#This Row],[UnitPrice]]/(1+35%),MotorPHSales[[#This Row],[UnitPrice]]/(1+40%)))*MotorPHSales[[#This Row],[Quantity]]</f>
        <v>8225384.615384616</v>
      </c>
      <c r="Q137" s="44" t="str">
        <f>INDEX(CLEANED_MotorPH_Products_List_2!H:H,MATCH(MotorPHSales[[#This Row],[Product]],CLEANED_MotorPH_Products_List_2!$B:$B,0))</f>
        <v>CVT</v>
      </c>
    </row>
    <row r="138" spans="1:17" ht="15.75" x14ac:dyDescent="0.3">
      <c r="A138" s="43">
        <v>45811</v>
      </c>
      <c r="B138" s="44" t="str">
        <f>TEXT(MotorPHSales[[#This Row],[Date]],"mmmm")</f>
        <v>June</v>
      </c>
      <c r="C138" s="44">
        <f>DAY(MotorPHSales[[#This Row],[Date]])</f>
        <v>3</v>
      </c>
      <c r="D138" s="44">
        <f>YEAR(MotorPHSales[[#This Row],[Date]])</f>
        <v>2025</v>
      </c>
      <c r="E138" s="44" t="s">
        <v>196</v>
      </c>
      <c r="F138" s="44" t="s">
        <v>74</v>
      </c>
      <c r="G138" s="45">
        <v>349000</v>
      </c>
      <c r="H138" s="44">
        <v>13</v>
      </c>
      <c r="I138" s="45">
        <v>4537000</v>
      </c>
      <c r="J138" s="44" t="s">
        <v>195</v>
      </c>
      <c r="K138" s="44" t="str">
        <f>INDEX(CLEANED_MotorPH_Products_List_2!C:C,MATCH(MotorPHSales[[#This Row],[Product]],CLEANED_MotorPH_Products_List_2!$B:$B,0))</f>
        <v>Cruiser</v>
      </c>
      <c r="L138" s="44" t="str">
        <f>INDEX(CLEANED_MotorPH_Products_List_2!E:E,MATCH(MotorPHSales[[#This Row],[Product]],CLEANED_MotorPH_Products_List_2!$B:$B,0))</f>
        <v>Parallel-twin</v>
      </c>
      <c r="M138" s="44" t="str">
        <f>INDEX(CLEANED_MotorPH_Products_List_2!F:F,MATCH(MotorPHSales[[#This Row],[Product]],CLEANED_MotorPH_Products_List_2!$B:$B,0))</f>
        <v>liquid-cooled</v>
      </c>
      <c r="N138" s="44" t="str">
        <f>INDEX(CLEANED_MotorPH_Products_List_2!G:G,MATCH(MotorPHSales[[#This Row],[Product]],CLEANED_MotorPH_Products_List_2!$B:$B,0))</f>
        <v>500cc</v>
      </c>
      <c r="O138" s="44" t="str">
        <f>INDEX(CLEANED_MotorPH_Products_List_2!K:K,MATCH(MotorPHSales[[#This Row],[Product]],CLEANED_MotorPH_Products_List_2!B:B,0))</f>
        <v>Mid-range</v>
      </c>
      <c r="P138" s="45">
        <f>IF(MotorPHSales[[#This Row],[Segment]]="Entry-level",MotorPHSales[[#This Row],[UnitPrice]]/(1+30%),IF(MotorPHSales[[#This Row],[Segment]]="Mid-range",MotorPHSales[[#This Row],[UnitPrice]]/(1+35%),MotorPHSales[[#This Row],[UnitPrice]]/(1+40%)))*MotorPHSales[[#This Row],[Quantity]]</f>
        <v>3360740.7407407407</v>
      </c>
      <c r="Q138" s="44" t="str">
        <f>INDEX(CLEANED_MotorPH_Products_List_2!H:H,MATCH(MotorPHSales[[#This Row],[Product]],CLEANED_MotorPH_Products_List_2!$B:$B,0))</f>
        <v>6-speed</v>
      </c>
    </row>
    <row r="139" spans="1:17" ht="15.75" x14ac:dyDescent="0.3">
      <c r="A139" s="43">
        <v>45809</v>
      </c>
      <c r="B139" s="44" t="str">
        <f>TEXT(MotorPHSales[[#This Row],[Date]],"mmmm")</f>
        <v>June</v>
      </c>
      <c r="C139" s="44">
        <f>DAY(MotorPHSales[[#This Row],[Date]])</f>
        <v>1</v>
      </c>
      <c r="D139" s="44">
        <f>YEAR(MotorPHSales[[#This Row],[Date]])</f>
        <v>2025</v>
      </c>
      <c r="E139" s="44" t="s">
        <v>194</v>
      </c>
      <c r="F139" s="44" t="s">
        <v>57</v>
      </c>
      <c r="G139" s="45">
        <v>377700</v>
      </c>
      <c r="H139" s="44">
        <v>8</v>
      </c>
      <c r="I139" s="45">
        <v>1007200</v>
      </c>
      <c r="J139" s="44" t="s">
        <v>195</v>
      </c>
      <c r="K139" s="44" t="str">
        <f>INDEX(CLEANED_MotorPH_Products_List_2!C:C,MATCH(MotorPHSales[[#This Row],[Product]],CLEANED_MotorPH_Products_List_2!$B:$B,0))</f>
        <v>Underbone</v>
      </c>
      <c r="L139" s="44" t="str">
        <f>INDEX(CLEANED_MotorPH_Products_List_2!E:E,MATCH(MotorPHSales[[#This Row],[Product]],CLEANED_MotorPH_Products_List_2!$B:$B,0))</f>
        <v>Single cylinder</v>
      </c>
      <c r="M139" s="44" t="str">
        <f>INDEX(CLEANED_MotorPH_Products_List_2!F:F,MATCH(MotorPHSales[[#This Row],[Product]],CLEANED_MotorPH_Products_List_2!$B:$B,0))</f>
        <v>liquid-cooled</v>
      </c>
      <c r="N139" s="44" t="str">
        <f>INDEX(CLEANED_MotorPH_Products_List_2!G:G,MATCH(MotorPHSales[[#This Row],[Product]],CLEANED_MotorPH_Products_List_2!$B:$B,0))</f>
        <v>155cc</v>
      </c>
      <c r="O139" s="44" t="str">
        <f>INDEX(CLEANED_MotorPH_Products_List_2!K:K,MATCH(MotorPHSales[[#This Row],[Product]],CLEANED_MotorPH_Products_List_2!B:B,0))</f>
        <v>Entry-level</v>
      </c>
      <c r="P139" s="45">
        <f>IF(MotorPHSales[[#This Row],[Segment]]="Entry-level",MotorPHSales[[#This Row],[UnitPrice]]/(1+30%),IF(MotorPHSales[[#This Row],[Segment]]="Mid-range",MotorPHSales[[#This Row],[UnitPrice]]/(1+35%),MotorPHSales[[#This Row],[UnitPrice]]/(1+40%)))*MotorPHSales[[#This Row],[Quantity]]</f>
        <v>2324307.692307692</v>
      </c>
      <c r="Q139" s="44" t="str">
        <f>INDEX(CLEANED_MotorPH_Products_List_2!H:H,MATCH(MotorPHSales[[#This Row],[Product]],CLEANED_MotorPH_Products_List_2!$B:$B,0))</f>
        <v>6-speed</v>
      </c>
    </row>
    <row r="140" spans="1:17" ht="15.75" x14ac:dyDescent="0.3">
      <c r="A140" s="43">
        <v>45813</v>
      </c>
      <c r="B140" s="44" t="str">
        <f>TEXT(MotorPHSales[[#This Row],[Date]],"mmmm")</f>
        <v>June</v>
      </c>
      <c r="C140" s="44">
        <f>DAY(MotorPHSales[[#This Row],[Date]])</f>
        <v>5</v>
      </c>
      <c r="D140" s="44">
        <f>YEAR(MotorPHSales[[#This Row],[Date]])</f>
        <v>2025</v>
      </c>
      <c r="E140" s="44" t="s">
        <v>196</v>
      </c>
      <c r="F140" s="44" t="s">
        <v>47</v>
      </c>
      <c r="G140" s="45">
        <v>398000</v>
      </c>
      <c r="H140" s="44">
        <v>28</v>
      </c>
      <c r="I140" s="45">
        <v>11144000</v>
      </c>
      <c r="J140" s="44" t="s">
        <v>197</v>
      </c>
      <c r="K140" s="44" t="str">
        <f>INDEX(CLEANED_MotorPH_Products_List_2!C:C,MATCH(MotorPHSales[[#This Row],[Product]],CLEANED_MotorPH_Products_List_2!$B:$B,0))</f>
        <v>Cruiser</v>
      </c>
      <c r="L140" s="44" t="str">
        <f>INDEX(CLEANED_MotorPH_Products_List_2!E:E,MATCH(MotorPHSales[[#This Row],[Product]],CLEANED_MotorPH_Products_List_2!$B:$B,0))</f>
        <v>Parallel-twin</v>
      </c>
      <c r="M140" s="44" t="str">
        <f>INDEX(CLEANED_MotorPH_Products_List_2!F:F,MATCH(MotorPHSales[[#This Row],[Product]],CLEANED_MotorPH_Products_List_2!$B:$B,0))</f>
        <v>liquid-cooled</v>
      </c>
      <c r="N140" s="44" t="str">
        <f>INDEX(CLEANED_MotorPH_Products_List_2!G:G,MATCH(MotorPHSales[[#This Row],[Product]],CLEANED_MotorPH_Products_List_2!$B:$B,0))</f>
        <v>649cc</v>
      </c>
      <c r="O140" s="44" t="str">
        <f>INDEX(CLEANED_MotorPH_Products_List_2!K:K,MATCH(MotorPHSales[[#This Row],[Product]],CLEANED_MotorPH_Products_List_2!B:B,0))</f>
        <v>Premium</v>
      </c>
      <c r="P140" s="45">
        <f>IF(MotorPHSales[[#This Row],[Segment]]="Entry-level",MotorPHSales[[#This Row],[UnitPrice]]/(1+30%),IF(MotorPHSales[[#This Row],[Segment]]="Mid-range",MotorPHSales[[#This Row],[UnitPrice]]/(1+35%),MotorPHSales[[#This Row],[UnitPrice]]/(1+40%)))*MotorPHSales[[#This Row],[Quantity]]</f>
        <v>7960000.0000000009</v>
      </c>
      <c r="Q140" s="44" t="str">
        <f>INDEX(CLEANED_MotorPH_Products_List_2!H:H,MATCH(MotorPHSales[[#This Row],[Product]],CLEANED_MotorPH_Products_List_2!$B:$B,0))</f>
        <v>6-speed</v>
      </c>
    </row>
    <row r="141" spans="1:17" ht="15.75" x14ac:dyDescent="0.3">
      <c r="A141" s="43">
        <v>45898</v>
      </c>
      <c r="B141" s="44" t="str">
        <f>TEXT(MotorPHSales[[#This Row],[Date]],"mmmm")</f>
        <v>August</v>
      </c>
      <c r="C141" s="44">
        <f>DAY(MotorPHSales[[#This Row],[Date]])</f>
        <v>29</v>
      </c>
      <c r="D141" s="44">
        <f>YEAR(MotorPHSales[[#This Row],[Date]])</f>
        <v>2025</v>
      </c>
      <c r="E141" s="44" t="s">
        <v>196</v>
      </c>
      <c r="F141" s="44" t="s">
        <v>82</v>
      </c>
      <c r="G141" s="45">
        <v>199000</v>
      </c>
      <c r="H141" s="44">
        <v>5</v>
      </c>
      <c r="I141" s="45">
        <v>995000</v>
      </c>
      <c r="J141" s="44" t="s">
        <v>198</v>
      </c>
      <c r="K141" s="44" t="str">
        <f>INDEX(CLEANED_MotorPH_Products_List_2!C:C,MATCH(MotorPHSales[[#This Row],[Product]],CLEANED_MotorPH_Products_List_2!$B:$B,0))</f>
        <v>Dual-sport</v>
      </c>
      <c r="L141" s="44" t="str">
        <f>INDEX(CLEANED_MotorPH_Products_List_2!E:E,MATCH(MotorPHSales[[#This Row],[Product]],CLEANED_MotorPH_Products_List_2!$B:$B,0))</f>
        <v>Single cylinder</v>
      </c>
      <c r="M141" s="44" t="str">
        <f>INDEX(CLEANED_MotorPH_Products_List_2!F:F,MATCH(MotorPHSales[[#This Row],[Product]],CLEANED_MotorPH_Products_List_2!$B:$B,0))</f>
        <v>air-cooled</v>
      </c>
      <c r="N141" s="44" t="str">
        <f>INDEX(CLEANED_MotorPH_Products_List_2!G:G,MATCH(MotorPHSales[[#This Row],[Product]],CLEANED_MotorPH_Products_List_2!$B:$B,0))</f>
        <v>233cc</v>
      </c>
      <c r="O141" s="44" t="str">
        <f>INDEX(CLEANED_MotorPH_Products_List_2!K:K,MATCH(MotorPHSales[[#This Row],[Product]],CLEANED_MotorPH_Products_List_2!B:B,0))</f>
        <v>Mid-range</v>
      </c>
      <c r="P141" s="45">
        <f>IF(MotorPHSales[[#This Row],[Segment]]="Entry-level",MotorPHSales[[#This Row],[UnitPrice]]/(1+30%),IF(MotorPHSales[[#This Row],[Segment]]="Mid-range",MotorPHSales[[#This Row],[UnitPrice]]/(1+35%),MotorPHSales[[#This Row],[UnitPrice]]/(1+40%)))*MotorPHSales[[#This Row],[Quantity]]</f>
        <v>737037.03703703696</v>
      </c>
      <c r="Q141" s="44" t="str">
        <f>INDEX(CLEANED_MotorPH_Products_List_2!H:H,MATCH(MotorPHSales[[#This Row],[Product]],CLEANED_MotorPH_Products_List_2!$B:$B,0))</f>
        <v>6-speed</v>
      </c>
    </row>
    <row r="142" spans="1:17" ht="15.75" x14ac:dyDescent="0.3">
      <c r="A142" s="43">
        <v>45822</v>
      </c>
      <c r="B142" s="44" t="str">
        <f>TEXT(MotorPHSales[[#This Row],[Date]],"mmmm")</f>
        <v>June</v>
      </c>
      <c r="C142" s="44">
        <f>DAY(MotorPHSales[[#This Row],[Date]])</f>
        <v>14</v>
      </c>
      <c r="D142" s="44">
        <f>YEAR(MotorPHSales[[#This Row],[Date]])</f>
        <v>2025</v>
      </c>
      <c r="E142" s="44" t="s">
        <v>194</v>
      </c>
      <c r="F142" s="44" t="s">
        <v>86</v>
      </c>
      <c r="G142" s="45">
        <v>650000</v>
      </c>
      <c r="H142" s="44">
        <v>1</v>
      </c>
      <c r="I142" s="45">
        <v>650000</v>
      </c>
      <c r="J142" s="44" t="s">
        <v>198</v>
      </c>
      <c r="K142" s="44" t="str">
        <f>INDEX(CLEANED_MotorPH_Products_List_2!C:C,MATCH(MotorPHSales[[#This Row],[Product]],CLEANED_MotorPH_Products_List_2!$B:$B,0))</f>
        <v>Cruiser</v>
      </c>
      <c r="L142" s="44" t="str">
        <f>INDEX(CLEANED_MotorPH_Products_List_2!E:E,MATCH(MotorPHSales[[#This Row],[Product]],CLEANED_MotorPH_Products_List_2!$B:$B,0))</f>
        <v>Parallel-twin</v>
      </c>
      <c r="M142" s="44" t="str">
        <f>INDEX(CLEANED_MotorPH_Products_List_2!F:F,MATCH(MotorPHSales[[#This Row],[Product]],CLEANED_MotorPH_Products_List_2!$B:$B,0))</f>
        <v>liquid-cooled</v>
      </c>
      <c r="N142" s="44" t="str">
        <f>INDEX(CLEANED_MotorPH_Products_List_2!G:G,MATCH(MotorPHSales[[#This Row],[Product]],CLEANED_MotorPH_Products_List_2!$B:$B,0))</f>
        <v>1084cc</v>
      </c>
      <c r="O142" s="44" t="str">
        <f>INDEX(CLEANED_MotorPH_Products_List_2!K:K,MATCH(MotorPHSales[[#This Row],[Product]],CLEANED_MotorPH_Products_List_2!B:B,0))</f>
        <v>Premium</v>
      </c>
      <c r="P142" s="45">
        <f>IF(MotorPHSales[[#This Row],[Segment]]="Entry-level",MotorPHSales[[#This Row],[UnitPrice]]/(1+30%),IF(MotorPHSales[[#This Row],[Segment]]="Mid-range",MotorPHSales[[#This Row],[UnitPrice]]/(1+35%),MotorPHSales[[#This Row],[UnitPrice]]/(1+40%)))*MotorPHSales[[#This Row],[Quantity]]</f>
        <v>464285.71428571432</v>
      </c>
      <c r="Q142" s="44" t="str">
        <f>INDEX(CLEANED_MotorPH_Products_List_2!H:H,MATCH(MotorPHSales[[#This Row],[Product]],CLEANED_MotorPH_Products_List_2!$B:$B,0))</f>
        <v>6-speed</v>
      </c>
    </row>
    <row r="143" spans="1:17" ht="15.75" x14ac:dyDescent="0.3">
      <c r="A143" s="43">
        <v>45835</v>
      </c>
      <c r="B143" s="44" t="str">
        <f>TEXT(MotorPHSales[[#This Row],[Date]],"mmmm")</f>
        <v>June</v>
      </c>
      <c r="C143" s="44">
        <f>DAY(MotorPHSales[[#This Row],[Date]])</f>
        <v>27</v>
      </c>
      <c r="D143" s="44">
        <f>YEAR(MotorPHSales[[#This Row],[Date]])</f>
        <v>2025</v>
      </c>
      <c r="E143" s="44" t="s">
        <v>196</v>
      </c>
      <c r="F143" s="44" t="s">
        <v>55</v>
      </c>
      <c r="G143" s="45">
        <v>80900</v>
      </c>
      <c r="H143" s="44">
        <v>21</v>
      </c>
      <c r="I143" s="45">
        <v>1698900</v>
      </c>
      <c r="J143" s="44" t="s">
        <v>195</v>
      </c>
      <c r="K143" s="44" t="str">
        <f>INDEX(CLEANED_MotorPH_Products_List_2!C:C,MATCH(MotorPHSales[[#This Row],[Product]],CLEANED_MotorPH_Products_List_2!$B:$B,0))</f>
        <v>Scooter</v>
      </c>
      <c r="L143" s="44" t="str">
        <f>INDEX(CLEANED_MotorPH_Products_List_2!E:E,MATCH(MotorPHSales[[#This Row],[Product]],CLEANED_MotorPH_Products_List_2!$B:$B,0))</f>
        <v>Single cylinder</v>
      </c>
      <c r="M143" s="44" t="str">
        <f>INDEX(CLEANED_MotorPH_Products_List_2!F:F,MATCH(MotorPHSales[[#This Row],[Product]],CLEANED_MotorPH_Products_List_2!$B:$B,0))</f>
        <v>liquid-cooled</v>
      </c>
      <c r="N143" s="44" t="str">
        <f>INDEX(CLEANED_MotorPH_Products_List_2!G:G,MATCH(MotorPHSales[[#This Row],[Product]],CLEANED_MotorPH_Products_List_2!$B:$B,0))</f>
        <v>125cc</v>
      </c>
      <c r="O143" s="44" t="str">
        <f>INDEX(CLEANED_MotorPH_Products_List_2!K:K,MATCH(MotorPHSales[[#This Row],[Product]],CLEANED_MotorPH_Products_List_2!B:B,0))</f>
        <v>Entry-level</v>
      </c>
      <c r="P143" s="45">
        <f>IF(MotorPHSales[[#This Row],[Segment]]="Entry-level",MotorPHSales[[#This Row],[UnitPrice]]/(1+30%),IF(MotorPHSales[[#This Row],[Segment]]="Mid-range",MotorPHSales[[#This Row],[UnitPrice]]/(1+35%),MotorPHSales[[#This Row],[UnitPrice]]/(1+40%)))*MotorPHSales[[#This Row],[Quantity]]</f>
        <v>1306846.1538461538</v>
      </c>
      <c r="Q143" s="44" t="str">
        <f>INDEX(CLEANED_MotorPH_Products_List_2!H:H,MATCH(MotorPHSales[[#This Row],[Product]],CLEANED_MotorPH_Products_List_2!$B:$B,0))</f>
        <v>CVT</v>
      </c>
    </row>
    <row r="144" spans="1:17" ht="15.75" x14ac:dyDescent="0.3">
      <c r="A144" s="43">
        <v>45817</v>
      </c>
      <c r="B144" s="44" t="str">
        <f>TEXT(MotorPHSales[[#This Row],[Date]],"mmmm")</f>
        <v>June</v>
      </c>
      <c r="C144" s="44">
        <f>DAY(MotorPHSales[[#This Row],[Date]])</f>
        <v>9</v>
      </c>
      <c r="D144" s="44">
        <f>YEAR(MotorPHSales[[#This Row],[Date]])</f>
        <v>2025</v>
      </c>
      <c r="E144" s="44" t="s">
        <v>196</v>
      </c>
      <c r="F144" s="44" t="s">
        <v>34</v>
      </c>
      <c r="G144" s="45">
        <v>320000</v>
      </c>
      <c r="H144" s="44">
        <v>20</v>
      </c>
      <c r="I144" s="45">
        <v>6400000</v>
      </c>
      <c r="J144" s="44" t="s">
        <v>197</v>
      </c>
      <c r="K144" s="44" t="str">
        <f>INDEX(CLEANED_MotorPH_Products_List_2!C:C,MATCH(MotorPHSales[[#This Row],[Product]],CLEANED_MotorPH_Products_List_2!$B:$B,0))</f>
        <v>Adventure</v>
      </c>
      <c r="L144" s="44" t="str">
        <f>INDEX(CLEANED_MotorPH_Products_List_2!E:E,MATCH(MotorPHSales[[#This Row],[Product]],CLEANED_MotorPH_Products_List_2!$B:$B,0))</f>
        <v>Single cylinder</v>
      </c>
      <c r="M144" s="44" t="str">
        <f>INDEX(CLEANED_MotorPH_Products_List_2!F:F,MATCH(MotorPHSales[[#This Row],[Product]],CLEANED_MotorPH_Products_List_2!$B:$B,0))</f>
        <v>liquid-cooled</v>
      </c>
      <c r="N144" s="44" t="str">
        <f>INDEX(CLEANED_MotorPH_Products_List_2!G:G,MATCH(MotorPHSales[[#This Row],[Product]],CLEANED_MotorPH_Products_List_2!$B:$B,0))</f>
        <v>313cc</v>
      </c>
      <c r="O144" s="44" t="str">
        <f>INDEX(CLEANED_MotorPH_Products_List_2!K:K,MATCH(MotorPHSales[[#This Row],[Product]],CLEANED_MotorPH_Products_List_2!B:B,0))</f>
        <v>Mid-range</v>
      </c>
      <c r="P144" s="45">
        <f>IF(MotorPHSales[[#This Row],[Segment]]="Entry-level",MotorPHSales[[#This Row],[UnitPrice]]/(1+30%),IF(MotorPHSales[[#This Row],[Segment]]="Mid-range",MotorPHSales[[#This Row],[UnitPrice]]/(1+35%),MotorPHSales[[#This Row],[UnitPrice]]/(1+40%)))*MotorPHSales[[#This Row],[Quantity]]</f>
        <v>4740740.7407407407</v>
      </c>
      <c r="Q144" s="44" t="str">
        <f>INDEX(CLEANED_MotorPH_Products_List_2!H:H,MATCH(MotorPHSales[[#This Row],[Product]],CLEANED_MotorPH_Products_List_2!$B:$B,0))</f>
        <v>6-speed</v>
      </c>
    </row>
    <row r="145" spans="1:17" ht="15.75" x14ac:dyDescent="0.3">
      <c r="A145" s="43">
        <v>45887</v>
      </c>
      <c r="B145" s="44" t="str">
        <f>TEXT(MotorPHSales[[#This Row],[Date]],"mmmm")</f>
        <v>August</v>
      </c>
      <c r="C145" s="44">
        <f>DAY(MotorPHSales[[#This Row],[Date]])</f>
        <v>18</v>
      </c>
      <c r="D145" s="44">
        <f>YEAR(MotorPHSales[[#This Row],[Date]])</f>
        <v>2025</v>
      </c>
      <c r="E145" s="44" t="s">
        <v>194</v>
      </c>
      <c r="F145" s="44" t="s">
        <v>32</v>
      </c>
      <c r="G145" s="45">
        <v>198000</v>
      </c>
      <c r="H145" s="44">
        <v>17</v>
      </c>
      <c r="I145" s="45">
        <v>3366000</v>
      </c>
      <c r="J145" s="44" t="s">
        <v>198</v>
      </c>
      <c r="K145" s="44" t="str">
        <f>INDEX(CLEANED_MotorPH_Products_List_2!C:C,MATCH(MotorPHSales[[#This Row],[Product]],CLEANED_MotorPH_Products_List_2!$B:$B,0))</f>
        <v>Sport</v>
      </c>
      <c r="L145" s="44" t="str">
        <f>INDEX(CLEANED_MotorPH_Products_List_2!E:E,MATCH(MotorPHSales[[#This Row],[Product]],CLEANED_MotorPH_Products_List_2!$B:$B,0))</f>
        <v>Single cylinder</v>
      </c>
      <c r="M145" s="44" t="str">
        <f>INDEX(CLEANED_MotorPH_Products_List_2!F:F,MATCH(MotorPHSales[[#This Row],[Product]],CLEANED_MotorPH_Products_List_2!$B:$B,0))</f>
        <v>liquid-cooled</v>
      </c>
      <c r="N145" s="44" t="str">
        <f>INDEX(CLEANED_MotorPH_Products_List_2!G:G,MATCH(MotorPHSales[[#This Row],[Product]],CLEANED_MotorPH_Products_List_2!$B:$B,0))</f>
        <v>199cc</v>
      </c>
      <c r="O145" s="44" t="str">
        <f>INDEX(CLEANED_MotorPH_Products_List_2!K:K,MATCH(MotorPHSales[[#This Row],[Product]],CLEANED_MotorPH_Products_List_2!B:B,0))</f>
        <v>Entry-level</v>
      </c>
      <c r="P145" s="45">
        <f>IF(MotorPHSales[[#This Row],[Segment]]="Entry-level",MotorPHSales[[#This Row],[UnitPrice]]/(1+30%),IF(MotorPHSales[[#This Row],[Segment]]="Mid-range",MotorPHSales[[#This Row],[UnitPrice]]/(1+35%),MotorPHSales[[#This Row],[UnitPrice]]/(1+40%)))*MotorPHSales[[#This Row],[Quantity]]</f>
        <v>2589230.7692307695</v>
      </c>
      <c r="Q145" s="44" t="str">
        <f>INDEX(CLEANED_MotorPH_Products_List_2!H:H,MATCH(MotorPHSales[[#This Row],[Product]],CLEANED_MotorPH_Products_List_2!$B:$B,0))</f>
        <v>6-speed</v>
      </c>
    </row>
    <row r="146" spans="1:17" ht="15.75" x14ac:dyDescent="0.3">
      <c r="A146" s="43">
        <v>45823</v>
      </c>
      <c r="B146" s="44" t="str">
        <f>TEXT(MotorPHSales[[#This Row],[Date]],"mmmm")</f>
        <v>June</v>
      </c>
      <c r="C146" s="44">
        <f>DAY(MotorPHSales[[#This Row],[Date]])</f>
        <v>15</v>
      </c>
      <c r="D146" s="44">
        <f>YEAR(MotorPHSales[[#This Row],[Date]])</f>
        <v>2025</v>
      </c>
      <c r="E146" s="44" t="s">
        <v>194</v>
      </c>
      <c r="F146" s="44" t="s">
        <v>16</v>
      </c>
      <c r="G146" s="45">
        <v>165000</v>
      </c>
      <c r="H146" s="44">
        <v>35</v>
      </c>
      <c r="I146" s="45">
        <v>5775000</v>
      </c>
      <c r="J146" s="44" t="s">
        <v>195</v>
      </c>
      <c r="K146" s="44" t="str">
        <f>INDEX(CLEANED_MotorPH_Products_List_2!C:C,MATCH(MotorPHSales[[#This Row],[Product]],CLEANED_MotorPH_Products_List_2!$B:$B,0))</f>
        <v>Naked bike</v>
      </c>
      <c r="L146" s="44" t="str">
        <f>INDEX(CLEANED_MotorPH_Products_List_2!E:E,MATCH(MotorPHSales[[#This Row],[Product]],CLEANED_MotorPH_Products_List_2!$B:$B,0))</f>
        <v>Single cylinder</v>
      </c>
      <c r="M146" s="44" t="str">
        <f>INDEX(CLEANED_MotorPH_Products_List_2!F:F,MATCH(MotorPHSales[[#This Row],[Product]],CLEANED_MotorPH_Products_List_2!$B:$B,0))</f>
        <v>liquid-cooled</v>
      </c>
      <c r="N146" s="44" t="str">
        <f>INDEX(CLEANED_MotorPH_Products_List_2!G:G,MATCH(MotorPHSales[[#This Row],[Product]],CLEANED_MotorPH_Products_List_2!$B:$B,0))</f>
        <v>292cc</v>
      </c>
      <c r="O146" s="44" t="str">
        <f>INDEX(CLEANED_MotorPH_Products_List_2!K:K,MATCH(MotorPHSales[[#This Row],[Product]],CLEANED_MotorPH_Products_List_2!B:B,0))</f>
        <v>Mid-range</v>
      </c>
      <c r="P146" s="45">
        <f>IF(MotorPHSales[[#This Row],[Segment]]="Entry-level",MotorPHSales[[#This Row],[UnitPrice]]/(1+30%),IF(MotorPHSales[[#This Row],[Segment]]="Mid-range",MotorPHSales[[#This Row],[UnitPrice]]/(1+35%),MotorPHSales[[#This Row],[UnitPrice]]/(1+40%)))*MotorPHSales[[#This Row],[Quantity]]</f>
        <v>4277777.777777778</v>
      </c>
      <c r="Q146" s="44" t="str">
        <f>INDEX(CLEANED_MotorPH_Products_List_2!H:H,MATCH(MotorPHSales[[#This Row],[Product]],CLEANED_MotorPH_Products_List_2!$B:$B,0))</f>
        <v>6-speed</v>
      </c>
    </row>
    <row r="147" spans="1:17" ht="15.75" x14ac:dyDescent="0.3">
      <c r="A147" s="43">
        <v>45898</v>
      </c>
      <c r="B147" s="44" t="str">
        <f>TEXT(MotorPHSales[[#This Row],[Date]],"mmmm")</f>
        <v>August</v>
      </c>
      <c r="C147" s="44">
        <f>DAY(MotorPHSales[[#This Row],[Date]])</f>
        <v>29</v>
      </c>
      <c r="D147" s="44">
        <f>YEAR(MotorPHSales[[#This Row],[Date]])</f>
        <v>2025</v>
      </c>
      <c r="E147" s="44" t="s">
        <v>196</v>
      </c>
      <c r="F147" s="44" t="s">
        <v>44</v>
      </c>
      <c r="G147" s="45">
        <v>331000</v>
      </c>
      <c r="H147" s="44">
        <v>1</v>
      </c>
      <c r="I147" s="45">
        <v>331000</v>
      </c>
      <c r="J147" s="44" t="s">
        <v>197</v>
      </c>
      <c r="K147" s="44" t="str">
        <f>INDEX(CLEANED_MotorPH_Products_List_2!C:C,MATCH(MotorPHSales[[#This Row],[Product]],CLEANED_MotorPH_Products_List_2!$B:$B,0))</f>
        <v>Naked bike</v>
      </c>
      <c r="L147" s="44" t="str">
        <f>INDEX(CLEANED_MotorPH_Products_List_2!E:E,MATCH(MotorPHSales[[#This Row],[Product]],CLEANED_MotorPH_Products_List_2!$B:$B,0))</f>
        <v>Parallel-twin</v>
      </c>
      <c r="M147" s="44" t="str">
        <f>INDEX(CLEANED_MotorPH_Products_List_2!F:F,MATCH(MotorPHSales[[#This Row],[Product]],CLEANED_MotorPH_Products_List_2!$B:$B,0))</f>
        <v>liquid-cooled</v>
      </c>
      <c r="N147" s="44" t="str">
        <f>INDEX(CLEANED_MotorPH_Products_List_2!G:G,MATCH(MotorPHSales[[#This Row],[Product]],CLEANED_MotorPH_Products_List_2!$B:$B,0))</f>
        <v>399cc</v>
      </c>
      <c r="O147" s="44" t="str">
        <f>INDEX(CLEANED_MotorPH_Products_List_2!K:K,MATCH(MotorPHSales[[#This Row],[Product]],CLEANED_MotorPH_Products_List_2!B:B,0))</f>
        <v>Mid-range</v>
      </c>
      <c r="P147" s="45">
        <f>IF(MotorPHSales[[#This Row],[Segment]]="Entry-level",MotorPHSales[[#This Row],[UnitPrice]]/(1+30%),IF(MotorPHSales[[#This Row],[Segment]]="Mid-range",MotorPHSales[[#This Row],[UnitPrice]]/(1+35%),MotorPHSales[[#This Row],[UnitPrice]]/(1+40%)))*MotorPHSales[[#This Row],[Quantity]]</f>
        <v>245185.18518518517</v>
      </c>
      <c r="Q147" s="44" t="str">
        <f>INDEX(CLEANED_MotorPH_Products_List_2!H:H,MATCH(MotorPHSales[[#This Row],[Product]],CLEANED_MotorPH_Products_List_2!$B:$B,0))</f>
        <v>6-speed</v>
      </c>
    </row>
    <row r="148" spans="1:17" ht="15.75" x14ac:dyDescent="0.3">
      <c r="A148" s="43">
        <v>45850</v>
      </c>
      <c r="B148" s="44" t="str">
        <f>TEXT(MotorPHSales[[#This Row],[Date]],"mmmm")</f>
        <v>July</v>
      </c>
      <c r="C148" s="44">
        <f>DAY(MotorPHSales[[#This Row],[Date]])</f>
        <v>12</v>
      </c>
      <c r="D148" s="44">
        <f>YEAR(MotorPHSales[[#This Row],[Date]])</f>
        <v>2025</v>
      </c>
      <c r="E148" s="44" t="s">
        <v>196</v>
      </c>
      <c r="F148" s="44" t="s">
        <v>70</v>
      </c>
      <c r="G148" s="45">
        <v>219000</v>
      </c>
      <c r="H148" s="44">
        <v>10</v>
      </c>
      <c r="I148" s="45">
        <v>2190000</v>
      </c>
      <c r="J148" s="44" t="s">
        <v>195</v>
      </c>
      <c r="K148" s="44" t="str">
        <f>INDEX(CLEANED_MotorPH_Products_List_2!C:C,MATCH(MotorPHSales[[#This Row],[Product]],CLEANED_MotorPH_Products_List_2!$B:$B,0))</f>
        <v>Scooter</v>
      </c>
      <c r="L148" s="44" t="str">
        <f>INDEX(CLEANED_MotorPH_Products_List_2!E:E,MATCH(MotorPHSales[[#This Row],[Product]],CLEANED_MotorPH_Products_List_2!$B:$B,0))</f>
        <v>Single cylinder</v>
      </c>
      <c r="M148" s="44" t="str">
        <f>INDEX(CLEANED_MotorPH_Products_List_2!F:F,MATCH(MotorPHSales[[#This Row],[Product]],CLEANED_MotorPH_Products_List_2!$B:$B,0))</f>
        <v>liquid-cooled</v>
      </c>
      <c r="N148" s="44" t="str">
        <f>INDEX(CLEANED_MotorPH_Products_List_2!G:G,MATCH(MotorPHSales[[#This Row],[Product]],CLEANED_MotorPH_Products_List_2!$B:$B,0))</f>
        <v>174cc</v>
      </c>
      <c r="O148" s="44" t="str">
        <f>INDEX(CLEANED_MotorPH_Products_List_2!K:K,MATCH(MotorPHSales[[#This Row],[Product]],CLEANED_MotorPH_Products_List_2!B:B,0))</f>
        <v>Entry-level</v>
      </c>
      <c r="P148" s="45">
        <f>IF(MotorPHSales[[#This Row],[Segment]]="Entry-level",MotorPHSales[[#This Row],[UnitPrice]]/(1+30%),IF(MotorPHSales[[#This Row],[Segment]]="Mid-range",MotorPHSales[[#This Row],[UnitPrice]]/(1+35%),MotorPHSales[[#This Row],[UnitPrice]]/(1+40%)))*MotorPHSales[[#This Row],[Quantity]]</f>
        <v>1684615.3846153847</v>
      </c>
      <c r="Q148" s="44" t="str">
        <f>INDEX(CLEANED_MotorPH_Products_List_2!H:H,MATCH(MotorPHSales[[#This Row],[Product]],CLEANED_MotorPH_Products_List_2!$B:$B,0))</f>
        <v>CVT</v>
      </c>
    </row>
    <row r="149" spans="1:17" ht="15.75" x14ac:dyDescent="0.3">
      <c r="A149" s="43">
        <v>45885</v>
      </c>
      <c r="B149" s="44" t="str">
        <f>TEXT(MotorPHSales[[#This Row],[Date]],"mmmm")</f>
        <v>August</v>
      </c>
      <c r="C149" s="44">
        <f>DAY(MotorPHSales[[#This Row],[Date]])</f>
        <v>16</v>
      </c>
      <c r="D149" s="44">
        <f>YEAR(MotorPHSales[[#This Row],[Date]])</f>
        <v>2025</v>
      </c>
      <c r="E149" s="44" t="s">
        <v>196</v>
      </c>
      <c r="F149" s="44" t="s">
        <v>94</v>
      </c>
      <c r="G149" s="45">
        <v>299000</v>
      </c>
      <c r="H149" s="44">
        <v>14</v>
      </c>
      <c r="I149" s="45">
        <v>4186000</v>
      </c>
      <c r="J149" s="44" t="s">
        <v>198</v>
      </c>
      <c r="K149" s="44" t="str">
        <f>INDEX(CLEANED_MotorPH_Products_List_2!C:C,MATCH(MotorPHSales[[#This Row],[Product]],CLEANED_MotorPH_Products_List_2!$B:$B,0))</f>
        <v>Dual-sport</v>
      </c>
      <c r="L149" s="44" t="str">
        <f>INDEX(CLEANED_MotorPH_Products_List_2!E:E,MATCH(MotorPHSales[[#This Row],[Product]],CLEANED_MotorPH_Products_List_2!$B:$B,0))</f>
        <v>Single cylinder</v>
      </c>
      <c r="M149" s="44" t="str">
        <f>INDEX(CLEANED_MotorPH_Products_List_2!F:F,MATCH(MotorPHSales[[#This Row],[Product]],CLEANED_MotorPH_Products_List_2!$B:$B,0))</f>
        <v>air-cooled</v>
      </c>
      <c r="N149" s="44" t="str">
        <f>INDEX(CLEANED_MotorPH_Products_List_2!G:G,MATCH(MotorPHSales[[#This Row],[Product]],CLEANED_MotorPH_Products_List_2!$B:$B,0))</f>
        <v>249cc</v>
      </c>
      <c r="O149" s="44" t="str">
        <f>INDEX(CLEANED_MotorPH_Products_List_2!K:K,MATCH(MotorPHSales[[#This Row],[Product]],CLEANED_MotorPH_Products_List_2!B:B,0))</f>
        <v>Mid-range</v>
      </c>
      <c r="P149" s="45">
        <f>IF(MotorPHSales[[#This Row],[Segment]]="Entry-level",MotorPHSales[[#This Row],[UnitPrice]]/(1+30%),IF(MotorPHSales[[#This Row],[Segment]]="Mid-range",MotorPHSales[[#This Row],[UnitPrice]]/(1+35%),MotorPHSales[[#This Row],[UnitPrice]]/(1+40%)))*MotorPHSales[[#This Row],[Quantity]]</f>
        <v>3100740.7407407407</v>
      </c>
      <c r="Q149" s="44" t="str">
        <f>INDEX(CLEANED_MotorPH_Products_List_2!H:H,MATCH(MotorPHSales[[#This Row],[Product]],CLEANED_MotorPH_Products_List_2!$B:$B,0))</f>
        <v>5-speed</v>
      </c>
    </row>
    <row r="150" spans="1:17" ht="15.75" x14ac:dyDescent="0.3">
      <c r="A150" s="43">
        <v>45859</v>
      </c>
      <c r="B150" s="44" t="str">
        <f>TEXT(MotorPHSales[[#This Row],[Date]],"mmmm")</f>
        <v>July</v>
      </c>
      <c r="C150" s="44">
        <f>DAY(MotorPHSales[[#This Row],[Date]])</f>
        <v>21</v>
      </c>
      <c r="D150" s="44">
        <f>YEAR(MotorPHSales[[#This Row],[Date]])</f>
        <v>2025</v>
      </c>
      <c r="E150" s="44" t="s">
        <v>196</v>
      </c>
      <c r="F150" s="44" t="s">
        <v>82</v>
      </c>
      <c r="G150" s="45">
        <v>199000</v>
      </c>
      <c r="H150" s="44">
        <v>50</v>
      </c>
      <c r="I150" s="45">
        <v>9950000</v>
      </c>
      <c r="J150" s="44" t="s">
        <v>195</v>
      </c>
      <c r="K150" s="44" t="str">
        <f>INDEX(CLEANED_MotorPH_Products_List_2!C:C,MATCH(MotorPHSales[[#This Row],[Product]],CLEANED_MotorPH_Products_List_2!$B:$B,0))</f>
        <v>Dual-sport</v>
      </c>
      <c r="L150" s="44" t="str">
        <f>INDEX(CLEANED_MotorPH_Products_List_2!E:E,MATCH(MotorPHSales[[#This Row],[Product]],CLEANED_MotorPH_Products_List_2!$B:$B,0))</f>
        <v>Single cylinder</v>
      </c>
      <c r="M150" s="44" t="str">
        <f>INDEX(CLEANED_MotorPH_Products_List_2!F:F,MATCH(MotorPHSales[[#This Row],[Product]],CLEANED_MotorPH_Products_List_2!$B:$B,0))</f>
        <v>air-cooled</v>
      </c>
      <c r="N150" s="44" t="str">
        <f>INDEX(CLEANED_MotorPH_Products_List_2!G:G,MATCH(MotorPHSales[[#This Row],[Product]],CLEANED_MotorPH_Products_List_2!$B:$B,0))</f>
        <v>233cc</v>
      </c>
      <c r="O150" s="44" t="str">
        <f>INDEX(CLEANED_MotorPH_Products_List_2!K:K,MATCH(MotorPHSales[[#This Row],[Product]],CLEANED_MotorPH_Products_List_2!B:B,0))</f>
        <v>Mid-range</v>
      </c>
      <c r="P150" s="45">
        <f>IF(MotorPHSales[[#This Row],[Segment]]="Entry-level",MotorPHSales[[#This Row],[UnitPrice]]/(1+30%),IF(MotorPHSales[[#This Row],[Segment]]="Mid-range",MotorPHSales[[#This Row],[UnitPrice]]/(1+35%),MotorPHSales[[#This Row],[UnitPrice]]/(1+40%)))*MotorPHSales[[#This Row],[Quantity]]</f>
        <v>7370370.3703703694</v>
      </c>
      <c r="Q150" s="44" t="str">
        <f>INDEX(CLEANED_MotorPH_Products_List_2!H:H,MATCH(MotorPHSales[[#This Row],[Product]],CLEANED_MotorPH_Products_List_2!$B:$B,0))</f>
        <v>6-speed</v>
      </c>
    </row>
    <row r="151" spans="1:17" ht="15.75" x14ac:dyDescent="0.3">
      <c r="A151" s="43">
        <v>45871</v>
      </c>
      <c r="B151" s="44" t="str">
        <f>TEXT(MotorPHSales[[#This Row],[Date]],"mmmm")</f>
        <v>August</v>
      </c>
      <c r="C151" s="44">
        <f>DAY(MotorPHSales[[#This Row],[Date]])</f>
        <v>2</v>
      </c>
      <c r="D151" s="44">
        <f>YEAR(MotorPHSales[[#This Row],[Date]])</f>
        <v>2025</v>
      </c>
      <c r="E151" s="44" t="s">
        <v>196</v>
      </c>
      <c r="F151" s="44" t="s">
        <v>64</v>
      </c>
      <c r="G151" s="45">
        <v>128000</v>
      </c>
      <c r="H151" s="44">
        <v>20</v>
      </c>
      <c r="I151" s="45">
        <v>2560000</v>
      </c>
      <c r="J151" s="44" t="s">
        <v>197</v>
      </c>
      <c r="K151" s="44" t="str">
        <f>INDEX(CLEANED_MotorPH_Products_List_2!C:C,MATCH(MotorPHSales[[#This Row],[Product]],CLEANED_MotorPH_Products_List_2!$B:$B,0))</f>
        <v>Scooter</v>
      </c>
      <c r="L151" s="44" t="str">
        <f>INDEX(CLEANED_MotorPH_Products_List_2!E:E,MATCH(MotorPHSales[[#This Row],[Product]],CLEANED_MotorPH_Products_List_2!$B:$B,0))</f>
        <v>Single cylinder</v>
      </c>
      <c r="M151" s="44" t="str">
        <f>INDEX(CLEANED_MotorPH_Products_List_2!F:F,MATCH(MotorPHSales[[#This Row],[Product]],CLEANED_MotorPH_Products_List_2!$B:$B,0))</f>
        <v>liquid-cooled</v>
      </c>
      <c r="N151" s="44" t="str">
        <f>INDEX(CLEANED_MotorPH_Products_List_2!G:G,MATCH(MotorPHSales[[#This Row],[Product]],CLEANED_MotorPH_Products_List_2!$B:$B,0))</f>
        <v>149cc</v>
      </c>
      <c r="O151" s="44" t="str">
        <f>INDEX(CLEANED_MotorPH_Products_List_2!K:K,MATCH(MotorPHSales[[#This Row],[Product]],CLEANED_MotorPH_Products_List_2!B:B,0))</f>
        <v>Entry-level</v>
      </c>
      <c r="P151" s="45">
        <f>IF(MotorPHSales[[#This Row],[Segment]]="Entry-level",MotorPHSales[[#This Row],[UnitPrice]]/(1+30%),IF(MotorPHSales[[#This Row],[Segment]]="Mid-range",MotorPHSales[[#This Row],[UnitPrice]]/(1+35%),MotorPHSales[[#This Row],[UnitPrice]]/(1+40%)))*MotorPHSales[[#This Row],[Quantity]]</f>
        <v>1969230.769230769</v>
      </c>
      <c r="Q151" s="44" t="str">
        <f>INDEX(CLEANED_MotorPH_Products_List_2!H:H,MATCH(MotorPHSales[[#This Row],[Product]],CLEANED_MotorPH_Products_List_2!$B:$B,0))</f>
        <v>CVT</v>
      </c>
    </row>
    <row r="152" spans="1:17" ht="15.75" x14ac:dyDescent="0.3">
      <c r="A152" s="43">
        <v>45860</v>
      </c>
      <c r="B152" s="44" t="str">
        <f>TEXT(MotorPHSales[[#This Row],[Date]],"mmmm")</f>
        <v>July</v>
      </c>
      <c r="C152" s="44">
        <f>DAY(MotorPHSales[[#This Row],[Date]])</f>
        <v>22</v>
      </c>
      <c r="D152" s="44">
        <f>YEAR(MotorPHSales[[#This Row],[Date]])</f>
        <v>2025</v>
      </c>
      <c r="E152" s="44" t="s">
        <v>196</v>
      </c>
      <c r="F152" s="44" t="s">
        <v>99</v>
      </c>
      <c r="G152" s="45">
        <v>689000</v>
      </c>
      <c r="H152" s="44">
        <v>28</v>
      </c>
      <c r="I152" s="45">
        <v>19292000</v>
      </c>
      <c r="J152" s="44" t="s">
        <v>197</v>
      </c>
      <c r="K152" s="44" t="str">
        <f>INDEX(CLEANED_MotorPH_Products_List_2!C:C,MATCH(MotorPHSales[[#This Row],[Product]],CLEANED_MotorPH_Products_List_2!$B:$B,0))</f>
        <v>Heritage</v>
      </c>
      <c r="L152" s="44" t="str">
        <f>INDEX(CLEANED_MotorPH_Products_List_2!E:E,MATCH(MotorPHSales[[#This Row],[Product]],CLEANED_MotorPH_Products_List_2!$B:$B,0))</f>
        <v>V-twin</v>
      </c>
      <c r="M152" s="44" t="str">
        <f>INDEX(CLEANED_MotorPH_Products_List_2!F:F,MATCH(MotorPHSales[[#This Row],[Product]],CLEANED_MotorPH_Products_List_2!$B:$B,0))</f>
        <v>air-cooled</v>
      </c>
      <c r="N152" s="44" t="str">
        <f>INDEX(CLEANED_MotorPH_Products_List_2!G:G,MATCH(MotorPHSales[[#This Row],[Product]],CLEANED_MotorPH_Products_List_2!$B:$B,0))</f>
        <v>853cc</v>
      </c>
      <c r="O152" s="44" t="str">
        <f>INDEX(CLEANED_MotorPH_Products_List_2!K:K,MATCH(MotorPHSales[[#This Row],[Product]],CLEANED_MotorPH_Products_List_2!B:B,0))</f>
        <v>Premium</v>
      </c>
      <c r="P152" s="45">
        <f>IF(MotorPHSales[[#This Row],[Segment]]="Entry-level",MotorPHSales[[#This Row],[UnitPrice]]/(1+30%),IF(MotorPHSales[[#This Row],[Segment]]="Mid-range",MotorPHSales[[#This Row],[UnitPrice]]/(1+35%),MotorPHSales[[#This Row],[UnitPrice]]/(1+40%)))*MotorPHSales[[#This Row],[Quantity]]</f>
        <v>13780000</v>
      </c>
      <c r="Q152" s="44" t="str">
        <f>INDEX(CLEANED_MotorPH_Products_List_2!H:H,MATCH(MotorPHSales[[#This Row],[Product]],CLEANED_MotorPH_Products_List_2!$B:$B,0))</f>
        <v>6-speed</v>
      </c>
    </row>
    <row r="153" spans="1:17" ht="15.75" x14ac:dyDescent="0.3">
      <c r="A153" s="43">
        <v>45812</v>
      </c>
      <c r="B153" s="44" t="str">
        <f>TEXT(MotorPHSales[[#This Row],[Date]],"mmmm")</f>
        <v>June</v>
      </c>
      <c r="C153" s="44">
        <f>DAY(MotorPHSales[[#This Row],[Date]])</f>
        <v>4</v>
      </c>
      <c r="D153" s="44">
        <f>YEAR(MotorPHSales[[#This Row],[Date]])</f>
        <v>2025</v>
      </c>
      <c r="E153" s="44" t="s">
        <v>194</v>
      </c>
      <c r="F153" s="44" t="s">
        <v>32</v>
      </c>
      <c r="G153" s="45">
        <v>198000</v>
      </c>
      <c r="H153" s="44">
        <v>15</v>
      </c>
      <c r="I153" s="45">
        <v>2970000</v>
      </c>
      <c r="J153" s="44" t="s">
        <v>197</v>
      </c>
      <c r="K153" s="44" t="str">
        <f>INDEX(CLEANED_MotorPH_Products_List_2!C:C,MATCH(MotorPHSales[[#This Row],[Product]],CLEANED_MotorPH_Products_List_2!$B:$B,0))</f>
        <v>Sport</v>
      </c>
      <c r="L153" s="44" t="str">
        <f>INDEX(CLEANED_MotorPH_Products_List_2!E:E,MATCH(MotorPHSales[[#This Row],[Product]],CLEANED_MotorPH_Products_List_2!$B:$B,0))</f>
        <v>Single cylinder</v>
      </c>
      <c r="M153" s="44" t="str">
        <f>INDEX(CLEANED_MotorPH_Products_List_2!F:F,MATCH(MotorPHSales[[#This Row],[Product]],CLEANED_MotorPH_Products_List_2!$B:$B,0))</f>
        <v>liquid-cooled</v>
      </c>
      <c r="N153" s="44" t="str">
        <f>INDEX(CLEANED_MotorPH_Products_List_2!G:G,MATCH(MotorPHSales[[#This Row],[Product]],CLEANED_MotorPH_Products_List_2!$B:$B,0))</f>
        <v>199cc</v>
      </c>
      <c r="O153" s="44" t="str">
        <f>INDEX(CLEANED_MotorPH_Products_List_2!K:K,MATCH(MotorPHSales[[#This Row],[Product]],CLEANED_MotorPH_Products_List_2!B:B,0))</f>
        <v>Entry-level</v>
      </c>
      <c r="P153" s="45">
        <f>IF(MotorPHSales[[#This Row],[Segment]]="Entry-level",MotorPHSales[[#This Row],[UnitPrice]]/(1+30%),IF(MotorPHSales[[#This Row],[Segment]]="Mid-range",MotorPHSales[[#This Row],[UnitPrice]]/(1+35%),MotorPHSales[[#This Row],[UnitPrice]]/(1+40%)))*MotorPHSales[[#This Row],[Quantity]]</f>
        <v>2284615.3846153845</v>
      </c>
      <c r="Q153" s="44" t="str">
        <f>INDEX(CLEANED_MotorPH_Products_List_2!H:H,MATCH(MotorPHSales[[#This Row],[Product]],CLEANED_MotorPH_Products_List_2!$B:$B,0))</f>
        <v>6-speed</v>
      </c>
    </row>
    <row r="154" spans="1:17" ht="15.75" x14ac:dyDescent="0.3">
      <c r="A154" s="43">
        <v>45831</v>
      </c>
      <c r="B154" s="44" t="str">
        <f>TEXT(MotorPHSales[[#This Row],[Date]],"mmmm")</f>
        <v>June</v>
      </c>
      <c r="C154" s="44">
        <f>DAY(MotorPHSales[[#This Row],[Date]])</f>
        <v>23</v>
      </c>
      <c r="D154" s="44">
        <f>YEAR(MotorPHSales[[#This Row],[Date]])</f>
        <v>2025</v>
      </c>
      <c r="E154" s="44" t="s">
        <v>196</v>
      </c>
      <c r="F154" s="44" t="s">
        <v>12</v>
      </c>
      <c r="G154" s="45">
        <v>119900</v>
      </c>
      <c r="H154" s="44">
        <v>2</v>
      </c>
      <c r="I154" s="45">
        <v>239800</v>
      </c>
      <c r="J154" s="44" t="s">
        <v>197</v>
      </c>
      <c r="K154" s="44" t="str">
        <f>INDEX(CLEANED_MotorPH_Products_List_2!C:C,MATCH(MotorPHSales[[#This Row],[Product]],CLEANED_MotorPH_Products_List_2!$B:$B,0))</f>
        <v>Underbone</v>
      </c>
      <c r="L154" s="44" t="str">
        <f>INDEX(CLEANED_MotorPH_Products_List_2!E:E,MATCH(MotorPHSales[[#This Row],[Product]],CLEANED_MotorPH_Products_List_2!$B:$B,0))</f>
        <v>Single cylinder</v>
      </c>
      <c r="M154" s="44" t="str">
        <f>INDEX(CLEANED_MotorPH_Products_List_2!F:F,MATCH(MotorPHSales[[#This Row],[Product]],CLEANED_MotorPH_Products_List_2!$B:$B,0))</f>
        <v>liquid-cooled</v>
      </c>
      <c r="N154" s="44" t="str">
        <f>INDEX(CLEANED_MotorPH_Products_List_2!G:G,MATCH(MotorPHSales[[#This Row],[Product]],CLEANED_MotorPH_Products_List_2!$B:$B,0))</f>
        <v>150cc</v>
      </c>
      <c r="O154" s="44" t="str">
        <f>INDEX(CLEANED_MotorPH_Products_List_2!K:K,MATCH(MotorPHSales[[#This Row],[Product]],CLEANED_MotorPH_Products_List_2!B:B,0))</f>
        <v>Entry-level</v>
      </c>
      <c r="P154" s="45">
        <f>IF(MotorPHSales[[#This Row],[Segment]]="Entry-level",MotorPHSales[[#This Row],[UnitPrice]]/(1+30%),IF(MotorPHSales[[#This Row],[Segment]]="Mid-range",MotorPHSales[[#This Row],[UnitPrice]]/(1+35%),MotorPHSales[[#This Row],[UnitPrice]]/(1+40%)))*MotorPHSales[[#This Row],[Quantity]]</f>
        <v>184461.53846153847</v>
      </c>
      <c r="Q154" s="44" t="str">
        <f>INDEX(CLEANED_MotorPH_Products_List_2!H:H,MATCH(MotorPHSales[[#This Row],[Product]],CLEANED_MotorPH_Products_List_2!$B:$B,0))</f>
        <v>6-speed</v>
      </c>
    </row>
    <row r="155" spans="1:17" ht="15.75" x14ac:dyDescent="0.3">
      <c r="A155" s="43">
        <v>45823</v>
      </c>
      <c r="B155" s="44" t="str">
        <f>TEXT(MotorPHSales[[#This Row],[Date]],"mmmm")</f>
        <v>June</v>
      </c>
      <c r="C155" s="44">
        <f>DAY(MotorPHSales[[#This Row],[Date]])</f>
        <v>15</v>
      </c>
      <c r="D155" s="44">
        <f>YEAR(MotorPHSales[[#This Row],[Date]])</f>
        <v>2025</v>
      </c>
      <c r="E155" s="44" t="s">
        <v>194</v>
      </c>
      <c r="F155" s="44" t="s">
        <v>96</v>
      </c>
      <c r="G155" s="45">
        <v>80900</v>
      </c>
      <c r="H155" s="44">
        <v>10</v>
      </c>
      <c r="I155" s="45">
        <v>809000</v>
      </c>
      <c r="J155" s="44" t="s">
        <v>197</v>
      </c>
      <c r="K155" s="44" t="str">
        <f>INDEX(CLEANED_MotorPH_Products_List_2!C:C,MATCH(MotorPHSales[[#This Row],[Product]],CLEANED_MotorPH_Products_List_2!$B:$B,0))</f>
        <v>Scooter</v>
      </c>
      <c r="L155" s="44" t="str">
        <f>INDEX(CLEANED_MotorPH_Products_List_2!E:E,MATCH(MotorPHSales[[#This Row],[Product]],CLEANED_MotorPH_Products_List_2!$B:$B,0))</f>
        <v>Single cylinder</v>
      </c>
      <c r="M155" s="44" t="str">
        <f>INDEX(CLEANED_MotorPH_Products_List_2!F:F,MATCH(MotorPHSales[[#This Row],[Product]],CLEANED_MotorPH_Products_List_2!$B:$B,0))</f>
        <v>air-cooled</v>
      </c>
      <c r="N155" s="44" t="str">
        <f>INDEX(CLEANED_MotorPH_Products_List_2!G:G,MATCH(MotorPHSales[[#This Row],[Product]],CLEANED_MotorPH_Products_List_2!$B:$B,0))</f>
        <v>124cc</v>
      </c>
      <c r="O155" s="44" t="str">
        <f>INDEX(CLEANED_MotorPH_Products_List_2!K:K,MATCH(MotorPHSales[[#This Row],[Product]],CLEANED_MotorPH_Products_List_2!B:B,0))</f>
        <v>Entry-level</v>
      </c>
      <c r="P155" s="45">
        <f>IF(MotorPHSales[[#This Row],[Segment]]="Entry-level",MotorPHSales[[#This Row],[UnitPrice]]/(1+30%),IF(MotorPHSales[[#This Row],[Segment]]="Mid-range",MotorPHSales[[#This Row],[UnitPrice]]/(1+35%),MotorPHSales[[#This Row],[UnitPrice]]/(1+40%)))*MotorPHSales[[#This Row],[Quantity]]</f>
        <v>622307.69230769225</v>
      </c>
      <c r="Q155" s="44" t="str">
        <f>INDEX(CLEANED_MotorPH_Products_List_2!H:H,MATCH(MotorPHSales[[#This Row],[Product]],CLEANED_MotorPH_Products_List_2!$B:$B,0))</f>
        <v>CVT</v>
      </c>
    </row>
    <row r="156" spans="1:17" ht="15.75" x14ac:dyDescent="0.3">
      <c r="A156" s="43">
        <v>45851</v>
      </c>
      <c r="B156" s="44" t="str">
        <f>TEXT(MotorPHSales[[#This Row],[Date]],"mmmm")</f>
        <v>July</v>
      </c>
      <c r="C156" s="44">
        <f>DAY(MotorPHSales[[#This Row],[Date]])</f>
        <v>13</v>
      </c>
      <c r="D156" s="44">
        <f>YEAR(MotorPHSales[[#This Row],[Date]])</f>
        <v>2025</v>
      </c>
      <c r="E156" s="44" t="s">
        <v>194</v>
      </c>
      <c r="F156" s="44" t="s">
        <v>22</v>
      </c>
      <c r="G156" s="45">
        <v>182000</v>
      </c>
      <c r="H156" s="44">
        <v>12</v>
      </c>
      <c r="I156" s="45">
        <v>2184000</v>
      </c>
      <c r="J156" s="44" t="s">
        <v>198</v>
      </c>
      <c r="K156" s="44" t="str">
        <f>INDEX(CLEANED_MotorPH_Products_List_2!C:C,MATCH(MotorPHSales[[#This Row],[Product]],CLEANED_MotorPH_Products_List_2!$B:$B,0))</f>
        <v>Retro</v>
      </c>
      <c r="L156" s="44" t="str">
        <f>INDEX(CLEANED_MotorPH_Products_List_2!E:E,MATCH(MotorPHSales[[#This Row],[Product]],CLEANED_MotorPH_Products_List_2!$B:$B,0))</f>
        <v>Single cylinder</v>
      </c>
      <c r="M156" s="44" t="str">
        <f>INDEX(CLEANED_MotorPH_Products_List_2!F:F,MATCH(MotorPHSales[[#This Row],[Product]],CLEANED_MotorPH_Products_List_2!$B:$B,0))</f>
        <v>liquid-cooled</v>
      </c>
      <c r="N156" s="44" t="str">
        <f>INDEX(CLEANED_MotorPH_Products_List_2!G:G,MATCH(MotorPHSales[[#This Row],[Product]],CLEANED_MotorPH_Products_List_2!$B:$B,0))</f>
        <v>155cc</v>
      </c>
      <c r="O156" s="44" t="str">
        <f>INDEX(CLEANED_MotorPH_Products_List_2!K:K,MATCH(MotorPHSales[[#This Row],[Product]],CLEANED_MotorPH_Products_List_2!B:B,0))</f>
        <v>Entry-level</v>
      </c>
      <c r="P156" s="45">
        <f>IF(MotorPHSales[[#This Row],[Segment]]="Entry-level",MotorPHSales[[#This Row],[UnitPrice]]/(1+30%),IF(MotorPHSales[[#This Row],[Segment]]="Mid-range",MotorPHSales[[#This Row],[UnitPrice]]/(1+35%),MotorPHSales[[#This Row],[UnitPrice]]/(1+40%)))*MotorPHSales[[#This Row],[Quantity]]</f>
        <v>1680000</v>
      </c>
      <c r="Q156" s="44" t="str">
        <f>INDEX(CLEANED_MotorPH_Products_List_2!H:H,MATCH(MotorPHSales[[#This Row],[Product]],CLEANED_MotorPH_Products_List_2!$B:$B,0))</f>
        <v>6-speed</v>
      </c>
    </row>
    <row r="157" spans="1:17" ht="15.75" x14ac:dyDescent="0.3">
      <c r="A157" s="43">
        <v>45837</v>
      </c>
      <c r="B157" s="44" t="str">
        <f>TEXT(MotorPHSales[[#This Row],[Date]],"mmmm")</f>
        <v>June</v>
      </c>
      <c r="C157" s="44">
        <f>DAY(MotorPHSales[[#This Row],[Date]])</f>
        <v>29</v>
      </c>
      <c r="D157" s="44">
        <f>YEAR(MotorPHSales[[#This Row],[Date]])</f>
        <v>2025</v>
      </c>
      <c r="E157" s="44" t="s">
        <v>194</v>
      </c>
      <c r="F157" s="44" t="s">
        <v>34</v>
      </c>
      <c r="G157" s="45">
        <v>320000</v>
      </c>
      <c r="H157" s="44">
        <v>19</v>
      </c>
      <c r="I157" s="45">
        <v>6080000</v>
      </c>
      <c r="J157" s="44" t="s">
        <v>195</v>
      </c>
      <c r="K157" s="44" t="str">
        <f>INDEX(CLEANED_MotorPH_Products_List_2!C:C,MATCH(MotorPHSales[[#This Row],[Product]],CLEANED_MotorPH_Products_List_2!$B:$B,0))</f>
        <v>Adventure</v>
      </c>
      <c r="L157" s="44" t="str">
        <f>INDEX(CLEANED_MotorPH_Products_List_2!E:E,MATCH(MotorPHSales[[#This Row],[Product]],CLEANED_MotorPH_Products_List_2!$B:$B,0))</f>
        <v>Single cylinder</v>
      </c>
      <c r="M157" s="44" t="str">
        <f>INDEX(CLEANED_MotorPH_Products_List_2!F:F,MATCH(MotorPHSales[[#This Row],[Product]],CLEANED_MotorPH_Products_List_2!$B:$B,0))</f>
        <v>liquid-cooled</v>
      </c>
      <c r="N157" s="44" t="str">
        <f>INDEX(CLEANED_MotorPH_Products_List_2!G:G,MATCH(MotorPHSales[[#This Row],[Product]],CLEANED_MotorPH_Products_List_2!$B:$B,0))</f>
        <v>313cc</v>
      </c>
      <c r="O157" s="44" t="str">
        <f>INDEX(CLEANED_MotorPH_Products_List_2!K:K,MATCH(MotorPHSales[[#This Row],[Product]],CLEANED_MotorPH_Products_List_2!B:B,0))</f>
        <v>Mid-range</v>
      </c>
      <c r="P157" s="45">
        <f>IF(MotorPHSales[[#This Row],[Segment]]="Entry-level",MotorPHSales[[#This Row],[UnitPrice]]/(1+30%),IF(MotorPHSales[[#This Row],[Segment]]="Mid-range",MotorPHSales[[#This Row],[UnitPrice]]/(1+35%),MotorPHSales[[#This Row],[UnitPrice]]/(1+40%)))*MotorPHSales[[#This Row],[Quantity]]</f>
        <v>4503703.7037037034</v>
      </c>
      <c r="Q157" s="44" t="str">
        <f>INDEX(CLEANED_MotorPH_Products_List_2!H:H,MATCH(MotorPHSales[[#This Row],[Product]],CLEANED_MotorPH_Products_List_2!$B:$B,0))</f>
        <v>6-speed</v>
      </c>
    </row>
    <row r="158" spans="1:17" ht="15.75" x14ac:dyDescent="0.3">
      <c r="A158" s="43">
        <v>45844</v>
      </c>
      <c r="B158" s="44" t="str">
        <f>TEXT(MotorPHSales[[#This Row],[Date]],"mmmm")</f>
        <v>July</v>
      </c>
      <c r="C158" s="44">
        <f>DAY(MotorPHSales[[#This Row],[Date]])</f>
        <v>6</v>
      </c>
      <c r="D158" s="44">
        <f>YEAR(MotorPHSales[[#This Row],[Date]])</f>
        <v>2025</v>
      </c>
      <c r="E158" s="44" t="s">
        <v>196</v>
      </c>
      <c r="F158" s="44" t="s">
        <v>40</v>
      </c>
      <c r="G158" s="45">
        <v>210000</v>
      </c>
      <c r="H158" s="44">
        <v>7</v>
      </c>
      <c r="I158" s="45">
        <v>1470000</v>
      </c>
      <c r="J158" s="44" t="s">
        <v>198</v>
      </c>
      <c r="K158" s="44" t="str">
        <f>INDEX(CLEANED_MotorPH_Products_List_2!C:C,MATCH(MotorPHSales[[#This Row],[Product]],CLEANED_MotorPH_Products_List_2!$B:$B,0))</f>
        <v>Scooter</v>
      </c>
      <c r="L158" s="44" t="str">
        <f>INDEX(CLEANED_MotorPH_Products_List_2!E:E,MATCH(MotorPHSales[[#This Row],[Product]],CLEANED_MotorPH_Products_List_2!$B:$B,0))</f>
        <v>Single cylinder</v>
      </c>
      <c r="M158" s="44" t="str">
        <f>INDEX(CLEANED_MotorPH_Products_List_2!F:F,MATCH(MotorPHSales[[#This Row],[Product]],CLEANED_MotorPH_Products_List_2!$B:$B,0))</f>
        <v>air-cooled</v>
      </c>
      <c r="N158" s="44" t="str">
        <f>INDEX(CLEANED_MotorPH_Products_List_2!G:G,MATCH(MotorPHSales[[#This Row],[Product]],CLEANED_MotorPH_Products_List_2!$B:$B,0))</f>
        <v>150cc</v>
      </c>
      <c r="O158" s="44" t="str">
        <f>INDEX(CLEANED_MotorPH_Products_List_2!K:K,MATCH(MotorPHSales[[#This Row],[Product]],CLEANED_MotorPH_Products_List_2!B:B,0))</f>
        <v>Entry-level</v>
      </c>
      <c r="P158" s="45">
        <f>IF(MotorPHSales[[#This Row],[Segment]]="Entry-level",MotorPHSales[[#This Row],[UnitPrice]]/(1+30%),IF(MotorPHSales[[#This Row],[Segment]]="Mid-range",MotorPHSales[[#This Row],[UnitPrice]]/(1+35%),MotorPHSales[[#This Row],[UnitPrice]]/(1+40%)))*MotorPHSales[[#This Row],[Quantity]]</f>
        <v>1130769.2307692308</v>
      </c>
      <c r="Q158" s="44" t="str">
        <f>INDEX(CLEANED_MotorPH_Products_List_2!H:H,MATCH(MotorPHSales[[#This Row],[Product]],CLEANED_MotorPH_Products_List_2!$B:$B,0))</f>
        <v>CVT</v>
      </c>
    </row>
    <row r="159" spans="1:17" ht="15.75" x14ac:dyDescent="0.3">
      <c r="A159" s="43">
        <v>45821</v>
      </c>
      <c r="B159" s="44" t="str">
        <f>TEXT(MotorPHSales[[#This Row],[Date]],"mmmm")</f>
        <v>June</v>
      </c>
      <c r="C159" s="44">
        <f>DAY(MotorPHSales[[#This Row],[Date]])</f>
        <v>13</v>
      </c>
      <c r="D159" s="44">
        <f>YEAR(MotorPHSales[[#This Row],[Date]])</f>
        <v>2025</v>
      </c>
      <c r="E159" s="44" t="s">
        <v>194</v>
      </c>
      <c r="F159" s="44" t="s">
        <v>99</v>
      </c>
      <c r="G159" s="45">
        <v>689000</v>
      </c>
      <c r="H159" s="44">
        <v>13</v>
      </c>
      <c r="I159" s="45">
        <v>8957000</v>
      </c>
      <c r="J159" s="44" t="s">
        <v>195</v>
      </c>
      <c r="K159" s="44" t="str">
        <f>INDEX(CLEANED_MotorPH_Products_List_2!C:C,MATCH(MotorPHSales[[#This Row],[Product]],CLEANED_MotorPH_Products_List_2!$B:$B,0))</f>
        <v>Heritage</v>
      </c>
      <c r="L159" s="44" t="str">
        <f>INDEX(CLEANED_MotorPH_Products_List_2!E:E,MATCH(MotorPHSales[[#This Row],[Product]],CLEANED_MotorPH_Products_List_2!$B:$B,0))</f>
        <v>V-twin</v>
      </c>
      <c r="M159" s="44" t="str">
        <f>INDEX(CLEANED_MotorPH_Products_List_2!F:F,MATCH(MotorPHSales[[#This Row],[Product]],CLEANED_MotorPH_Products_List_2!$B:$B,0))</f>
        <v>air-cooled</v>
      </c>
      <c r="N159" s="44" t="str">
        <f>INDEX(CLEANED_MotorPH_Products_List_2!G:G,MATCH(MotorPHSales[[#This Row],[Product]],CLEANED_MotorPH_Products_List_2!$B:$B,0))</f>
        <v>853cc</v>
      </c>
      <c r="O159" s="44" t="str">
        <f>INDEX(CLEANED_MotorPH_Products_List_2!K:K,MATCH(MotorPHSales[[#This Row],[Product]],CLEANED_MotorPH_Products_List_2!B:B,0))</f>
        <v>Premium</v>
      </c>
      <c r="P159" s="45">
        <f>IF(MotorPHSales[[#This Row],[Segment]]="Entry-level",MotorPHSales[[#This Row],[UnitPrice]]/(1+30%),IF(MotorPHSales[[#This Row],[Segment]]="Mid-range",MotorPHSales[[#This Row],[UnitPrice]]/(1+35%),MotorPHSales[[#This Row],[UnitPrice]]/(1+40%)))*MotorPHSales[[#This Row],[Quantity]]</f>
        <v>6397857.1428571427</v>
      </c>
      <c r="Q159" s="44" t="str">
        <f>INDEX(CLEANED_MotorPH_Products_List_2!H:H,MATCH(MotorPHSales[[#This Row],[Product]],CLEANED_MotorPH_Products_List_2!$B:$B,0))</f>
        <v>6-speed</v>
      </c>
    </row>
    <row r="160" spans="1:17" ht="15.75" x14ac:dyDescent="0.3">
      <c r="A160" s="43">
        <v>45840</v>
      </c>
      <c r="B160" s="44" t="str">
        <f>TEXT(MotorPHSales[[#This Row],[Date]],"mmmm")</f>
        <v>July</v>
      </c>
      <c r="C160" s="44">
        <f>DAY(MotorPHSales[[#This Row],[Date]])</f>
        <v>2</v>
      </c>
      <c r="D160" s="44">
        <f>YEAR(MotorPHSales[[#This Row],[Date]])</f>
        <v>2025</v>
      </c>
      <c r="E160" s="44" t="s">
        <v>194</v>
      </c>
      <c r="F160" s="44" t="s">
        <v>10</v>
      </c>
      <c r="G160" s="45">
        <v>340000</v>
      </c>
      <c r="H160" s="44">
        <v>25</v>
      </c>
      <c r="I160" s="45">
        <v>8500000</v>
      </c>
      <c r="J160" s="44" t="s">
        <v>197</v>
      </c>
      <c r="K160" s="44" t="str">
        <f>INDEX(CLEANED_MotorPH_Products_List_2!C:C,MATCH(MotorPHSales[[#This Row],[Product]],CLEANED_MotorPH_Products_List_2!$B:$B,0))</f>
        <v>Sport</v>
      </c>
      <c r="L160" s="44" t="str">
        <f>INDEX(CLEANED_MotorPH_Products_List_2!E:E,MATCH(MotorPHSales[[#This Row],[Product]],CLEANED_MotorPH_Products_List_2!$B:$B,0))</f>
        <v>Parallel-twin</v>
      </c>
      <c r="M160" s="44" t="str">
        <f>INDEX(CLEANED_MotorPH_Products_List_2!F:F,MATCH(MotorPHSales[[#This Row],[Product]],CLEANED_MotorPH_Products_List_2!$B:$B,0))</f>
        <v>liquid-cooled</v>
      </c>
      <c r="N160" s="44" t="str">
        <f>INDEX(CLEANED_MotorPH_Products_List_2!G:G,MATCH(MotorPHSales[[#This Row],[Product]],CLEANED_MotorPH_Products_List_2!$B:$B,0))</f>
        <v>399cc</v>
      </c>
      <c r="O160" s="44" t="str">
        <f>INDEX(CLEANED_MotorPH_Products_List_2!K:K,MATCH(MotorPHSales[[#This Row],[Product]],CLEANED_MotorPH_Products_List_2!B:B,0))</f>
        <v>Mid-range</v>
      </c>
      <c r="P160" s="45">
        <f>IF(MotorPHSales[[#This Row],[Segment]]="Entry-level",MotorPHSales[[#This Row],[UnitPrice]]/(1+30%),IF(MotorPHSales[[#This Row],[Segment]]="Mid-range",MotorPHSales[[#This Row],[UnitPrice]]/(1+35%),MotorPHSales[[#This Row],[UnitPrice]]/(1+40%)))*MotorPHSales[[#This Row],[Quantity]]</f>
        <v>6296296.2962962957</v>
      </c>
      <c r="Q160" s="44" t="str">
        <f>INDEX(CLEANED_MotorPH_Products_List_2!H:H,MATCH(MotorPHSales[[#This Row],[Product]],CLEANED_MotorPH_Products_List_2!$B:$B,0))</f>
        <v>6-speed</v>
      </c>
    </row>
    <row r="161" spans="1:17" ht="15.75" x14ac:dyDescent="0.3">
      <c r="A161" s="43">
        <v>45879</v>
      </c>
      <c r="B161" s="44" t="str">
        <f>TEXT(MotorPHSales[[#This Row],[Date]],"mmmm")</f>
        <v>August</v>
      </c>
      <c r="C161" s="44">
        <f>DAY(MotorPHSales[[#This Row],[Date]])</f>
        <v>10</v>
      </c>
      <c r="D161" s="44">
        <f>YEAR(MotorPHSales[[#This Row],[Date]])</f>
        <v>2025</v>
      </c>
      <c r="E161" s="44" t="s">
        <v>194</v>
      </c>
      <c r="F161" s="44" t="s">
        <v>46</v>
      </c>
      <c r="G161" s="45">
        <v>124000</v>
      </c>
      <c r="H161" s="44">
        <v>6</v>
      </c>
      <c r="I161" s="45">
        <v>744000</v>
      </c>
      <c r="J161" s="44" t="s">
        <v>197</v>
      </c>
      <c r="K161" s="44" t="str">
        <f>INDEX(CLEANED_MotorPH_Products_List_2!C:C,MATCH(MotorPHSales[[#This Row],[Product]],CLEANED_MotorPH_Products_List_2!$B:$B,0))</f>
        <v>Scooter</v>
      </c>
      <c r="L161" s="44" t="str">
        <f>INDEX(CLEANED_MotorPH_Products_List_2!E:E,MATCH(MotorPHSales[[#This Row],[Product]],CLEANED_MotorPH_Products_List_2!$B:$B,0))</f>
        <v>Single cylinder</v>
      </c>
      <c r="M161" s="44" t="str">
        <f>INDEX(CLEANED_MotorPH_Products_List_2!F:F,MATCH(MotorPHSales[[#This Row],[Product]],CLEANED_MotorPH_Products_List_2!$B:$B,0))</f>
        <v>liquid-cooled</v>
      </c>
      <c r="N161" s="44" t="str">
        <f>INDEX(CLEANED_MotorPH_Products_List_2!G:G,MATCH(MotorPHSales[[#This Row],[Product]],CLEANED_MotorPH_Products_List_2!$B:$B,0))</f>
        <v>155cc</v>
      </c>
      <c r="O161" s="44" t="str">
        <f>INDEX(CLEANED_MotorPH_Products_List_2!K:K,MATCH(MotorPHSales[[#This Row],[Product]],CLEANED_MotorPH_Products_List_2!B:B,0))</f>
        <v>Entry-level</v>
      </c>
      <c r="P161" s="45">
        <f>IF(MotorPHSales[[#This Row],[Segment]]="Entry-level",MotorPHSales[[#This Row],[UnitPrice]]/(1+30%),IF(MotorPHSales[[#This Row],[Segment]]="Mid-range",MotorPHSales[[#This Row],[UnitPrice]]/(1+35%),MotorPHSales[[#This Row],[UnitPrice]]/(1+40%)))*MotorPHSales[[#This Row],[Quantity]]</f>
        <v>572307.69230769225</v>
      </c>
      <c r="Q161" s="44" t="str">
        <f>INDEX(CLEANED_MotorPH_Products_List_2!H:H,MATCH(MotorPHSales[[#This Row],[Product]],CLEANED_MotorPH_Products_List_2!$B:$B,0))</f>
        <v>CVT</v>
      </c>
    </row>
    <row r="162" spans="1:17" ht="15.75" x14ac:dyDescent="0.3">
      <c r="A162" s="43">
        <v>45867</v>
      </c>
      <c r="B162" s="44" t="str">
        <f>TEXT(MotorPHSales[[#This Row],[Date]],"mmmm")</f>
        <v>July</v>
      </c>
      <c r="C162" s="44">
        <f>DAY(MotorPHSales[[#This Row],[Date]])</f>
        <v>29</v>
      </c>
      <c r="D162" s="44">
        <f>YEAR(MotorPHSales[[#This Row],[Date]])</f>
        <v>2025</v>
      </c>
      <c r="E162" s="44" t="s">
        <v>194</v>
      </c>
      <c r="F162" s="44" t="s">
        <v>26</v>
      </c>
      <c r="G162" s="45">
        <v>151900</v>
      </c>
      <c r="H162" s="44">
        <v>19</v>
      </c>
      <c r="I162" s="45">
        <v>2886100</v>
      </c>
      <c r="J162" s="44" t="s">
        <v>197</v>
      </c>
      <c r="K162" s="44" t="str">
        <f>INDEX(CLEANED_MotorPH_Products_List_2!C:C,MATCH(MotorPHSales[[#This Row],[Product]],CLEANED_MotorPH_Products_List_2!$B:$B,0))</f>
        <v>Scooter</v>
      </c>
      <c r="L162" s="44" t="str">
        <f>INDEX(CLEANED_MotorPH_Products_List_2!E:E,MATCH(MotorPHSales[[#This Row],[Product]],CLEANED_MotorPH_Products_List_2!$B:$B,0))</f>
        <v>Single cylinder</v>
      </c>
      <c r="M162" s="44" t="str">
        <f>INDEX(CLEANED_MotorPH_Products_List_2!F:F,MATCH(MotorPHSales[[#This Row],[Product]],CLEANED_MotorPH_Products_List_2!$B:$B,0))</f>
        <v>liquid-cooled</v>
      </c>
      <c r="N162" s="44" t="str">
        <f>INDEX(CLEANED_MotorPH_Products_List_2!G:G,MATCH(MotorPHSales[[#This Row],[Product]],CLEANED_MotorPH_Products_List_2!$B:$B,0))</f>
        <v>155cc</v>
      </c>
      <c r="O162" s="44" t="str">
        <f>INDEX(CLEANED_MotorPH_Products_List_2!K:K,MATCH(MotorPHSales[[#This Row],[Product]],CLEANED_MotorPH_Products_List_2!B:B,0))</f>
        <v>Entry-level</v>
      </c>
      <c r="P162" s="45">
        <f>IF(MotorPHSales[[#This Row],[Segment]]="Entry-level",MotorPHSales[[#This Row],[UnitPrice]]/(1+30%),IF(MotorPHSales[[#This Row],[Segment]]="Mid-range",MotorPHSales[[#This Row],[UnitPrice]]/(1+35%),MotorPHSales[[#This Row],[UnitPrice]]/(1+40%)))*MotorPHSales[[#This Row],[Quantity]]</f>
        <v>2220076.923076923</v>
      </c>
      <c r="Q162" s="44" t="str">
        <f>INDEX(CLEANED_MotorPH_Products_List_2!H:H,MATCH(MotorPHSales[[#This Row],[Product]],CLEANED_MotorPH_Products_List_2!$B:$B,0))</f>
        <v>CVT</v>
      </c>
    </row>
    <row r="163" spans="1:17" ht="15.75" x14ac:dyDescent="0.3">
      <c r="A163" s="43">
        <v>45894</v>
      </c>
      <c r="B163" s="44" t="str">
        <f>TEXT(MotorPHSales[[#This Row],[Date]],"mmmm")</f>
        <v>August</v>
      </c>
      <c r="C163" s="44">
        <f>DAY(MotorPHSales[[#This Row],[Date]])</f>
        <v>25</v>
      </c>
      <c r="D163" s="44">
        <f>YEAR(MotorPHSales[[#This Row],[Date]])</f>
        <v>2025</v>
      </c>
      <c r="E163" s="44" t="s">
        <v>194</v>
      </c>
      <c r="F163" s="44" t="s">
        <v>63</v>
      </c>
      <c r="G163" s="45">
        <v>48000</v>
      </c>
      <c r="H163" s="44">
        <v>23</v>
      </c>
      <c r="I163" s="45">
        <v>1104000</v>
      </c>
      <c r="J163" s="44" t="s">
        <v>197</v>
      </c>
      <c r="K163" s="44" t="str">
        <f>INDEX(CLEANED_MotorPH_Products_List_2!C:C,MATCH(MotorPHSales[[#This Row],[Product]],CLEANED_MotorPH_Products_List_2!$B:$B,0))</f>
        <v>Commuter</v>
      </c>
      <c r="L163" s="44" t="str">
        <f>INDEX(CLEANED_MotorPH_Products_List_2!E:E,MATCH(MotorPHSales[[#This Row],[Product]],CLEANED_MotorPH_Products_List_2!$B:$B,0))</f>
        <v>Single cylinder</v>
      </c>
      <c r="M163" s="44" t="str">
        <f>INDEX(CLEANED_MotorPH_Products_List_2!F:F,MATCH(MotorPHSales[[#This Row],[Product]],CLEANED_MotorPH_Products_List_2!$B:$B,0))</f>
        <v>air-cooled</v>
      </c>
      <c r="N163" s="44" t="str">
        <f>INDEX(CLEANED_MotorPH_Products_List_2!G:G,MATCH(MotorPHSales[[#This Row],[Product]],CLEANED_MotorPH_Products_List_2!$B:$B,0))</f>
        <v>125cc</v>
      </c>
      <c r="O163" s="44" t="str">
        <f>INDEX(CLEANED_MotorPH_Products_List_2!K:K,MATCH(MotorPHSales[[#This Row],[Product]],CLEANED_MotorPH_Products_List_2!B:B,0))</f>
        <v>Entry-level</v>
      </c>
      <c r="P163" s="45">
        <f>IF(MotorPHSales[[#This Row],[Segment]]="Entry-level",MotorPHSales[[#This Row],[UnitPrice]]/(1+30%),IF(MotorPHSales[[#This Row],[Segment]]="Mid-range",MotorPHSales[[#This Row],[UnitPrice]]/(1+35%),MotorPHSales[[#This Row],[UnitPrice]]/(1+40%)))*MotorPHSales[[#This Row],[Quantity]]</f>
        <v>849230.76923076925</v>
      </c>
      <c r="Q163" s="44" t="str">
        <f>INDEX(CLEANED_MotorPH_Products_List_2!H:H,MATCH(MotorPHSales[[#This Row],[Product]],CLEANED_MotorPH_Products_List_2!$B:$B,0))</f>
        <v>4-speed</v>
      </c>
    </row>
    <row r="164" spans="1:17" ht="15.75" x14ac:dyDescent="0.3">
      <c r="A164" s="43">
        <v>45836</v>
      </c>
      <c r="B164" s="44" t="str">
        <f>TEXT(MotorPHSales[[#This Row],[Date]],"mmmm")</f>
        <v>June</v>
      </c>
      <c r="C164" s="44">
        <f>DAY(MotorPHSales[[#This Row],[Date]])</f>
        <v>28</v>
      </c>
      <c r="D164" s="44">
        <f>YEAR(MotorPHSales[[#This Row],[Date]])</f>
        <v>2025</v>
      </c>
      <c r="E164" s="44" t="s">
        <v>196</v>
      </c>
      <c r="F164" s="44" t="s">
        <v>22</v>
      </c>
      <c r="G164" s="45">
        <v>182000</v>
      </c>
      <c r="H164" s="44">
        <v>2</v>
      </c>
      <c r="I164" s="45">
        <v>364000</v>
      </c>
      <c r="J164" s="44" t="s">
        <v>198</v>
      </c>
      <c r="K164" s="44" t="str">
        <f>INDEX(CLEANED_MotorPH_Products_List_2!C:C,MATCH(MotorPHSales[[#This Row],[Product]],CLEANED_MotorPH_Products_List_2!$B:$B,0))</f>
        <v>Retro</v>
      </c>
      <c r="L164" s="44" t="str">
        <f>INDEX(CLEANED_MotorPH_Products_List_2!E:E,MATCH(MotorPHSales[[#This Row],[Product]],CLEANED_MotorPH_Products_List_2!$B:$B,0))</f>
        <v>Single cylinder</v>
      </c>
      <c r="M164" s="44" t="str">
        <f>INDEX(CLEANED_MotorPH_Products_List_2!F:F,MATCH(MotorPHSales[[#This Row],[Product]],CLEANED_MotorPH_Products_List_2!$B:$B,0))</f>
        <v>liquid-cooled</v>
      </c>
      <c r="N164" s="44" t="str">
        <f>INDEX(CLEANED_MotorPH_Products_List_2!G:G,MATCH(MotorPHSales[[#This Row],[Product]],CLEANED_MotorPH_Products_List_2!$B:$B,0))</f>
        <v>155cc</v>
      </c>
      <c r="O164" s="44" t="str">
        <f>INDEX(CLEANED_MotorPH_Products_List_2!K:K,MATCH(MotorPHSales[[#This Row],[Product]],CLEANED_MotorPH_Products_List_2!B:B,0))</f>
        <v>Entry-level</v>
      </c>
      <c r="P164" s="45">
        <f>IF(MotorPHSales[[#This Row],[Segment]]="Entry-level",MotorPHSales[[#This Row],[UnitPrice]]/(1+30%),IF(MotorPHSales[[#This Row],[Segment]]="Mid-range",MotorPHSales[[#This Row],[UnitPrice]]/(1+35%),MotorPHSales[[#This Row],[UnitPrice]]/(1+40%)))*MotorPHSales[[#This Row],[Quantity]]</f>
        <v>280000</v>
      </c>
      <c r="Q164" s="44" t="str">
        <f>INDEX(CLEANED_MotorPH_Products_List_2!H:H,MATCH(MotorPHSales[[#This Row],[Product]],CLEANED_MotorPH_Products_List_2!$B:$B,0))</f>
        <v>6-speed</v>
      </c>
    </row>
    <row r="165" spans="1:17" ht="15.75" x14ac:dyDescent="0.3">
      <c r="A165" s="43">
        <v>45874</v>
      </c>
      <c r="B165" s="44" t="str">
        <f>TEXT(MotorPHSales[[#This Row],[Date]],"mmmm")</f>
        <v>August</v>
      </c>
      <c r="C165" s="44">
        <f>DAY(MotorPHSales[[#This Row],[Date]])</f>
        <v>5</v>
      </c>
      <c r="D165" s="44">
        <f>YEAR(MotorPHSales[[#This Row],[Date]])</f>
        <v>2025</v>
      </c>
      <c r="E165" s="44" t="s">
        <v>196</v>
      </c>
      <c r="F165" s="44" t="s">
        <v>20</v>
      </c>
      <c r="G165" s="45">
        <v>178000</v>
      </c>
      <c r="H165" s="44">
        <v>9</v>
      </c>
      <c r="I165" s="45">
        <v>1602000</v>
      </c>
      <c r="J165" s="44" t="s">
        <v>198</v>
      </c>
      <c r="K165" s="44" t="str">
        <f>INDEX(CLEANED_MotorPH_Products_List_2!C:C,MATCH(MotorPHSales[[#This Row],[Product]],CLEANED_MotorPH_Products_List_2!$B:$B,0))</f>
        <v>Naked bike</v>
      </c>
      <c r="L165" s="44" t="str">
        <f>INDEX(CLEANED_MotorPH_Products_List_2!E:E,MATCH(MotorPHSales[[#This Row],[Product]],CLEANED_MotorPH_Products_List_2!$B:$B,0))</f>
        <v>Single cylinder</v>
      </c>
      <c r="M165" s="44" t="str">
        <f>INDEX(CLEANED_MotorPH_Products_List_2!F:F,MATCH(MotorPHSales[[#This Row],[Product]],CLEANED_MotorPH_Products_List_2!$B:$B,0))</f>
        <v>liquid-cooled</v>
      </c>
      <c r="N165" s="44" t="str">
        <f>INDEX(CLEANED_MotorPH_Products_List_2!G:G,MATCH(MotorPHSales[[#This Row],[Product]],CLEANED_MotorPH_Products_List_2!$B:$B,0))</f>
        <v>199cc</v>
      </c>
      <c r="O165" s="44" t="str">
        <f>INDEX(CLEANED_MotorPH_Products_List_2!K:K,MATCH(MotorPHSales[[#This Row],[Product]],CLEANED_MotorPH_Products_List_2!B:B,0))</f>
        <v>Entry-level</v>
      </c>
      <c r="P165" s="45">
        <f>IF(MotorPHSales[[#This Row],[Segment]]="Entry-level",MotorPHSales[[#This Row],[UnitPrice]]/(1+30%),IF(MotorPHSales[[#This Row],[Segment]]="Mid-range",MotorPHSales[[#This Row],[UnitPrice]]/(1+35%),MotorPHSales[[#This Row],[UnitPrice]]/(1+40%)))*MotorPHSales[[#This Row],[Quantity]]</f>
        <v>1232307.6923076923</v>
      </c>
      <c r="Q165" s="44" t="str">
        <f>INDEX(CLEANED_MotorPH_Products_List_2!H:H,MATCH(MotorPHSales[[#This Row],[Product]],CLEANED_MotorPH_Products_List_2!$B:$B,0))</f>
        <v>6-speed</v>
      </c>
    </row>
    <row r="166" spans="1:17" ht="15.75" x14ac:dyDescent="0.3">
      <c r="A166" s="43">
        <v>45850</v>
      </c>
      <c r="B166" s="44" t="str">
        <f>TEXT(MotorPHSales[[#This Row],[Date]],"mmmm")</f>
        <v>July</v>
      </c>
      <c r="C166" s="44">
        <f>DAY(MotorPHSales[[#This Row],[Date]])</f>
        <v>12</v>
      </c>
      <c r="D166" s="44">
        <f>YEAR(MotorPHSales[[#This Row],[Date]])</f>
        <v>2025</v>
      </c>
      <c r="E166" s="44" t="s">
        <v>196</v>
      </c>
      <c r="F166" s="44" t="s">
        <v>86</v>
      </c>
      <c r="G166" s="45">
        <v>650000</v>
      </c>
      <c r="H166" s="44">
        <v>17</v>
      </c>
      <c r="I166" s="45">
        <v>11050000</v>
      </c>
      <c r="J166" s="44" t="s">
        <v>198</v>
      </c>
      <c r="K166" s="44" t="str">
        <f>INDEX(CLEANED_MotorPH_Products_List_2!C:C,MATCH(MotorPHSales[[#This Row],[Product]],CLEANED_MotorPH_Products_List_2!$B:$B,0))</f>
        <v>Cruiser</v>
      </c>
      <c r="L166" s="44" t="str">
        <f>INDEX(CLEANED_MotorPH_Products_List_2!E:E,MATCH(MotorPHSales[[#This Row],[Product]],CLEANED_MotorPH_Products_List_2!$B:$B,0))</f>
        <v>Parallel-twin</v>
      </c>
      <c r="M166" s="44" t="str">
        <f>INDEX(CLEANED_MotorPH_Products_List_2!F:F,MATCH(MotorPHSales[[#This Row],[Product]],CLEANED_MotorPH_Products_List_2!$B:$B,0))</f>
        <v>liquid-cooled</v>
      </c>
      <c r="N166" s="44" t="str">
        <f>INDEX(CLEANED_MotorPH_Products_List_2!G:G,MATCH(MotorPHSales[[#This Row],[Product]],CLEANED_MotorPH_Products_List_2!$B:$B,0))</f>
        <v>1084cc</v>
      </c>
      <c r="O166" s="44" t="str">
        <f>INDEX(CLEANED_MotorPH_Products_List_2!K:K,MATCH(MotorPHSales[[#This Row],[Product]],CLEANED_MotorPH_Products_List_2!B:B,0))</f>
        <v>Premium</v>
      </c>
      <c r="P166" s="45">
        <f>IF(MotorPHSales[[#This Row],[Segment]]="Entry-level",MotorPHSales[[#This Row],[UnitPrice]]/(1+30%),IF(MotorPHSales[[#This Row],[Segment]]="Mid-range",MotorPHSales[[#This Row],[UnitPrice]]/(1+35%),MotorPHSales[[#This Row],[UnitPrice]]/(1+40%)))*MotorPHSales[[#This Row],[Quantity]]</f>
        <v>7892857.1428571437</v>
      </c>
      <c r="Q166" s="44" t="str">
        <f>INDEX(CLEANED_MotorPH_Products_List_2!H:H,MATCH(MotorPHSales[[#This Row],[Product]],CLEANED_MotorPH_Products_List_2!$B:$B,0))</f>
        <v>6-speed</v>
      </c>
    </row>
    <row r="167" spans="1:17" ht="15.75" x14ac:dyDescent="0.3">
      <c r="A167" s="43">
        <v>45853</v>
      </c>
      <c r="B167" s="44" t="str">
        <f>TEXT(MotorPHSales[[#This Row],[Date]],"mmmm")</f>
        <v>July</v>
      </c>
      <c r="C167" s="44">
        <f>DAY(MotorPHSales[[#This Row],[Date]])</f>
        <v>15</v>
      </c>
      <c r="D167" s="44">
        <f>YEAR(MotorPHSales[[#This Row],[Date]])</f>
        <v>2025</v>
      </c>
      <c r="E167" s="44" t="s">
        <v>196</v>
      </c>
      <c r="F167" s="44" t="s">
        <v>12</v>
      </c>
      <c r="G167" s="45">
        <v>119900</v>
      </c>
      <c r="H167" s="44">
        <v>20</v>
      </c>
      <c r="I167" s="45">
        <v>2398000</v>
      </c>
      <c r="J167" s="44" t="s">
        <v>197</v>
      </c>
      <c r="K167" s="44" t="str">
        <f>INDEX(CLEANED_MotorPH_Products_List_2!C:C,MATCH(MotorPHSales[[#This Row],[Product]],CLEANED_MotorPH_Products_List_2!$B:$B,0))</f>
        <v>Underbone</v>
      </c>
      <c r="L167" s="44" t="str">
        <f>INDEX(CLEANED_MotorPH_Products_List_2!E:E,MATCH(MotorPHSales[[#This Row],[Product]],CLEANED_MotorPH_Products_List_2!$B:$B,0))</f>
        <v>Single cylinder</v>
      </c>
      <c r="M167" s="44" t="str">
        <f>INDEX(CLEANED_MotorPH_Products_List_2!F:F,MATCH(MotorPHSales[[#This Row],[Product]],CLEANED_MotorPH_Products_List_2!$B:$B,0))</f>
        <v>liquid-cooled</v>
      </c>
      <c r="N167" s="44" t="str">
        <f>INDEX(CLEANED_MotorPH_Products_List_2!G:G,MATCH(MotorPHSales[[#This Row],[Product]],CLEANED_MotorPH_Products_List_2!$B:$B,0))</f>
        <v>150cc</v>
      </c>
      <c r="O167" s="44" t="str">
        <f>INDEX(CLEANED_MotorPH_Products_List_2!K:K,MATCH(MotorPHSales[[#This Row],[Product]],CLEANED_MotorPH_Products_List_2!B:B,0))</f>
        <v>Entry-level</v>
      </c>
      <c r="P167" s="45">
        <f>IF(MotorPHSales[[#This Row],[Segment]]="Entry-level",MotorPHSales[[#This Row],[UnitPrice]]/(1+30%),IF(MotorPHSales[[#This Row],[Segment]]="Mid-range",MotorPHSales[[#This Row],[UnitPrice]]/(1+35%),MotorPHSales[[#This Row],[UnitPrice]]/(1+40%)))*MotorPHSales[[#This Row],[Quantity]]</f>
        <v>1844615.3846153847</v>
      </c>
      <c r="Q167" s="44" t="str">
        <f>INDEX(CLEANED_MotorPH_Products_List_2!H:H,MATCH(MotorPHSales[[#This Row],[Product]],CLEANED_MotorPH_Products_List_2!$B:$B,0))</f>
        <v>6-speed</v>
      </c>
    </row>
    <row r="168" spans="1:17" ht="15.75" x14ac:dyDescent="0.3">
      <c r="A168" s="43">
        <v>45863</v>
      </c>
      <c r="B168" s="44" t="str">
        <f>TEXT(MotorPHSales[[#This Row],[Date]],"mmmm")</f>
        <v>July</v>
      </c>
      <c r="C168" s="44">
        <f>DAY(MotorPHSales[[#This Row],[Date]])</f>
        <v>25</v>
      </c>
      <c r="D168" s="44">
        <f>YEAR(MotorPHSales[[#This Row],[Date]])</f>
        <v>2025</v>
      </c>
      <c r="E168" s="44" t="s">
        <v>194</v>
      </c>
      <c r="F168" s="44" t="s">
        <v>97</v>
      </c>
      <c r="G168" s="45">
        <v>269000</v>
      </c>
      <c r="H168" s="44">
        <v>1</v>
      </c>
      <c r="I168" s="45">
        <v>269000</v>
      </c>
      <c r="J168" s="44" t="s">
        <v>198</v>
      </c>
      <c r="K168" s="44" t="str">
        <f>INDEX(CLEANED_MotorPH_Products_List_2!C:C,MATCH(MotorPHSales[[#This Row],[Product]],CLEANED_MotorPH_Products_List_2!$B:$B,0))</f>
        <v>Cafe racer</v>
      </c>
      <c r="L168" s="44" t="str">
        <f>INDEX(CLEANED_MotorPH_Products_List_2!E:E,MATCH(MotorPHSales[[#This Row],[Product]],CLEANED_MotorPH_Products_List_2!$B:$B,0))</f>
        <v>Single cylinder</v>
      </c>
      <c r="M168" s="44" t="str">
        <f>INDEX(CLEANED_MotorPH_Products_List_2!F:F,MATCH(MotorPHSales[[#This Row],[Product]],CLEANED_MotorPH_Products_List_2!$B:$B,0))</f>
        <v>liquid-cooled</v>
      </c>
      <c r="N168" s="44" t="str">
        <f>INDEX(CLEANED_MotorPH_Products_List_2!G:G,MATCH(MotorPHSales[[#This Row],[Product]],CLEANED_MotorPH_Products_List_2!$B:$B,0))</f>
        <v>348cc</v>
      </c>
      <c r="O168" s="44" t="str">
        <f>INDEX(CLEANED_MotorPH_Products_List_2!K:K,MATCH(MotorPHSales[[#This Row],[Product]],CLEANED_MotorPH_Products_List_2!B:B,0))</f>
        <v>Mid-range</v>
      </c>
      <c r="P168" s="45">
        <f>IF(MotorPHSales[[#This Row],[Segment]]="Entry-level",MotorPHSales[[#This Row],[UnitPrice]]/(1+30%),IF(MotorPHSales[[#This Row],[Segment]]="Mid-range",MotorPHSales[[#This Row],[UnitPrice]]/(1+35%),MotorPHSales[[#This Row],[UnitPrice]]/(1+40%)))*MotorPHSales[[#This Row],[Quantity]]</f>
        <v>199259.25925925924</v>
      </c>
      <c r="Q168" s="44" t="str">
        <f>INDEX(CLEANED_MotorPH_Products_List_2!H:H,MATCH(MotorPHSales[[#This Row],[Product]],CLEANED_MotorPH_Products_List_2!$B:$B,0))</f>
        <v>6-speed</v>
      </c>
    </row>
    <row r="169" spans="1:17" ht="15.75" x14ac:dyDescent="0.3">
      <c r="A169" s="43">
        <v>45865</v>
      </c>
      <c r="B169" s="44" t="str">
        <f>TEXT(MotorPHSales[[#This Row],[Date]],"mmmm")</f>
        <v>July</v>
      </c>
      <c r="C169" s="44">
        <f>DAY(MotorPHSales[[#This Row],[Date]])</f>
        <v>27</v>
      </c>
      <c r="D169" s="44">
        <f>YEAR(MotorPHSales[[#This Row],[Date]])</f>
        <v>2025</v>
      </c>
      <c r="E169" s="44" t="s">
        <v>196</v>
      </c>
      <c r="F169" s="44" t="s">
        <v>90</v>
      </c>
      <c r="G169" s="45">
        <v>165000</v>
      </c>
      <c r="H169" s="44">
        <v>28</v>
      </c>
      <c r="I169" s="45">
        <v>4620000</v>
      </c>
      <c r="J169" s="44" t="s">
        <v>195</v>
      </c>
      <c r="K169" s="44" t="str">
        <f>INDEX(CLEANED_MotorPH_Products_List_2!C:C,MATCH(MotorPHSales[[#This Row],[Product]],CLEANED_MotorPH_Products_List_2!$B:$B,0))</f>
        <v>Sport</v>
      </c>
      <c r="L169" s="44" t="str">
        <f>INDEX(CLEANED_MotorPH_Products_List_2!E:E,MATCH(MotorPHSales[[#This Row],[Product]],CLEANED_MotorPH_Products_List_2!$B:$B,0))</f>
        <v>Single cylinder</v>
      </c>
      <c r="M169" s="44" t="str">
        <f>INDEX(CLEANED_MotorPH_Products_List_2!F:F,MATCH(MotorPHSales[[#This Row],[Product]],CLEANED_MotorPH_Products_List_2!$B:$B,0))</f>
        <v>liquid-cooled</v>
      </c>
      <c r="N169" s="44" t="str">
        <f>INDEX(CLEANED_MotorPH_Products_List_2!G:G,MATCH(MotorPHSales[[#This Row],[Product]],CLEANED_MotorPH_Products_List_2!$B:$B,0))</f>
        <v>292cc</v>
      </c>
      <c r="O169" s="44" t="str">
        <f>INDEX(CLEANED_MotorPH_Products_List_2!K:K,MATCH(MotorPHSales[[#This Row],[Product]],CLEANED_MotorPH_Products_List_2!B:B,0))</f>
        <v>Mid-range</v>
      </c>
      <c r="P169" s="45">
        <f>IF(MotorPHSales[[#This Row],[Segment]]="Entry-level",MotorPHSales[[#This Row],[UnitPrice]]/(1+30%),IF(MotorPHSales[[#This Row],[Segment]]="Mid-range",MotorPHSales[[#This Row],[UnitPrice]]/(1+35%),MotorPHSales[[#This Row],[UnitPrice]]/(1+40%)))*MotorPHSales[[#This Row],[Quantity]]</f>
        <v>3422222.222222222</v>
      </c>
      <c r="Q169" s="44" t="str">
        <f>INDEX(CLEANED_MotorPH_Products_List_2!H:H,MATCH(MotorPHSales[[#This Row],[Product]],CLEANED_MotorPH_Products_List_2!$B:$B,0))</f>
        <v>6-speed</v>
      </c>
    </row>
    <row r="170" spans="1:17" ht="15.75" x14ac:dyDescent="0.3">
      <c r="A170" s="43">
        <v>45814</v>
      </c>
      <c r="B170" s="44" t="str">
        <f>TEXT(MotorPHSales[[#This Row],[Date]],"mmmm")</f>
        <v>June</v>
      </c>
      <c r="C170" s="44">
        <f>DAY(MotorPHSales[[#This Row],[Date]])</f>
        <v>6</v>
      </c>
      <c r="D170" s="44">
        <f>YEAR(MotorPHSales[[#This Row],[Date]])</f>
        <v>2025</v>
      </c>
      <c r="E170" s="44" t="s">
        <v>194</v>
      </c>
      <c r="F170" s="44" t="s">
        <v>22</v>
      </c>
      <c r="G170" s="45">
        <v>182000</v>
      </c>
      <c r="H170" s="44">
        <v>20</v>
      </c>
      <c r="I170" s="45">
        <v>3640000</v>
      </c>
      <c r="J170" s="44" t="s">
        <v>198</v>
      </c>
      <c r="K170" s="44" t="str">
        <f>INDEX(CLEANED_MotorPH_Products_List_2!C:C,MATCH(MotorPHSales[[#This Row],[Product]],CLEANED_MotorPH_Products_List_2!$B:$B,0))</f>
        <v>Retro</v>
      </c>
      <c r="L170" s="44" t="str">
        <f>INDEX(CLEANED_MotorPH_Products_List_2!E:E,MATCH(MotorPHSales[[#This Row],[Product]],CLEANED_MotorPH_Products_List_2!$B:$B,0))</f>
        <v>Single cylinder</v>
      </c>
      <c r="M170" s="44" t="str">
        <f>INDEX(CLEANED_MotorPH_Products_List_2!F:F,MATCH(MotorPHSales[[#This Row],[Product]],CLEANED_MotorPH_Products_List_2!$B:$B,0))</f>
        <v>liquid-cooled</v>
      </c>
      <c r="N170" s="44" t="str">
        <f>INDEX(CLEANED_MotorPH_Products_List_2!G:G,MATCH(MotorPHSales[[#This Row],[Product]],CLEANED_MotorPH_Products_List_2!$B:$B,0))</f>
        <v>155cc</v>
      </c>
      <c r="O170" s="44" t="str">
        <f>INDEX(CLEANED_MotorPH_Products_List_2!K:K,MATCH(MotorPHSales[[#This Row],[Product]],CLEANED_MotorPH_Products_List_2!B:B,0))</f>
        <v>Entry-level</v>
      </c>
      <c r="P170" s="45">
        <f>IF(MotorPHSales[[#This Row],[Segment]]="Entry-level",MotorPHSales[[#This Row],[UnitPrice]]/(1+30%),IF(MotorPHSales[[#This Row],[Segment]]="Mid-range",MotorPHSales[[#This Row],[UnitPrice]]/(1+35%),MotorPHSales[[#This Row],[UnitPrice]]/(1+40%)))*MotorPHSales[[#This Row],[Quantity]]</f>
        <v>2800000</v>
      </c>
      <c r="Q170" s="44" t="str">
        <f>INDEX(CLEANED_MotorPH_Products_List_2!H:H,MATCH(MotorPHSales[[#This Row],[Product]],CLEANED_MotorPH_Products_List_2!$B:$B,0))</f>
        <v>6-speed</v>
      </c>
    </row>
    <row r="171" spans="1:17" ht="15.75" x14ac:dyDescent="0.3">
      <c r="A171" s="43">
        <v>45836</v>
      </c>
      <c r="B171" s="44" t="str">
        <f>TEXT(MotorPHSales[[#This Row],[Date]],"mmmm")</f>
        <v>June</v>
      </c>
      <c r="C171" s="44">
        <f>DAY(MotorPHSales[[#This Row],[Date]])</f>
        <v>28</v>
      </c>
      <c r="D171" s="44">
        <f>YEAR(MotorPHSales[[#This Row],[Date]])</f>
        <v>2025</v>
      </c>
      <c r="E171" s="44" t="s">
        <v>194</v>
      </c>
      <c r="F171" s="44" t="s">
        <v>36</v>
      </c>
      <c r="G171" s="45">
        <v>387000</v>
      </c>
      <c r="H171" s="44">
        <v>9</v>
      </c>
      <c r="I171" s="45">
        <v>1161000</v>
      </c>
      <c r="J171" s="44" t="s">
        <v>198</v>
      </c>
      <c r="K171" s="44" t="str">
        <f>INDEX(CLEANED_MotorPH_Products_List_2!C:C,MATCH(MotorPHSales[[#This Row],[Product]],CLEANED_MotorPH_Products_List_2!$B:$B,0))</f>
        <v>Naked bike</v>
      </c>
      <c r="L171" s="44" t="str">
        <f>INDEX(CLEANED_MotorPH_Products_List_2!E:E,MATCH(MotorPHSales[[#This Row],[Product]],CLEANED_MotorPH_Products_List_2!$B:$B,0))</f>
        <v>Single cylinder</v>
      </c>
      <c r="M171" s="44" t="str">
        <f>INDEX(CLEANED_MotorPH_Products_List_2!F:F,MATCH(MotorPHSales[[#This Row],[Product]],CLEANED_MotorPH_Products_List_2!$B:$B,0))</f>
        <v>oil-cooled</v>
      </c>
      <c r="N171" s="44" t="str">
        <f>INDEX(CLEANED_MotorPH_Products_List_2!G:G,MATCH(MotorPHSales[[#This Row],[Product]],CLEANED_MotorPH_Products_List_2!$B:$B,0))</f>
        <v>197cc</v>
      </c>
      <c r="O171" s="44" t="str">
        <f>INDEX(CLEANED_MotorPH_Products_List_2!K:K,MATCH(MotorPHSales[[#This Row],[Product]],CLEANED_MotorPH_Products_List_2!B:B,0))</f>
        <v>Entry-level</v>
      </c>
      <c r="P171" s="45">
        <f>IF(MotorPHSales[[#This Row],[Segment]]="Entry-level",MotorPHSales[[#This Row],[UnitPrice]]/(1+30%),IF(MotorPHSales[[#This Row],[Segment]]="Mid-range",MotorPHSales[[#This Row],[UnitPrice]]/(1+35%),MotorPHSales[[#This Row],[UnitPrice]]/(1+40%)))*MotorPHSales[[#This Row],[Quantity]]</f>
        <v>2679230.769230769</v>
      </c>
      <c r="Q171" s="44" t="str">
        <f>INDEX(CLEANED_MotorPH_Products_List_2!H:H,MATCH(MotorPHSales[[#This Row],[Product]],CLEANED_MotorPH_Products_List_2!$B:$B,0))</f>
        <v>5-speed</v>
      </c>
    </row>
    <row r="172" spans="1:17" ht="15.75" x14ac:dyDescent="0.3">
      <c r="A172" s="43">
        <v>45836</v>
      </c>
      <c r="B172" s="44" t="str">
        <f>TEXT(MotorPHSales[[#This Row],[Date]],"mmmm")</f>
        <v>June</v>
      </c>
      <c r="C172" s="44">
        <f>DAY(MotorPHSales[[#This Row],[Date]])</f>
        <v>28</v>
      </c>
      <c r="D172" s="44">
        <f>YEAR(MotorPHSales[[#This Row],[Date]])</f>
        <v>2025</v>
      </c>
      <c r="E172" s="44" t="s">
        <v>194</v>
      </c>
      <c r="F172" s="44" t="s">
        <v>63</v>
      </c>
      <c r="G172" s="45">
        <v>48000</v>
      </c>
      <c r="H172" s="44">
        <v>48</v>
      </c>
      <c r="I172" s="45">
        <v>2304000</v>
      </c>
      <c r="J172" s="44" t="s">
        <v>195</v>
      </c>
      <c r="K172" s="44" t="str">
        <f>INDEX(CLEANED_MotorPH_Products_List_2!C:C,MATCH(MotorPHSales[[#This Row],[Product]],CLEANED_MotorPH_Products_List_2!$B:$B,0))</f>
        <v>Commuter</v>
      </c>
      <c r="L172" s="44" t="str">
        <f>INDEX(CLEANED_MotorPH_Products_List_2!E:E,MATCH(MotorPHSales[[#This Row],[Product]],CLEANED_MotorPH_Products_List_2!$B:$B,0))</f>
        <v>Single cylinder</v>
      </c>
      <c r="M172" s="44" t="str">
        <f>INDEX(CLEANED_MotorPH_Products_List_2!F:F,MATCH(MotorPHSales[[#This Row],[Product]],CLEANED_MotorPH_Products_List_2!$B:$B,0))</f>
        <v>air-cooled</v>
      </c>
      <c r="N172" s="44" t="str">
        <f>INDEX(CLEANED_MotorPH_Products_List_2!G:G,MATCH(MotorPHSales[[#This Row],[Product]],CLEANED_MotorPH_Products_List_2!$B:$B,0))</f>
        <v>125cc</v>
      </c>
      <c r="O172" s="44" t="str">
        <f>INDEX(CLEANED_MotorPH_Products_List_2!K:K,MATCH(MotorPHSales[[#This Row],[Product]],CLEANED_MotorPH_Products_List_2!B:B,0))</f>
        <v>Entry-level</v>
      </c>
      <c r="P172" s="45">
        <f>IF(MotorPHSales[[#This Row],[Segment]]="Entry-level",MotorPHSales[[#This Row],[UnitPrice]]/(1+30%),IF(MotorPHSales[[#This Row],[Segment]]="Mid-range",MotorPHSales[[#This Row],[UnitPrice]]/(1+35%),MotorPHSales[[#This Row],[UnitPrice]]/(1+40%)))*MotorPHSales[[#This Row],[Quantity]]</f>
        <v>1772307.6923076923</v>
      </c>
      <c r="Q172" s="44" t="str">
        <f>INDEX(CLEANED_MotorPH_Products_List_2!H:H,MATCH(MotorPHSales[[#This Row],[Product]],CLEANED_MotorPH_Products_List_2!$B:$B,0))</f>
        <v>4-speed</v>
      </c>
    </row>
    <row r="173" spans="1:17" ht="15.75" x14ac:dyDescent="0.3">
      <c r="A173" s="43">
        <v>45852</v>
      </c>
      <c r="B173" s="44" t="str">
        <f>TEXT(MotorPHSales[[#This Row],[Date]],"mmmm")</f>
        <v>July</v>
      </c>
      <c r="C173" s="44">
        <f>DAY(MotorPHSales[[#This Row],[Date]])</f>
        <v>14</v>
      </c>
      <c r="D173" s="44">
        <f>YEAR(MotorPHSales[[#This Row],[Date]])</f>
        <v>2025</v>
      </c>
      <c r="E173" s="44" t="s">
        <v>194</v>
      </c>
      <c r="F173" s="44" t="s">
        <v>90</v>
      </c>
      <c r="G173" s="45">
        <v>165000</v>
      </c>
      <c r="H173" s="44">
        <v>44</v>
      </c>
      <c r="I173" s="45">
        <v>7260000</v>
      </c>
      <c r="J173" s="44" t="s">
        <v>198</v>
      </c>
      <c r="K173" s="44" t="str">
        <f>INDEX(CLEANED_MotorPH_Products_List_2!C:C,MATCH(MotorPHSales[[#This Row],[Product]],CLEANED_MotorPH_Products_List_2!$B:$B,0))</f>
        <v>Sport</v>
      </c>
      <c r="L173" s="44" t="str">
        <f>INDEX(CLEANED_MotorPH_Products_List_2!E:E,MATCH(MotorPHSales[[#This Row],[Product]],CLEANED_MotorPH_Products_List_2!$B:$B,0))</f>
        <v>Single cylinder</v>
      </c>
      <c r="M173" s="44" t="str">
        <f>INDEX(CLEANED_MotorPH_Products_List_2!F:F,MATCH(MotorPHSales[[#This Row],[Product]],CLEANED_MotorPH_Products_List_2!$B:$B,0))</f>
        <v>liquid-cooled</v>
      </c>
      <c r="N173" s="44" t="str">
        <f>INDEX(CLEANED_MotorPH_Products_List_2!G:G,MATCH(MotorPHSales[[#This Row],[Product]],CLEANED_MotorPH_Products_List_2!$B:$B,0))</f>
        <v>292cc</v>
      </c>
      <c r="O173" s="44" t="str">
        <f>INDEX(CLEANED_MotorPH_Products_List_2!K:K,MATCH(MotorPHSales[[#This Row],[Product]],CLEANED_MotorPH_Products_List_2!B:B,0))</f>
        <v>Mid-range</v>
      </c>
      <c r="P173" s="45">
        <f>IF(MotorPHSales[[#This Row],[Segment]]="Entry-level",MotorPHSales[[#This Row],[UnitPrice]]/(1+30%),IF(MotorPHSales[[#This Row],[Segment]]="Mid-range",MotorPHSales[[#This Row],[UnitPrice]]/(1+35%),MotorPHSales[[#This Row],[UnitPrice]]/(1+40%)))*MotorPHSales[[#This Row],[Quantity]]</f>
        <v>5377777.777777778</v>
      </c>
      <c r="Q173" s="44" t="str">
        <f>INDEX(CLEANED_MotorPH_Products_List_2!H:H,MATCH(MotorPHSales[[#This Row],[Product]],CLEANED_MotorPH_Products_List_2!$B:$B,0))</f>
        <v>6-speed</v>
      </c>
    </row>
    <row r="174" spans="1:17" ht="15.75" x14ac:dyDescent="0.3">
      <c r="A174" s="43">
        <v>45892</v>
      </c>
      <c r="B174" s="44" t="str">
        <f>TEXT(MotorPHSales[[#This Row],[Date]],"mmmm")</f>
        <v>August</v>
      </c>
      <c r="C174" s="44">
        <f>DAY(MotorPHSales[[#This Row],[Date]])</f>
        <v>23</v>
      </c>
      <c r="D174" s="44">
        <f>YEAR(MotorPHSales[[#This Row],[Date]])</f>
        <v>2025</v>
      </c>
      <c r="E174" s="44" t="s">
        <v>196</v>
      </c>
      <c r="F174" s="44" t="s">
        <v>74</v>
      </c>
      <c r="G174" s="45">
        <v>349000</v>
      </c>
      <c r="H174" s="44">
        <v>15</v>
      </c>
      <c r="I174" s="45">
        <v>5235000</v>
      </c>
      <c r="J174" s="44" t="s">
        <v>195</v>
      </c>
      <c r="K174" s="44" t="str">
        <f>INDEX(CLEANED_MotorPH_Products_List_2!C:C,MATCH(MotorPHSales[[#This Row],[Product]],CLEANED_MotorPH_Products_List_2!$B:$B,0))</f>
        <v>Cruiser</v>
      </c>
      <c r="L174" s="44" t="str">
        <f>INDEX(CLEANED_MotorPH_Products_List_2!E:E,MATCH(MotorPHSales[[#This Row],[Product]],CLEANED_MotorPH_Products_List_2!$B:$B,0))</f>
        <v>Parallel-twin</v>
      </c>
      <c r="M174" s="44" t="str">
        <f>INDEX(CLEANED_MotorPH_Products_List_2!F:F,MATCH(MotorPHSales[[#This Row],[Product]],CLEANED_MotorPH_Products_List_2!$B:$B,0))</f>
        <v>liquid-cooled</v>
      </c>
      <c r="N174" s="44" t="str">
        <f>INDEX(CLEANED_MotorPH_Products_List_2!G:G,MATCH(MotorPHSales[[#This Row],[Product]],CLEANED_MotorPH_Products_List_2!$B:$B,0))</f>
        <v>500cc</v>
      </c>
      <c r="O174" s="44" t="str">
        <f>INDEX(CLEANED_MotorPH_Products_List_2!K:K,MATCH(MotorPHSales[[#This Row],[Product]],CLEANED_MotorPH_Products_List_2!B:B,0))</f>
        <v>Mid-range</v>
      </c>
      <c r="P174" s="45">
        <f>IF(MotorPHSales[[#This Row],[Segment]]="Entry-level",MotorPHSales[[#This Row],[UnitPrice]]/(1+30%),IF(MotorPHSales[[#This Row],[Segment]]="Mid-range",MotorPHSales[[#This Row],[UnitPrice]]/(1+35%),MotorPHSales[[#This Row],[UnitPrice]]/(1+40%)))*MotorPHSales[[#This Row],[Quantity]]</f>
        <v>3877777.7777777775</v>
      </c>
      <c r="Q174" s="44" t="str">
        <f>INDEX(CLEANED_MotorPH_Products_List_2!H:H,MATCH(MotorPHSales[[#This Row],[Product]],CLEANED_MotorPH_Products_List_2!$B:$B,0))</f>
        <v>6-speed</v>
      </c>
    </row>
    <row r="175" spans="1:17" ht="15.75" x14ac:dyDescent="0.3">
      <c r="A175" s="43">
        <v>45838</v>
      </c>
      <c r="B175" s="44" t="str">
        <f>TEXT(MotorPHSales[[#This Row],[Date]],"mmmm")</f>
        <v>June</v>
      </c>
      <c r="C175" s="44">
        <f>DAY(MotorPHSales[[#This Row],[Date]])</f>
        <v>30</v>
      </c>
      <c r="D175" s="44">
        <f>YEAR(MotorPHSales[[#This Row],[Date]])</f>
        <v>2025</v>
      </c>
      <c r="E175" s="44" t="s">
        <v>194</v>
      </c>
      <c r="F175" s="44" t="s">
        <v>78</v>
      </c>
      <c r="G175" s="45">
        <v>99900</v>
      </c>
      <c r="H175" s="44">
        <v>5</v>
      </c>
      <c r="I175" s="45">
        <v>499500</v>
      </c>
      <c r="J175" s="44" t="s">
        <v>195</v>
      </c>
      <c r="K175" s="44" t="str">
        <f>INDEX(CLEANED_MotorPH_Products_List_2!C:C,MATCH(MotorPHSales[[#This Row],[Product]],CLEANED_MotorPH_Products_List_2!$B:$B,0))</f>
        <v>Street</v>
      </c>
      <c r="L175" s="44" t="str">
        <f>INDEX(CLEANED_MotorPH_Products_List_2!E:E,MATCH(MotorPHSales[[#This Row],[Product]],CLEANED_MotorPH_Products_List_2!$B:$B,0))</f>
        <v>Single cylinder</v>
      </c>
      <c r="M175" s="44" t="str">
        <f>INDEX(CLEANED_MotorPH_Products_List_2!F:F,MATCH(MotorPHSales[[#This Row],[Product]],CLEANED_MotorPH_Products_List_2!$B:$B,0))</f>
        <v>air-cooled</v>
      </c>
      <c r="N175" s="44" t="str">
        <f>INDEX(CLEANED_MotorPH_Products_List_2!G:G,MATCH(MotorPHSales[[#This Row],[Product]],CLEANED_MotorPH_Products_List_2!$B:$B,0))</f>
        <v>149cc</v>
      </c>
      <c r="O175" s="44" t="str">
        <f>INDEX(CLEANED_MotorPH_Products_List_2!K:K,MATCH(MotorPHSales[[#This Row],[Product]],CLEANED_MotorPH_Products_List_2!B:B,0))</f>
        <v>Entry-level</v>
      </c>
      <c r="P175" s="45">
        <f>IF(MotorPHSales[[#This Row],[Segment]]="Entry-level",MotorPHSales[[#This Row],[UnitPrice]]/(1+30%),IF(MotorPHSales[[#This Row],[Segment]]="Mid-range",MotorPHSales[[#This Row],[UnitPrice]]/(1+35%),MotorPHSales[[#This Row],[UnitPrice]]/(1+40%)))*MotorPHSales[[#This Row],[Quantity]]</f>
        <v>384230.76923076925</v>
      </c>
      <c r="Q175" s="44" t="str">
        <f>INDEX(CLEANED_MotorPH_Products_List_2!H:H,MATCH(MotorPHSales[[#This Row],[Product]],CLEANED_MotorPH_Products_List_2!$B:$B,0))</f>
        <v>5-speed</v>
      </c>
    </row>
    <row r="176" spans="1:17" ht="15.75" x14ac:dyDescent="0.3">
      <c r="A176" s="43">
        <v>45870</v>
      </c>
      <c r="B176" s="44" t="str">
        <f>TEXT(MotorPHSales[[#This Row],[Date]],"mmmm")</f>
        <v>August</v>
      </c>
      <c r="C176" s="44">
        <f>DAY(MotorPHSales[[#This Row],[Date]])</f>
        <v>1</v>
      </c>
      <c r="D176" s="44">
        <f>YEAR(MotorPHSales[[#This Row],[Date]])</f>
        <v>2025</v>
      </c>
      <c r="E176" s="44" t="s">
        <v>194</v>
      </c>
      <c r="F176" s="44" t="s">
        <v>10</v>
      </c>
      <c r="G176" s="45">
        <v>340000</v>
      </c>
      <c r="H176" s="44">
        <v>10</v>
      </c>
      <c r="I176" s="45">
        <v>3400000</v>
      </c>
      <c r="J176" s="44" t="s">
        <v>198</v>
      </c>
      <c r="K176" s="44" t="str">
        <f>INDEX(CLEANED_MotorPH_Products_List_2!C:C,MATCH(MotorPHSales[[#This Row],[Product]],CLEANED_MotorPH_Products_List_2!$B:$B,0))</f>
        <v>Sport</v>
      </c>
      <c r="L176" s="44" t="str">
        <f>INDEX(CLEANED_MotorPH_Products_List_2!E:E,MATCH(MotorPHSales[[#This Row],[Product]],CLEANED_MotorPH_Products_List_2!$B:$B,0))</f>
        <v>Parallel-twin</v>
      </c>
      <c r="M176" s="44" t="str">
        <f>INDEX(CLEANED_MotorPH_Products_List_2!F:F,MATCH(MotorPHSales[[#This Row],[Product]],CLEANED_MotorPH_Products_List_2!$B:$B,0))</f>
        <v>liquid-cooled</v>
      </c>
      <c r="N176" s="44" t="str">
        <f>INDEX(CLEANED_MotorPH_Products_List_2!G:G,MATCH(MotorPHSales[[#This Row],[Product]],CLEANED_MotorPH_Products_List_2!$B:$B,0))</f>
        <v>399cc</v>
      </c>
      <c r="O176" s="44" t="str">
        <f>INDEX(CLEANED_MotorPH_Products_List_2!K:K,MATCH(MotorPHSales[[#This Row],[Product]],CLEANED_MotorPH_Products_List_2!B:B,0))</f>
        <v>Mid-range</v>
      </c>
      <c r="P176" s="45">
        <f>IF(MotorPHSales[[#This Row],[Segment]]="Entry-level",MotorPHSales[[#This Row],[UnitPrice]]/(1+30%),IF(MotorPHSales[[#This Row],[Segment]]="Mid-range",MotorPHSales[[#This Row],[UnitPrice]]/(1+35%),MotorPHSales[[#This Row],[UnitPrice]]/(1+40%)))*MotorPHSales[[#This Row],[Quantity]]</f>
        <v>2518518.5185185182</v>
      </c>
      <c r="Q176" s="44" t="str">
        <f>INDEX(CLEANED_MotorPH_Products_List_2!H:H,MATCH(MotorPHSales[[#This Row],[Product]],CLEANED_MotorPH_Products_List_2!$B:$B,0))</f>
        <v>6-speed</v>
      </c>
    </row>
    <row r="177" spans="1:17" ht="15.75" x14ac:dyDescent="0.3">
      <c r="A177" s="43">
        <v>45883</v>
      </c>
      <c r="B177" s="44" t="str">
        <f>TEXT(MotorPHSales[[#This Row],[Date]],"mmmm")</f>
        <v>August</v>
      </c>
      <c r="C177" s="44">
        <f>DAY(MotorPHSales[[#This Row],[Date]])</f>
        <v>14</v>
      </c>
      <c r="D177" s="44">
        <f>YEAR(MotorPHSales[[#This Row],[Date]])</f>
        <v>2025</v>
      </c>
      <c r="E177" s="44" t="s">
        <v>194</v>
      </c>
      <c r="F177" s="44" t="s">
        <v>46</v>
      </c>
      <c r="G177" s="45">
        <v>124000</v>
      </c>
      <c r="H177" s="44">
        <v>19</v>
      </c>
      <c r="I177" s="45">
        <v>2356000</v>
      </c>
      <c r="J177" s="44" t="s">
        <v>197</v>
      </c>
      <c r="K177" s="44" t="str">
        <f>INDEX(CLEANED_MotorPH_Products_List_2!C:C,MATCH(MotorPHSales[[#This Row],[Product]],CLEANED_MotorPH_Products_List_2!$B:$B,0))</f>
        <v>Scooter</v>
      </c>
      <c r="L177" s="44" t="str">
        <f>INDEX(CLEANED_MotorPH_Products_List_2!E:E,MATCH(MotorPHSales[[#This Row],[Product]],CLEANED_MotorPH_Products_List_2!$B:$B,0))</f>
        <v>Single cylinder</v>
      </c>
      <c r="M177" s="44" t="str">
        <f>INDEX(CLEANED_MotorPH_Products_List_2!F:F,MATCH(MotorPHSales[[#This Row],[Product]],CLEANED_MotorPH_Products_List_2!$B:$B,0))</f>
        <v>liquid-cooled</v>
      </c>
      <c r="N177" s="44" t="str">
        <f>INDEX(CLEANED_MotorPH_Products_List_2!G:G,MATCH(MotorPHSales[[#This Row],[Product]],CLEANED_MotorPH_Products_List_2!$B:$B,0))</f>
        <v>155cc</v>
      </c>
      <c r="O177" s="44" t="str">
        <f>INDEX(CLEANED_MotorPH_Products_List_2!K:K,MATCH(MotorPHSales[[#This Row],[Product]],CLEANED_MotorPH_Products_List_2!B:B,0))</f>
        <v>Entry-level</v>
      </c>
      <c r="P177" s="45">
        <f>IF(MotorPHSales[[#This Row],[Segment]]="Entry-level",MotorPHSales[[#This Row],[UnitPrice]]/(1+30%),IF(MotorPHSales[[#This Row],[Segment]]="Mid-range",MotorPHSales[[#This Row],[UnitPrice]]/(1+35%),MotorPHSales[[#This Row],[UnitPrice]]/(1+40%)))*MotorPHSales[[#This Row],[Quantity]]</f>
        <v>1812307.692307692</v>
      </c>
      <c r="Q177" s="44" t="str">
        <f>INDEX(CLEANED_MotorPH_Products_List_2!H:H,MATCH(MotorPHSales[[#This Row],[Product]],CLEANED_MotorPH_Products_List_2!$B:$B,0))</f>
        <v>CVT</v>
      </c>
    </row>
    <row r="178" spans="1:17" ht="15.75" x14ac:dyDescent="0.3">
      <c r="A178" s="43">
        <v>45900</v>
      </c>
      <c r="B178" s="44" t="str">
        <f>TEXT(MotorPHSales[[#This Row],[Date]],"mmmm")</f>
        <v>August</v>
      </c>
      <c r="C178" s="44">
        <f>DAY(MotorPHSales[[#This Row],[Date]])</f>
        <v>31</v>
      </c>
      <c r="D178" s="44">
        <f>YEAR(MotorPHSales[[#This Row],[Date]])</f>
        <v>2025</v>
      </c>
      <c r="E178" s="44" t="s">
        <v>194</v>
      </c>
      <c r="F178" s="44" t="s">
        <v>68</v>
      </c>
      <c r="G178" s="45">
        <v>248000</v>
      </c>
      <c r="H178" s="44">
        <v>13</v>
      </c>
      <c r="I178" s="45">
        <v>3224000</v>
      </c>
      <c r="J178" s="44" t="s">
        <v>197</v>
      </c>
      <c r="K178" s="44" t="str">
        <f>INDEX(CLEANED_MotorPH_Products_List_2!C:C,MATCH(MotorPHSales[[#This Row],[Product]],CLEANED_MotorPH_Products_List_2!$B:$B,0))</f>
        <v>Adventure</v>
      </c>
      <c r="L178" s="44" t="str">
        <f>INDEX(CLEANED_MotorPH_Products_List_2!E:E,MATCH(MotorPHSales[[#This Row],[Product]],CLEANED_MotorPH_Products_List_2!$B:$B,0))</f>
        <v>Single cylinder</v>
      </c>
      <c r="M178" s="44" t="str">
        <f>INDEX(CLEANED_MotorPH_Products_List_2!F:F,MATCH(MotorPHSales[[#This Row],[Product]],CLEANED_MotorPH_Products_List_2!$B:$B,0))</f>
        <v>liquid-cooled</v>
      </c>
      <c r="N178" s="44" t="str">
        <f>INDEX(CLEANED_MotorPH_Products_List_2!G:G,MATCH(MotorPHSales[[#This Row],[Product]],CLEANED_MotorPH_Products_List_2!$B:$B,0))</f>
        <v>312cc</v>
      </c>
      <c r="O178" s="44" t="str">
        <f>INDEX(CLEANED_MotorPH_Products_List_2!K:K,MATCH(MotorPHSales[[#This Row],[Product]],CLEANED_MotorPH_Products_List_2!B:B,0))</f>
        <v>Mid-range</v>
      </c>
      <c r="P178" s="45">
        <f>IF(MotorPHSales[[#This Row],[Segment]]="Entry-level",MotorPHSales[[#This Row],[UnitPrice]]/(1+30%),IF(MotorPHSales[[#This Row],[Segment]]="Mid-range",MotorPHSales[[#This Row],[UnitPrice]]/(1+35%),MotorPHSales[[#This Row],[UnitPrice]]/(1+40%)))*MotorPHSales[[#This Row],[Quantity]]</f>
        <v>2388148.1481481479</v>
      </c>
      <c r="Q178" s="44" t="str">
        <f>INDEX(CLEANED_MotorPH_Products_List_2!H:H,MATCH(MotorPHSales[[#This Row],[Product]],CLEANED_MotorPH_Products_List_2!$B:$B,0))</f>
        <v>6-speed</v>
      </c>
    </row>
    <row r="179" spans="1:17" ht="15.75" x14ac:dyDescent="0.3">
      <c r="A179" s="43">
        <v>45897</v>
      </c>
      <c r="B179" s="44" t="str">
        <f>TEXT(MotorPHSales[[#This Row],[Date]],"mmmm")</f>
        <v>August</v>
      </c>
      <c r="C179" s="44">
        <f>DAY(MotorPHSales[[#This Row],[Date]])</f>
        <v>28</v>
      </c>
      <c r="D179" s="44">
        <f>YEAR(MotorPHSales[[#This Row],[Date]])</f>
        <v>2025</v>
      </c>
      <c r="E179" s="44" t="s">
        <v>194</v>
      </c>
      <c r="F179" s="44" t="s">
        <v>28</v>
      </c>
      <c r="G179" s="45">
        <v>164900</v>
      </c>
      <c r="H179" s="44">
        <v>4</v>
      </c>
      <c r="I179" s="45">
        <v>659600</v>
      </c>
      <c r="J179" s="44" t="s">
        <v>198</v>
      </c>
      <c r="K179" s="44" t="str">
        <f>INDEX(CLEANED_MotorPH_Products_List_2!C:C,MATCH(MotorPHSales[[#This Row],[Product]],CLEANED_MotorPH_Products_List_2!$B:$B,0))</f>
        <v>Scooter</v>
      </c>
      <c r="L179" s="44" t="str">
        <f>INDEX(CLEANED_MotorPH_Products_List_2!E:E,MATCH(MotorPHSales[[#This Row],[Product]],CLEANED_MotorPH_Products_List_2!$B:$B,0))</f>
        <v>Single cylinder</v>
      </c>
      <c r="M179" s="44" t="str">
        <f>INDEX(CLEANED_MotorPH_Products_List_2!F:F,MATCH(MotorPHSales[[#This Row],[Product]],CLEANED_MotorPH_Products_List_2!$B:$B,0))</f>
        <v>liquid-cooled</v>
      </c>
      <c r="N179" s="44" t="str">
        <f>INDEX(CLEANED_MotorPH_Products_List_2!G:G,MATCH(MotorPHSales[[#This Row],[Product]],CLEANED_MotorPH_Products_List_2!$B:$B,0))</f>
        <v>157cc</v>
      </c>
      <c r="O179" s="44" t="str">
        <f>INDEX(CLEANED_MotorPH_Products_List_2!K:K,MATCH(MotorPHSales[[#This Row],[Product]],CLEANED_MotorPH_Products_List_2!B:B,0))</f>
        <v>Entry-level</v>
      </c>
      <c r="P179" s="45">
        <f>IF(MotorPHSales[[#This Row],[Segment]]="Entry-level",MotorPHSales[[#This Row],[UnitPrice]]/(1+30%),IF(MotorPHSales[[#This Row],[Segment]]="Mid-range",MotorPHSales[[#This Row],[UnitPrice]]/(1+35%),MotorPHSales[[#This Row],[UnitPrice]]/(1+40%)))*MotorPHSales[[#This Row],[Quantity]]</f>
        <v>507384.61538461538</v>
      </c>
      <c r="Q179" s="44" t="str">
        <f>INDEX(CLEANED_MotorPH_Products_List_2!H:H,MATCH(MotorPHSales[[#This Row],[Product]],CLEANED_MotorPH_Products_List_2!$B:$B,0))</f>
        <v>CVT</v>
      </c>
    </row>
    <row r="180" spans="1:17" ht="15.75" x14ac:dyDescent="0.3">
      <c r="A180" s="43">
        <v>45870</v>
      </c>
      <c r="B180" s="44" t="str">
        <f>TEXT(MotorPHSales[[#This Row],[Date]],"mmmm")</f>
        <v>August</v>
      </c>
      <c r="C180" s="44">
        <f>DAY(MotorPHSales[[#This Row],[Date]])</f>
        <v>1</v>
      </c>
      <c r="D180" s="44">
        <f>YEAR(MotorPHSales[[#This Row],[Date]])</f>
        <v>2025</v>
      </c>
      <c r="E180" s="44" t="s">
        <v>196</v>
      </c>
      <c r="F180" s="44" t="s">
        <v>84</v>
      </c>
      <c r="G180" s="45">
        <v>995000</v>
      </c>
      <c r="H180" s="44">
        <v>7</v>
      </c>
      <c r="I180" s="45">
        <v>6965000</v>
      </c>
      <c r="J180" s="44" t="s">
        <v>197</v>
      </c>
      <c r="K180" s="44" t="str">
        <f>INDEX(CLEANED_MotorPH_Products_List_2!C:C,MATCH(MotorPHSales[[#This Row],[Product]],CLEANED_MotorPH_Products_List_2!$B:$B,0))</f>
        <v>Heritage</v>
      </c>
      <c r="L180" s="44" t="str">
        <f>INDEX(CLEANED_MotorPH_Products_List_2!E:E,MATCH(MotorPHSales[[#This Row],[Product]],CLEANED_MotorPH_Products_List_2!$B:$B,0))</f>
        <v>Flat twin</v>
      </c>
      <c r="M180" s="44" t="str">
        <f>INDEX(CLEANED_MotorPH_Products_List_2!F:F,MATCH(MotorPHSales[[#This Row],[Product]],CLEANED_MotorPH_Products_List_2!$B:$B,0))</f>
        <v>air</v>
      </c>
      <c r="N180" s="44">
        <f>INDEX(CLEANED_MotorPH_Products_List_2!G:G,MATCH(MotorPHSales[[#This Row],[Product]],CLEANED_MotorPH_Products_List_2!$B:$B,0))</f>
        <v>0</v>
      </c>
      <c r="O180" s="44" t="str">
        <f>INDEX(CLEANED_MotorPH_Products_List_2!K:K,MATCH(MotorPHSales[[#This Row],[Product]],CLEANED_MotorPH_Products_List_2!B:B,0))</f>
        <v>Premium</v>
      </c>
      <c r="P180" s="45">
        <f>IF(MotorPHSales[[#This Row],[Segment]]="Entry-level",MotorPHSales[[#This Row],[UnitPrice]]/(1+30%),IF(MotorPHSales[[#This Row],[Segment]]="Mid-range",MotorPHSales[[#This Row],[UnitPrice]]/(1+35%),MotorPHSales[[#This Row],[UnitPrice]]/(1+40%)))*MotorPHSales[[#This Row],[Quantity]]</f>
        <v>4975000.0000000009</v>
      </c>
      <c r="Q180" s="44">
        <f>INDEX(CLEANED_MotorPH_Products_List_2!H:H,MATCH(MotorPHSales[[#This Row],[Product]],CLEANED_MotorPH_Products_List_2!$B:$B,0))</f>
        <v>0</v>
      </c>
    </row>
    <row r="181" spans="1:17" ht="15.75" x14ac:dyDescent="0.3">
      <c r="A181" s="43">
        <v>45809</v>
      </c>
      <c r="B181" s="44" t="str">
        <f>TEXT(MotorPHSales[[#This Row],[Date]],"mmmm")</f>
        <v>June</v>
      </c>
      <c r="C181" s="44">
        <f>DAY(MotorPHSales[[#This Row],[Date]])</f>
        <v>1</v>
      </c>
      <c r="D181" s="44">
        <f>YEAR(MotorPHSales[[#This Row],[Date]])</f>
        <v>2025</v>
      </c>
      <c r="E181" s="44" t="s">
        <v>194</v>
      </c>
      <c r="F181" s="44" t="s">
        <v>61</v>
      </c>
      <c r="G181" s="45">
        <v>284900</v>
      </c>
      <c r="H181" s="44">
        <v>32</v>
      </c>
      <c r="I181" s="45">
        <v>9116800</v>
      </c>
      <c r="J181" s="44" t="s">
        <v>198</v>
      </c>
      <c r="K181" s="44" t="str">
        <f>INDEX(CLEANED_MotorPH_Products_List_2!C:C,MATCH(MotorPHSales[[#This Row],[Product]],CLEANED_MotorPH_Products_List_2!$B:$B,0))</f>
        <v>Dual-sport</v>
      </c>
      <c r="L181" s="44" t="str">
        <f>INDEX(CLEANED_MotorPH_Products_List_2!E:E,MATCH(MotorPHSales[[#This Row],[Product]],CLEANED_MotorPH_Products_List_2!$B:$B,0))</f>
        <v>Single cylinder</v>
      </c>
      <c r="M181" s="44" t="str">
        <f>INDEX(CLEANED_MotorPH_Products_List_2!F:F,MATCH(MotorPHSales[[#This Row],[Product]],CLEANED_MotorPH_Products_List_2!$B:$B,0))</f>
        <v>liquid-cooled</v>
      </c>
      <c r="N181" s="44" t="str">
        <f>INDEX(CLEANED_MotorPH_Products_List_2!G:G,MATCH(MotorPHSales[[#This Row],[Product]],CLEANED_MotorPH_Products_List_2!$B:$B,0))</f>
        <v>286cc</v>
      </c>
      <c r="O181" s="44" t="str">
        <f>INDEX(CLEANED_MotorPH_Products_List_2!K:K,MATCH(MotorPHSales[[#This Row],[Product]],CLEANED_MotorPH_Products_List_2!B:B,0))</f>
        <v>Mid-range</v>
      </c>
      <c r="P181" s="45">
        <f>IF(MotorPHSales[[#This Row],[Segment]]="Entry-level",MotorPHSales[[#This Row],[UnitPrice]]/(1+30%),IF(MotorPHSales[[#This Row],[Segment]]="Mid-range",MotorPHSales[[#This Row],[UnitPrice]]/(1+35%),MotorPHSales[[#This Row],[UnitPrice]]/(1+40%)))*MotorPHSales[[#This Row],[Quantity]]</f>
        <v>6753185.1851851847</v>
      </c>
      <c r="Q181" s="44" t="str">
        <f>INDEX(CLEANED_MotorPH_Products_List_2!H:H,MATCH(MotorPHSales[[#This Row],[Product]],CLEANED_MotorPH_Products_List_2!$B:$B,0))</f>
        <v>6-speed</v>
      </c>
    </row>
    <row r="182" spans="1:17" ht="15.75" x14ac:dyDescent="0.3">
      <c r="A182" s="43">
        <v>45835</v>
      </c>
      <c r="B182" s="44" t="str">
        <f>TEXT(MotorPHSales[[#This Row],[Date]],"mmmm")</f>
        <v>June</v>
      </c>
      <c r="C182" s="44">
        <f>DAY(MotorPHSales[[#This Row],[Date]])</f>
        <v>27</v>
      </c>
      <c r="D182" s="44">
        <f>YEAR(MotorPHSales[[#This Row],[Date]])</f>
        <v>2025</v>
      </c>
      <c r="E182" s="44" t="s">
        <v>196</v>
      </c>
      <c r="F182" s="44" t="s">
        <v>16</v>
      </c>
      <c r="G182" s="45">
        <v>165000</v>
      </c>
      <c r="H182" s="44">
        <v>19</v>
      </c>
      <c r="I182" s="45">
        <v>3135000</v>
      </c>
      <c r="J182" s="44" t="s">
        <v>198</v>
      </c>
      <c r="K182" s="44" t="str">
        <f>INDEX(CLEANED_MotorPH_Products_List_2!C:C,MATCH(MotorPHSales[[#This Row],[Product]],CLEANED_MotorPH_Products_List_2!$B:$B,0))</f>
        <v>Naked bike</v>
      </c>
      <c r="L182" s="44" t="str">
        <f>INDEX(CLEANED_MotorPH_Products_List_2!E:E,MATCH(MotorPHSales[[#This Row],[Product]],CLEANED_MotorPH_Products_List_2!$B:$B,0))</f>
        <v>Single cylinder</v>
      </c>
      <c r="M182" s="44" t="str">
        <f>INDEX(CLEANED_MotorPH_Products_List_2!F:F,MATCH(MotorPHSales[[#This Row],[Product]],CLEANED_MotorPH_Products_List_2!$B:$B,0))</f>
        <v>liquid-cooled</v>
      </c>
      <c r="N182" s="44" t="str">
        <f>INDEX(CLEANED_MotorPH_Products_List_2!G:G,MATCH(MotorPHSales[[#This Row],[Product]],CLEANED_MotorPH_Products_List_2!$B:$B,0))</f>
        <v>292cc</v>
      </c>
      <c r="O182" s="44" t="str">
        <f>INDEX(CLEANED_MotorPH_Products_List_2!K:K,MATCH(MotorPHSales[[#This Row],[Product]],CLEANED_MotorPH_Products_List_2!B:B,0))</f>
        <v>Mid-range</v>
      </c>
      <c r="P182" s="45">
        <f>IF(MotorPHSales[[#This Row],[Segment]]="Entry-level",MotorPHSales[[#This Row],[UnitPrice]]/(1+30%),IF(MotorPHSales[[#This Row],[Segment]]="Mid-range",MotorPHSales[[#This Row],[UnitPrice]]/(1+35%),MotorPHSales[[#This Row],[UnitPrice]]/(1+40%)))*MotorPHSales[[#This Row],[Quantity]]</f>
        <v>2322222.222222222</v>
      </c>
      <c r="Q182" s="44" t="str">
        <f>INDEX(CLEANED_MotorPH_Products_List_2!H:H,MATCH(MotorPHSales[[#This Row],[Product]],CLEANED_MotorPH_Products_List_2!$B:$B,0))</f>
        <v>6-speed</v>
      </c>
    </row>
    <row r="183" spans="1:17" ht="15.75" x14ac:dyDescent="0.3">
      <c r="A183" s="43">
        <v>45870</v>
      </c>
      <c r="B183" s="44" t="str">
        <f>TEXT(MotorPHSales[[#This Row],[Date]],"mmmm")</f>
        <v>August</v>
      </c>
      <c r="C183" s="44">
        <f>DAY(MotorPHSales[[#This Row],[Date]])</f>
        <v>1</v>
      </c>
      <c r="D183" s="44">
        <f>YEAR(MotorPHSales[[#This Row],[Date]])</f>
        <v>2025</v>
      </c>
      <c r="E183" s="44" t="s">
        <v>194</v>
      </c>
      <c r="F183" s="44" t="s">
        <v>26</v>
      </c>
      <c r="G183" s="45">
        <v>151900</v>
      </c>
      <c r="H183" s="44">
        <v>20</v>
      </c>
      <c r="I183" s="45">
        <v>3038000</v>
      </c>
      <c r="J183" s="44" t="s">
        <v>195</v>
      </c>
      <c r="K183" s="44" t="str">
        <f>INDEX(CLEANED_MotorPH_Products_List_2!C:C,MATCH(MotorPHSales[[#This Row],[Product]],CLEANED_MotorPH_Products_List_2!$B:$B,0))</f>
        <v>Scooter</v>
      </c>
      <c r="L183" s="44" t="str">
        <f>INDEX(CLEANED_MotorPH_Products_List_2!E:E,MATCH(MotorPHSales[[#This Row],[Product]],CLEANED_MotorPH_Products_List_2!$B:$B,0))</f>
        <v>Single cylinder</v>
      </c>
      <c r="M183" s="44" t="str">
        <f>INDEX(CLEANED_MotorPH_Products_List_2!F:F,MATCH(MotorPHSales[[#This Row],[Product]],CLEANED_MotorPH_Products_List_2!$B:$B,0))</f>
        <v>liquid-cooled</v>
      </c>
      <c r="N183" s="44" t="str">
        <f>INDEX(CLEANED_MotorPH_Products_List_2!G:G,MATCH(MotorPHSales[[#This Row],[Product]],CLEANED_MotorPH_Products_List_2!$B:$B,0))</f>
        <v>155cc</v>
      </c>
      <c r="O183" s="44" t="str">
        <f>INDEX(CLEANED_MotorPH_Products_List_2!K:K,MATCH(MotorPHSales[[#This Row],[Product]],CLEANED_MotorPH_Products_List_2!B:B,0))</f>
        <v>Entry-level</v>
      </c>
      <c r="P183" s="45">
        <f>IF(MotorPHSales[[#This Row],[Segment]]="Entry-level",MotorPHSales[[#This Row],[UnitPrice]]/(1+30%),IF(MotorPHSales[[#This Row],[Segment]]="Mid-range",MotorPHSales[[#This Row],[UnitPrice]]/(1+35%),MotorPHSales[[#This Row],[UnitPrice]]/(1+40%)))*MotorPHSales[[#This Row],[Quantity]]</f>
        <v>2336923.076923077</v>
      </c>
      <c r="Q183" s="44" t="str">
        <f>INDEX(CLEANED_MotorPH_Products_List_2!H:H,MATCH(MotorPHSales[[#This Row],[Product]],CLEANED_MotorPH_Products_List_2!$B:$B,0))</f>
        <v>CVT</v>
      </c>
    </row>
    <row r="184" spans="1:17" ht="15.75" x14ac:dyDescent="0.3">
      <c r="A184" s="43">
        <v>45885</v>
      </c>
      <c r="B184" s="44" t="str">
        <f>TEXT(MotorPHSales[[#This Row],[Date]],"mmmm")</f>
        <v>August</v>
      </c>
      <c r="C184" s="44">
        <f>DAY(MotorPHSales[[#This Row],[Date]])</f>
        <v>16</v>
      </c>
      <c r="D184" s="44">
        <f>YEAR(MotorPHSales[[#This Row],[Date]])</f>
        <v>2025</v>
      </c>
      <c r="E184" s="44" t="s">
        <v>196</v>
      </c>
      <c r="F184" s="44" t="s">
        <v>16</v>
      </c>
      <c r="G184" s="45">
        <v>165000</v>
      </c>
      <c r="H184" s="44">
        <v>20</v>
      </c>
      <c r="I184" s="45">
        <v>3300000</v>
      </c>
      <c r="J184" s="44" t="s">
        <v>198</v>
      </c>
      <c r="K184" s="44" t="str">
        <f>INDEX(CLEANED_MotorPH_Products_List_2!C:C,MATCH(MotorPHSales[[#This Row],[Product]],CLEANED_MotorPH_Products_List_2!$B:$B,0))</f>
        <v>Naked bike</v>
      </c>
      <c r="L184" s="44" t="str">
        <f>INDEX(CLEANED_MotorPH_Products_List_2!E:E,MATCH(MotorPHSales[[#This Row],[Product]],CLEANED_MotorPH_Products_List_2!$B:$B,0))</f>
        <v>Single cylinder</v>
      </c>
      <c r="M184" s="44" t="str">
        <f>INDEX(CLEANED_MotorPH_Products_List_2!F:F,MATCH(MotorPHSales[[#This Row],[Product]],CLEANED_MotorPH_Products_List_2!$B:$B,0))</f>
        <v>liquid-cooled</v>
      </c>
      <c r="N184" s="44" t="str">
        <f>INDEX(CLEANED_MotorPH_Products_List_2!G:G,MATCH(MotorPHSales[[#This Row],[Product]],CLEANED_MotorPH_Products_List_2!$B:$B,0))</f>
        <v>292cc</v>
      </c>
      <c r="O184" s="44" t="str">
        <f>INDEX(CLEANED_MotorPH_Products_List_2!K:K,MATCH(MotorPHSales[[#This Row],[Product]],CLEANED_MotorPH_Products_List_2!B:B,0))</f>
        <v>Mid-range</v>
      </c>
      <c r="P184" s="45">
        <f>IF(MotorPHSales[[#This Row],[Segment]]="Entry-level",MotorPHSales[[#This Row],[UnitPrice]]/(1+30%),IF(MotorPHSales[[#This Row],[Segment]]="Mid-range",MotorPHSales[[#This Row],[UnitPrice]]/(1+35%),MotorPHSales[[#This Row],[UnitPrice]]/(1+40%)))*MotorPHSales[[#This Row],[Quantity]]</f>
        <v>2444444.4444444445</v>
      </c>
      <c r="Q184" s="44" t="str">
        <f>INDEX(CLEANED_MotorPH_Products_List_2!H:H,MATCH(MotorPHSales[[#This Row],[Product]],CLEANED_MotorPH_Products_List_2!$B:$B,0))</f>
        <v>6-speed</v>
      </c>
    </row>
    <row r="185" spans="1:17" ht="15.75" x14ac:dyDescent="0.3">
      <c r="A185" s="43">
        <v>45811</v>
      </c>
      <c r="B185" s="44" t="str">
        <f>TEXT(MotorPHSales[[#This Row],[Date]],"mmmm")</f>
        <v>June</v>
      </c>
      <c r="C185" s="44">
        <f>DAY(MotorPHSales[[#This Row],[Date]])</f>
        <v>3</v>
      </c>
      <c r="D185" s="44">
        <f>YEAR(MotorPHSales[[#This Row],[Date]])</f>
        <v>2025</v>
      </c>
      <c r="E185" s="44" t="s">
        <v>194</v>
      </c>
      <c r="F185" s="44" t="s">
        <v>90</v>
      </c>
      <c r="G185" s="45">
        <v>495000</v>
      </c>
      <c r="H185" s="44">
        <v>7</v>
      </c>
      <c r="I185" s="45">
        <v>1155000</v>
      </c>
      <c r="J185" s="44" t="s">
        <v>198</v>
      </c>
      <c r="K185" s="44" t="str">
        <f>INDEX(CLEANED_MotorPH_Products_List_2!C:C,MATCH(MotorPHSales[[#This Row],[Product]],CLEANED_MotorPH_Products_List_2!$B:$B,0))</f>
        <v>Sport</v>
      </c>
      <c r="L185" s="44" t="str">
        <f>INDEX(CLEANED_MotorPH_Products_List_2!E:E,MATCH(MotorPHSales[[#This Row],[Product]],CLEANED_MotorPH_Products_List_2!$B:$B,0))</f>
        <v>Single cylinder</v>
      </c>
      <c r="M185" s="44" t="str">
        <f>INDEX(CLEANED_MotorPH_Products_List_2!F:F,MATCH(MotorPHSales[[#This Row],[Product]],CLEANED_MotorPH_Products_List_2!$B:$B,0))</f>
        <v>liquid-cooled</v>
      </c>
      <c r="N185" s="44" t="str">
        <f>INDEX(CLEANED_MotorPH_Products_List_2!G:G,MATCH(MotorPHSales[[#This Row],[Product]],CLEANED_MotorPH_Products_List_2!$B:$B,0))</f>
        <v>292cc</v>
      </c>
      <c r="O185" s="44" t="str">
        <f>INDEX(CLEANED_MotorPH_Products_List_2!K:K,MATCH(MotorPHSales[[#This Row],[Product]],CLEANED_MotorPH_Products_List_2!B:B,0))</f>
        <v>Mid-range</v>
      </c>
      <c r="P185" s="45">
        <f>IF(MotorPHSales[[#This Row],[Segment]]="Entry-level",MotorPHSales[[#This Row],[UnitPrice]]/(1+30%),IF(MotorPHSales[[#This Row],[Segment]]="Mid-range",MotorPHSales[[#This Row],[UnitPrice]]/(1+35%),MotorPHSales[[#This Row],[UnitPrice]]/(1+40%)))*MotorPHSales[[#This Row],[Quantity]]</f>
        <v>2566666.6666666665</v>
      </c>
      <c r="Q185" s="44" t="str">
        <f>INDEX(CLEANED_MotorPH_Products_List_2!H:H,MATCH(MotorPHSales[[#This Row],[Product]],CLEANED_MotorPH_Products_List_2!$B:$B,0))</f>
        <v>6-speed</v>
      </c>
    </row>
    <row r="186" spans="1:17" ht="15.75" x14ac:dyDescent="0.3">
      <c r="A186" s="43">
        <v>45880</v>
      </c>
      <c r="B186" s="44" t="str">
        <f>TEXT(MotorPHSales[[#This Row],[Date]],"mmmm")</f>
        <v>August</v>
      </c>
      <c r="C186" s="44">
        <f>DAY(MotorPHSales[[#This Row],[Date]])</f>
        <v>11</v>
      </c>
      <c r="D186" s="44">
        <f>YEAR(MotorPHSales[[#This Row],[Date]])</f>
        <v>2025</v>
      </c>
      <c r="E186" s="44" t="s">
        <v>196</v>
      </c>
      <c r="F186" s="44" t="s">
        <v>44</v>
      </c>
      <c r="G186" s="45">
        <v>331000</v>
      </c>
      <c r="H186" s="44">
        <v>14</v>
      </c>
      <c r="I186" s="45">
        <v>4634000</v>
      </c>
      <c r="J186" s="44" t="s">
        <v>195</v>
      </c>
      <c r="K186" s="44" t="str">
        <f>INDEX(CLEANED_MotorPH_Products_List_2!C:C,MATCH(MotorPHSales[[#This Row],[Product]],CLEANED_MotorPH_Products_List_2!$B:$B,0))</f>
        <v>Naked bike</v>
      </c>
      <c r="L186" s="44" t="str">
        <f>INDEX(CLEANED_MotorPH_Products_List_2!E:E,MATCH(MotorPHSales[[#This Row],[Product]],CLEANED_MotorPH_Products_List_2!$B:$B,0))</f>
        <v>Parallel-twin</v>
      </c>
      <c r="M186" s="44" t="str">
        <f>INDEX(CLEANED_MotorPH_Products_List_2!F:F,MATCH(MotorPHSales[[#This Row],[Product]],CLEANED_MotorPH_Products_List_2!$B:$B,0))</f>
        <v>liquid-cooled</v>
      </c>
      <c r="N186" s="44" t="str">
        <f>INDEX(CLEANED_MotorPH_Products_List_2!G:G,MATCH(MotorPHSales[[#This Row],[Product]],CLEANED_MotorPH_Products_List_2!$B:$B,0))</f>
        <v>399cc</v>
      </c>
      <c r="O186" s="44" t="str">
        <f>INDEX(CLEANED_MotorPH_Products_List_2!K:K,MATCH(MotorPHSales[[#This Row],[Product]],CLEANED_MotorPH_Products_List_2!B:B,0))</f>
        <v>Mid-range</v>
      </c>
      <c r="P186" s="45">
        <f>IF(MotorPHSales[[#This Row],[Segment]]="Entry-level",MotorPHSales[[#This Row],[UnitPrice]]/(1+30%),IF(MotorPHSales[[#This Row],[Segment]]="Mid-range",MotorPHSales[[#This Row],[UnitPrice]]/(1+35%),MotorPHSales[[#This Row],[UnitPrice]]/(1+40%)))*MotorPHSales[[#This Row],[Quantity]]</f>
        <v>3432592.5925925924</v>
      </c>
      <c r="Q186" s="44" t="str">
        <f>INDEX(CLEANED_MotorPH_Products_List_2!H:H,MATCH(MotorPHSales[[#This Row],[Product]],CLEANED_MotorPH_Products_List_2!$B:$B,0))</f>
        <v>6-speed</v>
      </c>
    </row>
    <row r="187" spans="1:17" ht="15.75" x14ac:dyDescent="0.3">
      <c r="A187" s="43">
        <v>45835</v>
      </c>
      <c r="B187" s="44" t="str">
        <f>TEXT(MotorPHSales[[#This Row],[Date]],"mmmm")</f>
        <v>June</v>
      </c>
      <c r="C187" s="44">
        <f>DAY(MotorPHSales[[#This Row],[Date]])</f>
        <v>27</v>
      </c>
      <c r="D187" s="44">
        <f>YEAR(MotorPHSales[[#This Row],[Date]])</f>
        <v>2025</v>
      </c>
      <c r="E187" s="44" t="s">
        <v>194</v>
      </c>
      <c r="F187" s="44" t="s">
        <v>55</v>
      </c>
      <c r="G187" s="45">
        <v>80900</v>
      </c>
      <c r="H187" s="44">
        <v>3</v>
      </c>
      <c r="I187" s="45">
        <v>242700</v>
      </c>
      <c r="J187" s="44" t="s">
        <v>195</v>
      </c>
      <c r="K187" s="44" t="str">
        <f>INDEX(CLEANED_MotorPH_Products_List_2!C:C,MATCH(MotorPHSales[[#This Row],[Product]],CLEANED_MotorPH_Products_List_2!$B:$B,0))</f>
        <v>Scooter</v>
      </c>
      <c r="L187" s="44" t="str">
        <f>INDEX(CLEANED_MotorPH_Products_List_2!E:E,MATCH(MotorPHSales[[#This Row],[Product]],CLEANED_MotorPH_Products_List_2!$B:$B,0))</f>
        <v>Single cylinder</v>
      </c>
      <c r="M187" s="44" t="str">
        <f>INDEX(CLEANED_MotorPH_Products_List_2!F:F,MATCH(MotorPHSales[[#This Row],[Product]],CLEANED_MotorPH_Products_List_2!$B:$B,0))</f>
        <v>liquid-cooled</v>
      </c>
      <c r="N187" s="44" t="str">
        <f>INDEX(CLEANED_MotorPH_Products_List_2!G:G,MATCH(MotorPHSales[[#This Row],[Product]],CLEANED_MotorPH_Products_List_2!$B:$B,0))</f>
        <v>125cc</v>
      </c>
      <c r="O187" s="44" t="str">
        <f>INDEX(CLEANED_MotorPH_Products_List_2!K:K,MATCH(MotorPHSales[[#This Row],[Product]],CLEANED_MotorPH_Products_List_2!B:B,0))</f>
        <v>Entry-level</v>
      </c>
      <c r="P187" s="45">
        <f>IF(MotorPHSales[[#This Row],[Segment]]="Entry-level",MotorPHSales[[#This Row],[UnitPrice]]/(1+30%),IF(MotorPHSales[[#This Row],[Segment]]="Mid-range",MotorPHSales[[#This Row],[UnitPrice]]/(1+35%),MotorPHSales[[#This Row],[UnitPrice]]/(1+40%)))*MotorPHSales[[#This Row],[Quantity]]</f>
        <v>186692.30769230769</v>
      </c>
      <c r="Q187" s="44" t="str">
        <f>INDEX(CLEANED_MotorPH_Products_List_2!H:H,MATCH(MotorPHSales[[#This Row],[Product]],CLEANED_MotorPH_Products_List_2!$B:$B,0))</f>
        <v>CVT</v>
      </c>
    </row>
    <row r="188" spans="1:17" ht="15.75" x14ac:dyDescent="0.3">
      <c r="A188" s="43">
        <v>45817</v>
      </c>
      <c r="B188" s="44" t="str">
        <f>TEXT(MotorPHSales[[#This Row],[Date]],"mmmm")</f>
        <v>June</v>
      </c>
      <c r="C188" s="44">
        <f>DAY(MotorPHSales[[#This Row],[Date]])</f>
        <v>9</v>
      </c>
      <c r="D188" s="44">
        <f>YEAR(MotorPHSales[[#This Row],[Date]])</f>
        <v>2025</v>
      </c>
      <c r="E188" s="44" t="s">
        <v>196</v>
      </c>
      <c r="F188" s="44" t="s">
        <v>101</v>
      </c>
      <c r="G188" s="45">
        <v>72900</v>
      </c>
      <c r="H188" s="44">
        <v>11</v>
      </c>
      <c r="I188" s="45">
        <v>801900</v>
      </c>
      <c r="J188" s="44" t="s">
        <v>197</v>
      </c>
      <c r="K188" s="44" t="str">
        <f>INDEX(CLEANED_MotorPH_Products_List_2!C:C,MATCH(MotorPHSales[[#This Row],[Product]],CLEANED_MotorPH_Products_List_2!$B:$B,0))</f>
        <v>Underbone</v>
      </c>
      <c r="L188" s="44" t="str">
        <f>INDEX(CLEANED_MotorPH_Products_List_2!E:E,MATCH(MotorPHSales[[#This Row],[Product]],CLEANED_MotorPH_Products_List_2!$B:$B,0))</f>
        <v>Single cylinder</v>
      </c>
      <c r="M188" s="44" t="str">
        <f>INDEX(CLEANED_MotorPH_Products_List_2!F:F,MATCH(MotorPHSales[[#This Row],[Product]],CLEANED_MotorPH_Products_List_2!$B:$B,0))</f>
        <v>air-cooled</v>
      </c>
      <c r="N188" s="44" t="str">
        <f>INDEX(CLEANED_MotorPH_Products_List_2!G:G,MATCH(MotorPHSales[[#This Row],[Product]],CLEANED_MotorPH_Products_List_2!$B:$B,0))</f>
        <v>150cc</v>
      </c>
      <c r="O188" s="44" t="str">
        <f>INDEX(CLEANED_MotorPH_Products_List_2!K:K,MATCH(MotorPHSales[[#This Row],[Product]],CLEANED_MotorPH_Products_List_2!B:B,0))</f>
        <v>Entry-level</v>
      </c>
      <c r="P188" s="45">
        <f>IF(MotorPHSales[[#This Row],[Segment]]="Entry-level",MotorPHSales[[#This Row],[UnitPrice]]/(1+30%),IF(MotorPHSales[[#This Row],[Segment]]="Mid-range",MotorPHSales[[#This Row],[UnitPrice]]/(1+35%),MotorPHSales[[#This Row],[UnitPrice]]/(1+40%)))*MotorPHSales[[#This Row],[Quantity]]</f>
        <v>616846.15384615387</v>
      </c>
      <c r="Q188" s="44" t="str">
        <f>INDEX(CLEANED_MotorPH_Products_List_2!H:H,MATCH(MotorPHSales[[#This Row],[Product]],CLEANED_MotorPH_Products_List_2!$B:$B,0))</f>
        <v>CVT</v>
      </c>
    </row>
    <row r="189" spans="1:17" ht="15.75" x14ac:dyDescent="0.3">
      <c r="A189" s="43">
        <v>45870</v>
      </c>
      <c r="B189" s="44" t="str">
        <f>TEXT(MotorPHSales[[#This Row],[Date]],"mmmm")</f>
        <v>August</v>
      </c>
      <c r="C189" s="44">
        <f>DAY(MotorPHSales[[#This Row],[Date]])</f>
        <v>1</v>
      </c>
      <c r="D189" s="44">
        <f>YEAR(MotorPHSales[[#This Row],[Date]])</f>
        <v>2025</v>
      </c>
      <c r="E189" s="44" t="s">
        <v>196</v>
      </c>
      <c r="F189" s="44" t="s">
        <v>32</v>
      </c>
      <c r="G189" s="45">
        <v>198000</v>
      </c>
      <c r="H189" s="44">
        <v>3</v>
      </c>
      <c r="I189" s="45">
        <v>594000</v>
      </c>
      <c r="J189" s="44" t="s">
        <v>195</v>
      </c>
      <c r="K189" s="44" t="str">
        <f>INDEX(CLEANED_MotorPH_Products_List_2!C:C,MATCH(MotorPHSales[[#This Row],[Product]],CLEANED_MotorPH_Products_List_2!$B:$B,0))</f>
        <v>Sport</v>
      </c>
      <c r="L189" s="44" t="str">
        <f>INDEX(CLEANED_MotorPH_Products_List_2!E:E,MATCH(MotorPHSales[[#This Row],[Product]],CLEANED_MotorPH_Products_List_2!$B:$B,0))</f>
        <v>Single cylinder</v>
      </c>
      <c r="M189" s="44" t="str">
        <f>INDEX(CLEANED_MotorPH_Products_List_2!F:F,MATCH(MotorPHSales[[#This Row],[Product]],CLEANED_MotorPH_Products_List_2!$B:$B,0))</f>
        <v>liquid-cooled</v>
      </c>
      <c r="N189" s="44" t="str">
        <f>INDEX(CLEANED_MotorPH_Products_List_2!G:G,MATCH(MotorPHSales[[#This Row],[Product]],CLEANED_MotorPH_Products_List_2!$B:$B,0))</f>
        <v>199cc</v>
      </c>
      <c r="O189" s="44" t="str">
        <f>INDEX(CLEANED_MotorPH_Products_List_2!K:K,MATCH(MotorPHSales[[#This Row],[Product]],CLEANED_MotorPH_Products_List_2!B:B,0))</f>
        <v>Entry-level</v>
      </c>
      <c r="P189" s="45">
        <f>IF(MotorPHSales[[#This Row],[Segment]]="Entry-level",MotorPHSales[[#This Row],[UnitPrice]]/(1+30%),IF(MotorPHSales[[#This Row],[Segment]]="Mid-range",MotorPHSales[[#This Row],[UnitPrice]]/(1+35%),MotorPHSales[[#This Row],[UnitPrice]]/(1+40%)))*MotorPHSales[[#This Row],[Quantity]]</f>
        <v>456923.07692307694</v>
      </c>
      <c r="Q189" s="44" t="str">
        <f>INDEX(CLEANED_MotorPH_Products_List_2!H:H,MATCH(MotorPHSales[[#This Row],[Product]],CLEANED_MotorPH_Products_List_2!$B:$B,0))</f>
        <v>6-speed</v>
      </c>
    </row>
    <row r="190" spans="1:17" ht="15.75" x14ac:dyDescent="0.3">
      <c r="A190" s="43">
        <v>45845</v>
      </c>
      <c r="B190" s="44" t="str">
        <f>TEXT(MotorPHSales[[#This Row],[Date]],"mmmm")</f>
        <v>July</v>
      </c>
      <c r="C190" s="44">
        <f>DAY(MotorPHSales[[#This Row],[Date]])</f>
        <v>7</v>
      </c>
      <c r="D190" s="44">
        <f>YEAR(MotorPHSales[[#This Row],[Date]])</f>
        <v>2025</v>
      </c>
      <c r="E190" s="44" t="s">
        <v>194</v>
      </c>
      <c r="F190" s="44" t="s">
        <v>82</v>
      </c>
      <c r="G190" s="45">
        <v>199000</v>
      </c>
      <c r="H190" s="44">
        <v>9</v>
      </c>
      <c r="I190" s="45">
        <v>1791000</v>
      </c>
      <c r="J190" s="44" t="s">
        <v>195</v>
      </c>
      <c r="K190" s="44" t="str">
        <f>INDEX(CLEANED_MotorPH_Products_List_2!C:C,MATCH(MotorPHSales[[#This Row],[Product]],CLEANED_MotorPH_Products_List_2!$B:$B,0))</f>
        <v>Dual-sport</v>
      </c>
      <c r="L190" s="44" t="str">
        <f>INDEX(CLEANED_MotorPH_Products_List_2!E:E,MATCH(MotorPHSales[[#This Row],[Product]],CLEANED_MotorPH_Products_List_2!$B:$B,0))</f>
        <v>Single cylinder</v>
      </c>
      <c r="M190" s="44" t="str">
        <f>INDEX(CLEANED_MotorPH_Products_List_2!F:F,MATCH(MotorPHSales[[#This Row],[Product]],CLEANED_MotorPH_Products_List_2!$B:$B,0))</f>
        <v>air-cooled</v>
      </c>
      <c r="N190" s="44" t="str">
        <f>INDEX(CLEANED_MotorPH_Products_List_2!G:G,MATCH(MotorPHSales[[#This Row],[Product]],CLEANED_MotorPH_Products_List_2!$B:$B,0))</f>
        <v>233cc</v>
      </c>
      <c r="O190" s="44" t="str">
        <f>INDEX(CLEANED_MotorPH_Products_List_2!K:K,MATCH(MotorPHSales[[#This Row],[Product]],CLEANED_MotorPH_Products_List_2!B:B,0))</f>
        <v>Mid-range</v>
      </c>
      <c r="P190" s="45">
        <f>IF(MotorPHSales[[#This Row],[Segment]]="Entry-level",MotorPHSales[[#This Row],[UnitPrice]]/(1+30%),IF(MotorPHSales[[#This Row],[Segment]]="Mid-range",MotorPHSales[[#This Row],[UnitPrice]]/(1+35%),MotorPHSales[[#This Row],[UnitPrice]]/(1+40%)))*MotorPHSales[[#This Row],[Quantity]]</f>
        <v>1326666.6666666665</v>
      </c>
      <c r="Q190" s="44" t="str">
        <f>INDEX(CLEANED_MotorPH_Products_List_2!H:H,MATCH(MotorPHSales[[#This Row],[Product]],CLEANED_MotorPH_Products_List_2!$B:$B,0))</f>
        <v>6-speed</v>
      </c>
    </row>
    <row r="191" spans="1:17" ht="15.75" x14ac:dyDescent="0.3">
      <c r="A191" s="43">
        <v>45859</v>
      </c>
      <c r="B191" s="44" t="str">
        <f>TEXT(MotorPHSales[[#This Row],[Date]],"mmmm")</f>
        <v>July</v>
      </c>
      <c r="C191" s="44">
        <f>DAY(MotorPHSales[[#This Row],[Date]])</f>
        <v>21</v>
      </c>
      <c r="D191" s="44">
        <f>YEAR(MotorPHSales[[#This Row],[Date]])</f>
        <v>2025</v>
      </c>
      <c r="E191" s="44" t="s">
        <v>194</v>
      </c>
      <c r="F191" s="44" t="s">
        <v>92</v>
      </c>
      <c r="G191" s="45">
        <v>289000</v>
      </c>
      <c r="H191" s="44">
        <v>30</v>
      </c>
      <c r="I191" s="45">
        <v>8670000</v>
      </c>
      <c r="J191" s="44" t="s">
        <v>198</v>
      </c>
      <c r="K191" s="44" t="str">
        <f>INDEX(CLEANED_MotorPH_Products_List_2!C:C,MATCH(MotorPHSales[[#This Row],[Product]],CLEANED_MotorPH_Products_List_2!$B:$B,0))</f>
        <v>Scooter</v>
      </c>
      <c r="L191" s="44" t="str">
        <f>INDEX(CLEANED_MotorPH_Products_List_2!E:E,MATCH(MotorPHSales[[#This Row],[Product]],CLEANED_MotorPH_Products_List_2!$B:$B,0))</f>
        <v>Single cylinder</v>
      </c>
      <c r="M191" s="44" t="str">
        <f>INDEX(CLEANED_MotorPH_Products_List_2!F:F,MATCH(MotorPHSales[[#This Row],[Product]],CLEANED_MotorPH_Products_List_2!$B:$B,0))</f>
        <v>liquid-cooled</v>
      </c>
      <c r="N191" s="44" t="str">
        <f>INDEX(CLEANED_MotorPH_Products_List_2!G:G,MATCH(MotorPHSales[[#This Row],[Product]],CLEANED_MotorPH_Products_List_2!$B:$B,0))</f>
        <v>181cc</v>
      </c>
      <c r="O191" s="44" t="str">
        <f>INDEX(CLEANED_MotorPH_Products_List_2!K:K,MATCH(MotorPHSales[[#This Row],[Product]],CLEANED_MotorPH_Products_List_2!B:B,0))</f>
        <v>Entry-level</v>
      </c>
      <c r="P191" s="45">
        <f>IF(MotorPHSales[[#This Row],[Segment]]="Entry-level",MotorPHSales[[#This Row],[UnitPrice]]/(1+30%),IF(MotorPHSales[[#This Row],[Segment]]="Mid-range",MotorPHSales[[#This Row],[UnitPrice]]/(1+35%),MotorPHSales[[#This Row],[UnitPrice]]/(1+40%)))*MotorPHSales[[#This Row],[Quantity]]</f>
        <v>6669230.769230769</v>
      </c>
      <c r="Q191" s="44" t="str">
        <f>INDEX(CLEANED_MotorPH_Products_List_2!H:H,MATCH(MotorPHSales[[#This Row],[Product]],CLEANED_MotorPH_Products_List_2!$B:$B,0))</f>
        <v>CVT</v>
      </c>
    </row>
    <row r="192" spans="1:17" ht="15.75" x14ac:dyDescent="0.3">
      <c r="A192" s="43">
        <v>45852</v>
      </c>
      <c r="B192" s="44" t="str">
        <f>TEXT(MotorPHSales[[#This Row],[Date]],"mmmm")</f>
        <v>July</v>
      </c>
      <c r="C192" s="44">
        <f>DAY(MotorPHSales[[#This Row],[Date]])</f>
        <v>14</v>
      </c>
      <c r="D192" s="44">
        <f>YEAR(MotorPHSales[[#This Row],[Date]])</f>
        <v>2025</v>
      </c>
      <c r="E192" s="44" t="s">
        <v>194</v>
      </c>
      <c r="F192" s="44" t="s">
        <v>30</v>
      </c>
      <c r="G192" s="45">
        <v>79900</v>
      </c>
      <c r="H192" s="44">
        <v>4</v>
      </c>
      <c r="I192" s="45">
        <v>319600</v>
      </c>
      <c r="J192" s="44" t="s">
        <v>198</v>
      </c>
      <c r="K192" s="44" t="str">
        <f>INDEX(CLEANED_MotorPH_Products_List_2!C:C,MATCH(MotorPHSales[[#This Row],[Product]],CLEANED_MotorPH_Products_List_2!$B:$B,0))</f>
        <v>Scooter</v>
      </c>
      <c r="L192" s="44" t="str">
        <f>INDEX(CLEANED_MotorPH_Products_List_2!E:E,MATCH(MotorPHSales[[#This Row],[Product]],CLEANED_MotorPH_Products_List_2!$B:$B,0))</f>
        <v>Single cylinder</v>
      </c>
      <c r="M192" s="44" t="str">
        <f>INDEX(CLEANED_MotorPH_Products_List_2!F:F,MATCH(MotorPHSales[[#This Row],[Product]],CLEANED_MotorPH_Products_List_2!$B:$B,0))</f>
        <v>air-cooled</v>
      </c>
      <c r="N192" s="44" t="str">
        <f>INDEX(CLEANED_MotorPH_Products_List_2!G:G,MATCH(MotorPHSales[[#This Row],[Product]],CLEANED_MotorPH_Products_List_2!$B:$B,0))</f>
        <v>124cc</v>
      </c>
      <c r="O192" s="44" t="str">
        <f>INDEX(CLEANED_MotorPH_Products_List_2!K:K,MATCH(MotorPHSales[[#This Row],[Product]],CLEANED_MotorPH_Products_List_2!B:B,0))</f>
        <v>Entry-level</v>
      </c>
      <c r="P192" s="45">
        <f>IF(MotorPHSales[[#This Row],[Segment]]="Entry-level",MotorPHSales[[#This Row],[UnitPrice]]/(1+30%),IF(MotorPHSales[[#This Row],[Segment]]="Mid-range",MotorPHSales[[#This Row],[UnitPrice]]/(1+35%),MotorPHSales[[#This Row],[UnitPrice]]/(1+40%)))*MotorPHSales[[#This Row],[Quantity]]</f>
        <v>245846.15384615384</v>
      </c>
      <c r="Q192" s="44" t="str">
        <f>INDEX(CLEANED_MotorPH_Products_List_2!H:H,MATCH(MotorPHSales[[#This Row],[Product]],CLEANED_MotorPH_Products_List_2!$B:$B,0))</f>
        <v>CVT</v>
      </c>
    </row>
    <row r="193" spans="1:17" ht="15.75" x14ac:dyDescent="0.3">
      <c r="A193" s="43">
        <v>45832</v>
      </c>
      <c r="B193" s="44" t="str">
        <f>TEXT(MotorPHSales[[#This Row],[Date]],"mmmm")</f>
        <v>June</v>
      </c>
      <c r="C193" s="44">
        <f>DAY(MotorPHSales[[#This Row],[Date]])</f>
        <v>24</v>
      </c>
      <c r="D193" s="44">
        <f>YEAR(MotorPHSales[[#This Row],[Date]])</f>
        <v>2025</v>
      </c>
      <c r="E193" s="44" t="s">
        <v>196</v>
      </c>
      <c r="F193" s="44" t="s">
        <v>14</v>
      </c>
      <c r="G193" s="45">
        <v>250000</v>
      </c>
      <c r="H193" s="44">
        <v>8</v>
      </c>
      <c r="I193" s="45">
        <v>2000000</v>
      </c>
      <c r="J193" s="44" t="s">
        <v>197</v>
      </c>
      <c r="K193" s="44" t="str">
        <f>INDEX(CLEANED_MotorPH_Products_List_2!C:C,MATCH(MotorPHSales[[#This Row],[Product]],CLEANED_MotorPH_Products_List_2!$B:$B,0))</f>
        <v>Classic</v>
      </c>
      <c r="L193" s="44" t="str">
        <f>INDEX(CLEANED_MotorPH_Products_List_2!E:E,MATCH(MotorPHSales[[#This Row],[Product]],CLEANED_MotorPH_Products_List_2!$B:$B,0))</f>
        <v>Single cylinder</v>
      </c>
      <c r="M193" s="44" t="str">
        <f>INDEX(CLEANED_MotorPH_Products_List_2!F:F,MATCH(MotorPHSales[[#This Row],[Product]],CLEANED_MotorPH_Products_List_2!$B:$B,0))</f>
        <v>air-cooled</v>
      </c>
      <c r="N193" s="44" t="str">
        <f>INDEX(CLEANED_MotorPH_Products_List_2!G:G,MATCH(MotorPHSales[[#This Row],[Product]],CLEANED_MotorPH_Products_List_2!$B:$B,0))</f>
        <v>349cc</v>
      </c>
      <c r="O193" s="44" t="str">
        <f>INDEX(CLEANED_MotorPH_Products_List_2!K:K,MATCH(MotorPHSales[[#This Row],[Product]],CLEANED_MotorPH_Products_List_2!B:B,0))</f>
        <v>Mid-range</v>
      </c>
      <c r="P193" s="45">
        <f>IF(MotorPHSales[[#This Row],[Segment]]="Entry-level",MotorPHSales[[#This Row],[UnitPrice]]/(1+30%),IF(MotorPHSales[[#This Row],[Segment]]="Mid-range",MotorPHSales[[#This Row],[UnitPrice]]/(1+35%),MotorPHSales[[#This Row],[UnitPrice]]/(1+40%)))*MotorPHSales[[#This Row],[Quantity]]</f>
        <v>1481481.4814814813</v>
      </c>
      <c r="Q193" s="44" t="str">
        <f>INDEX(CLEANED_MotorPH_Products_List_2!H:H,MATCH(MotorPHSales[[#This Row],[Product]],CLEANED_MotorPH_Products_List_2!$B:$B,0))</f>
        <v>5-speed</v>
      </c>
    </row>
    <row r="194" spans="1:17" ht="15.75" x14ac:dyDescent="0.3">
      <c r="A194" s="43">
        <v>45887</v>
      </c>
      <c r="B194" s="44" t="str">
        <f>TEXT(MotorPHSales[[#This Row],[Date]],"mmmm")</f>
        <v>August</v>
      </c>
      <c r="C194" s="44">
        <f>DAY(MotorPHSales[[#This Row],[Date]])</f>
        <v>18</v>
      </c>
      <c r="D194" s="44">
        <f>YEAR(MotorPHSales[[#This Row],[Date]])</f>
        <v>2025</v>
      </c>
      <c r="E194" s="44" t="s">
        <v>194</v>
      </c>
      <c r="F194" s="44" t="s">
        <v>78</v>
      </c>
      <c r="G194" s="45">
        <v>299700</v>
      </c>
      <c r="H194" s="44">
        <v>16</v>
      </c>
      <c r="I194" s="45">
        <v>1598400</v>
      </c>
      <c r="J194" s="44" t="s">
        <v>197</v>
      </c>
      <c r="K194" s="44" t="str">
        <f>INDEX(CLEANED_MotorPH_Products_List_2!C:C,MATCH(MotorPHSales[[#This Row],[Product]],CLEANED_MotorPH_Products_List_2!$B:$B,0))</f>
        <v>Street</v>
      </c>
      <c r="L194" s="44" t="str">
        <f>INDEX(CLEANED_MotorPH_Products_List_2!E:E,MATCH(MotorPHSales[[#This Row],[Product]],CLEANED_MotorPH_Products_List_2!$B:$B,0))</f>
        <v>Single cylinder</v>
      </c>
      <c r="M194" s="44" t="str">
        <f>INDEX(CLEANED_MotorPH_Products_List_2!F:F,MATCH(MotorPHSales[[#This Row],[Product]],CLEANED_MotorPH_Products_List_2!$B:$B,0))</f>
        <v>air-cooled</v>
      </c>
      <c r="N194" s="44" t="str">
        <f>INDEX(CLEANED_MotorPH_Products_List_2!G:G,MATCH(MotorPHSales[[#This Row],[Product]],CLEANED_MotorPH_Products_List_2!$B:$B,0))</f>
        <v>149cc</v>
      </c>
      <c r="O194" s="44" t="str">
        <f>INDEX(CLEANED_MotorPH_Products_List_2!K:K,MATCH(MotorPHSales[[#This Row],[Product]],CLEANED_MotorPH_Products_List_2!B:B,0))</f>
        <v>Entry-level</v>
      </c>
      <c r="P194" s="45">
        <f>IF(MotorPHSales[[#This Row],[Segment]]="Entry-level",MotorPHSales[[#This Row],[UnitPrice]]/(1+30%),IF(MotorPHSales[[#This Row],[Segment]]="Mid-range",MotorPHSales[[#This Row],[UnitPrice]]/(1+35%),MotorPHSales[[#This Row],[UnitPrice]]/(1+40%)))*MotorPHSales[[#This Row],[Quantity]]</f>
        <v>3688615.3846153845</v>
      </c>
      <c r="Q194" s="44" t="str">
        <f>INDEX(CLEANED_MotorPH_Products_List_2!H:H,MATCH(MotorPHSales[[#This Row],[Product]],CLEANED_MotorPH_Products_List_2!$B:$B,0))</f>
        <v>5-speed</v>
      </c>
    </row>
    <row r="195" spans="1:17" ht="15.75" x14ac:dyDescent="0.3">
      <c r="A195" s="43">
        <v>45867</v>
      </c>
      <c r="B195" s="44" t="str">
        <f>TEXT(MotorPHSales[[#This Row],[Date]],"mmmm")</f>
        <v>July</v>
      </c>
      <c r="C195" s="44">
        <f>DAY(MotorPHSales[[#This Row],[Date]])</f>
        <v>29</v>
      </c>
      <c r="D195" s="44">
        <f>YEAR(MotorPHSales[[#This Row],[Date]])</f>
        <v>2025</v>
      </c>
      <c r="E195" s="44" t="s">
        <v>194</v>
      </c>
      <c r="F195" s="44" t="s">
        <v>59</v>
      </c>
      <c r="G195" s="45">
        <v>67900</v>
      </c>
      <c r="H195" s="44">
        <v>13</v>
      </c>
      <c r="I195" s="45">
        <v>882700</v>
      </c>
      <c r="J195" s="44" t="s">
        <v>198</v>
      </c>
      <c r="K195" s="44" t="str">
        <f>INDEX(CLEANED_MotorPH_Products_List_2!C:C,MATCH(MotorPHSales[[#This Row],[Product]],CLEANED_MotorPH_Products_List_2!$B:$B,0))</f>
        <v>Commuter</v>
      </c>
      <c r="L195" s="44" t="str">
        <f>INDEX(CLEANED_MotorPH_Products_List_2!E:E,MATCH(MotorPHSales[[#This Row],[Product]],CLEANED_MotorPH_Products_List_2!$B:$B,0))</f>
        <v>Single cylinder</v>
      </c>
      <c r="M195" s="44" t="str">
        <f>INDEX(CLEANED_MotorPH_Products_List_2!F:F,MATCH(MotorPHSales[[#This Row],[Product]],CLEANED_MotorPH_Products_List_2!$B:$B,0))</f>
        <v>air-cooled</v>
      </c>
      <c r="N195" s="44" t="str">
        <f>INDEX(CLEANED_MotorPH_Products_List_2!G:G,MATCH(MotorPHSales[[#This Row],[Product]],CLEANED_MotorPH_Products_List_2!$B:$B,0))</f>
        <v>125cc</v>
      </c>
      <c r="O195" s="44" t="str">
        <f>INDEX(CLEANED_MotorPH_Products_List_2!K:K,MATCH(MotorPHSales[[#This Row],[Product]],CLEANED_MotorPH_Products_List_2!B:B,0))</f>
        <v>Entry-level</v>
      </c>
      <c r="P195" s="45">
        <f>IF(MotorPHSales[[#This Row],[Segment]]="Entry-level",MotorPHSales[[#This Row],[UnitPrice]]/(1+30%),IF(MotorPHSales[[#This Row],[Segment]]="Mid-range",MotorPHSales[[#This Row],[UnitPrice]]/(1+35%),MotorPHSales[[#This Row],[UnitPrice]]/(1+40%)))*MotorPHSales[[#This Row],[Quantity]]</f>
        <v>679000</v>
      </c>
      <c r="Q195" s="44" t="str">
        <f>INDEX(CLEANED_MotorPH_Products_List_2!H:H,MATCH(MotorPHSales[[#This Row],[Product]],CLEANED_MotorPH_Products_List_2!$B:$B,0))</f>
        <v>4-speed</v>
      </c>
    </row>
    <row r="196" spans="1:17" ht="15.75" x14ac:dyDescent="0.3">
      <c r="A196" s="43">
        <v>45840</v>
      </c>
      <c r="B196" s="44" t="str">
        <f>TEXT(MotorPHSales[[#This Row],[Date]],"mmmm")</f>
        <v>July</v>
      </c>
      <c r="C196" s="44">
        <f>DAY(MotorPHSales[[#This Row],[Date]])</f>
        <v>2</v>
      </c>
      <c r="D196" s="44">
        <f>YEAR(MotorPHSales[[#This Row],[Date]])</f>
        <v>2025</v>
      </c>
      <c r="E196" s="44" t="s">
        <v>194</v>
      </c>
      <c r="F196" s="44" t="s">
        <v>94</v>
      </c>
      <c r="G196" s="45">
        <v>299000</v>
      </c>
      <c r="H196" s="44">
        <v>13</v>
      </c>
      <c r="I196" s="45">
        <v>3887000</v>
      </c>
      <c r="J196" s="44" t="s">
        <v>198</v>
      </c>
      <c r="K196" s="44" t="str">
        <f>INDEX(CLEANED_MotorPH_Products_List_2!C:C,MATCH(MotorPHSales[[#This Row],[Product]],CLEANED_MotorPH_Products_List_2!$B:$B,0))</f>
        <v>Dual-sport</v>
      </c>
      <c r="L196" s="44" t="str">
        <f>INDEX(CLEANED_MotorPH_Products_List_2!E:E,MATCH(MotorPHSales[[#This Row],[Product]],CLEANED_MotorPH_Products_List_2!$B:$B,0))</f>
        <v>Single cylinder</v>
      </c>
      <c r="M196" s="44" t="str">
        <f>INDEX(CLEANED_MotorPH_Products_List_2!F:F,MATCH(MotorPHSales[[#This Row],[Product]],CLEANED_MotorPH_Products_List_2!$B:$B,0))</f>
        <v>air-cooled</v>
      </c>
      <c r="N196" s="44" t="str">
        <f>INDEX(CLEANED_MotorPH_Products_List_2!G:G,MATCH(MotorPHSales[[#This Row],[Product]],CLEANED_MotorPH_Products_List_2!$B:$B,0))</f>
        <v>249cc</v>
      </c>
      <c r="O196" s="44" t="str">
        <f>INDEX(CLEANED_MotorPH_Products_List_2!K:K,MATCH(MotorPHSales[[#This Row],[Product]],CLEANED_MotorPH_Products_List_2!B:B,0))</f>
        <v>Mid-range</v>
      </c>
      <c r="P196" s="45">
        <f>IF(MotorPHSales[[#This Row],[Segment]]="Entry-level",MotorPHSales[[#This Row],[UnitPrice]]/(1+30%),IF(MotorPHSales[[#This Row],[Segment]]="Mid-range",MotorPHSales[[#This Row],[UnitPrice]]/(1+35%),MotorPHSales[[#This Row],[UnitPrice]]/(1+40%)))*MotorPHSales[[#This Row],[Quantity]]</f>
        <v>2879259.2592592589</v>
      </c>
      <c r="Q196" s="44" t="str">
        <f>INDEX(CLEANED_MotorPH_Products_List_2!H:H,MATCH(MotorPHSales[[#This Row],[Product]],CLEANED_MotorPH_Products_List_2!$B:$B,0))</f>
        <v>5-speed</v>
      </c>
    </row>
    <row r="197" spans="1:17" ht="15.75" x14ac:dyDescent="0.3">
      <c r="A197" s="43">
        <v>45896</v>
      </c>
      <c r="B197" s="44" t="str">
        <f>TEXT(MotorPHSales[[#This Row],[Date]],"mmmm")</f>
        <v>August</v>
      </c>
      <c r="C197" s="44">
        <f>DAY(MotorPHSales[[#This Row],[Date]])</f>
        <v>27</v>
      </c>
      <c r="D197" s="44">
        <f>YEAR(MotorPHSales[[#This Row],[Date]])</f>
        <v>2025</v>
      </c>
      <c r="E197" s="44" t="s">
        <v>194</v>
      </c>
      <c r="F197" s="44" t="s">
        <v>20</v>
      </c>
      <c r="G197" s="45">
        <v>178000</v>
      </c>
      <c r="H197" s="44">
        <v>38</v>
      </c>
      <c r="I197" s="45">
        <v>6764000</v>
      </c>
      <c r="J197" s="44" t="s">
        <v>198</v>
      </c>
      <c r="K197" s="44" t="str">
        <f>INDEX(CLEANED_MotorPH_Products_List_2!C:C,MATCH(MotorPHSales[[#This Row],[Product]],CLEANED_MotorPH_Products_List_2!$B:$B,0))</f>
        <v>Naked bike</v>
      </c>
      <c r="L197" s="44" t="str">
        <f>INDEX(CLEANED_MotorPH_Products_List_2!E:E,MATCH(MotorPHSales[[#This Row],[Product]],CLEANED_MotorPH_Products_List_2!$B:$B,0))</f>
        <v>Single cylinder</v>
      </c>
      <c r="M197" s="44" t="str">
        <f>INDEX(CLEANED_MotorPH_Products_List_2!F:F,MATCH(MotorPHSales[[#This Row],[Product]],CLEANED_MotorPH_Products_List_2!$B:$B,0))</f>
        <v>liquid-cooled</v>
      </c>
      <c r="N197" s="44" t="str">
        <f>INDEX(CLEANED_MotorPH_Products_List_2!G:G,MATCH(MotorPHSales[[#This Row],[Product]],CLEANED_MotorPH_Products_List_2!$B:$B,0))</f>
        <v>199cc</v>
      </c>
      <c r="O197" s="44" t="str">
        <f>INDEX(CLEANED_MotorPH_Products_List_2!K:K,MATCH(MotorPHSales[[#This Row],[Product]],CLEANED_MotorPH_Products_List_2!B:B,0))</f>
        <v>Entry-level</v>
      </c>
      <c r="P197" s="45">
        <f>IF(MotorPHSales[[#This Row],[Segment]]="Entry-level",MotorPHSales[[#This Row],[UnitPrice]]/(1+30%),IF(MotorPHSales[[#This Row],[Segment]]="Mid-range",MotorPHSales[[#This Row],[UnitPrice]]/(1+35%),MotorPHSales[[#This Row],[UnitPrice]]/(1+40%)))*MotorPHSales[[#This Row],[Quantity]]</f>
        <v>5203076.9230769221</v>
      </c>
      <c r="Q197" s="44" t="str">
        <f>INDEX(CLEANED_MotorPH_Products_List_2!H:H,MATCH(MotorPHSales[[#This Row],[Product]],CLEANED_MotorPH_Products_List_2!$B:$B,0))</f>
        <v>6-speed</v>
      </c>
    </row>
    <row r="198" spans="1:17" ht="15.75" x14ac:dyDescent="0.3">
      <c r="A198" s="43">
        <v>45860</v>
      </c>
      <c r="B198" s="44" t="str">
        <f>TEXT(MotorPHSales[[#This Row],[Date]],"mmmm")</f>
        <v>July</v>
      </c>
      <c r="C198" s="44">
        <f>DAY(MotorPHSales[[#This Row],[Date]])</f>
        <v>22</v>
      </c>
      <c r="D198" s="44">
        <f>YEAR(MotorPHSales[[#This Row],[Date]])</f>
        <v>2025</v>
      </c>
      <c r="E198" s="44" t="s">
        <v>196</v>
      </c>
      <c r="F198" s="44" t="s">
        <v>80</v>
      </c>
      <c r="G198" s="45">
        <v>398000</v>
      </c>
      <c r="H198" s="44">
        <v>44</v>
      </c>
      <c r="I198" s="45">
        <v>17512000</v>
      </c>
      <c r="J198" s="44" t="s">
        <v>198</v>
      </c>
      <c r="K198" s="44" t="str">
        <f>INDEX(CLEANED_MotorPH_Products_List_2!C:C,MATCH(MotorPHSales[[#This Row],[Product]],CLEANED_MotorPH_Products_List_2!$B:$B,0))</f>
        <v>Scooter</v>
      </c>
      <c r="L198" s="44" t="str">
        <f>INDEX(CLEANED_MotorPH_Products_List_2!E:E,MATCH(MotorPHSales[[#This Row],[Product]],CLEANED_MotorPH_Products_List_2!$B:$B,0))</f>
        <v>Single cylinder</v>
      </c>
      <c r="M198" s="44" t="str">
        <f>INDEX(CLEANED_MotorPH_Products_List_2!F:F,MATCH(MotorPHSales[[#This Row],[Product]],CLEANED_MotorPH_Products_List_2!$B:$B,0))</f>
        <v>liquid-cooled</v>
      </c>
      <c r="N198" s="44" t="str">
        <f>INDEX(CLEANED_MotorPH_Products_List_2!G:G,MATCH(MotorPHSales[[#This Row],[Product]],CLEANED_MotorPH_Products_List_2!$B:$B,0))</f>
        <v>278cc</v>
      </c>
      <c r="O198" s="44" t="str">
        <f>INDEX(CLEANED_MotorPH_Products_List_2!K:K,MATCH(MotorPHSales[[#This Row],[Product]],CLEANED_MotorPH_Products_List_2!B:B,0))</f>
        <v>Mid-range</v>
      </c>
      <c r="P198" s="45">
        <f>IF(MotorPHSales[[#This Row],[Segment]]="Entry-level",MotorPHSales[[#This Row],[UnitPrice]]/(1+30%),IF(MotorPHSales[[#This Row],[Segment]]="Mid-range",MotorPHSales[[#This Row],[UnitPrice]]/(1+35%),MotorPHSales[[#This Row],[UnitPrice]]/(1+40%)))*MotorPHSales[[#This Row],[Quantity]]</f>
        <v>12971851.851851851</v>
      </c>
      <c r="Q198" s="44" t="str">
        <f>INDEX(CLEANED_MotorPH_Products_List_2!H:H,MATCH(MotorPHSales[[#This Row],[Product]],CLEANED_MotorPH_Products_List_2!$B:$B,0))</f>
        <v>CVT</v>
      </c>
    </row>
    <row r="199" spans="1:17" ht="15.75" x14ac:dyDescent="0.3">
      <c r="A199" s="43">
        <v>45870</v>
      </c>
      <c r="B199" s="44" t="str">
        <f>TEXT(MotorPHSales[[#This Row],[Date]],"mmmm")</f>
        <v>August</v>
      </c>
      <c r="C199" s="44">
        <f>DAY(MotorPHSales[[#This Row],[Date]])</f>
        <v>1</v>
      </c>
      <c r="D199" s="44">
        <f>YEAR(MotorPHSales[[#This Row],[Date]])</f>
        <v>2025</v>
      </c>
      <c r="E199" s="44" t="s">
        <v>194</v>
      </c>
      <c r="F199" s="44" t="s">
        <v>72</v>
      </c>
      <c r="G199" s="45">
        <v>319000</v>
      </c>
      <c r="H199" s="44">
        <v>7</v>
      </c>
      <c r="I199" s="45">
        <v>2233000</v>
      </c>
      <c r="J199" s="44" t="s">
        <v>197</v>
      </c>
      <c r="K199" s="44" t="str">
        <f>INDEX(CLEANED_MotorPH_Products_List_2!C:C,MATCH(MotorPHSales[[#This Row],[Product]],CLEANED_MotorPH_Products_List_2!$B:$B,0))</f>
        <v>Scooter</v>
      </c>
      <c r="L199" s="44" t="str">
        <f>INDEX(CLEANED_MotorPH_Products_List_2!E:E,MATCH(MotorPHSales[[#This Row],[Product]],CLEANED_MotorPH_Products_List_2!$B:$B,0))</f>
        <v>Single cylinder</v>
      </c>
      <c r="M199" s="44" t="str">
        <f>INDEX(CLEANED_MotorPH_Products_List_2!F:F,MATCH(MotorPHSales[[#This Row],[Product]],CLEANED_MotorPH_Products_List_2!$B:$B,0))</f>
        <v>liquid-cooled</v>
      </c>
      <c r="N199" s="44" t="str">
        <f>INDEX(CLEANED_MotorPH_Products_List_2!G:G,MATCH(MotorPHSales[[#This Row],[Product]],CLEANED_MotorPH_Products_List_2!$B:$B,0))</f>
        <v>292cc</v>
      </c>
      <c r="O199" s="44" t="str">
        <f>INDEX(CLEANED_MotorPH_Products_List_2!K:K,MATCH(MotorPHSales[[#This Row],[Product]],CLEANED_MotorPH_Products_List_2!B:B,0))</f>
        <v>Mid-range</v>
      </c>
      <c r="P199" s="45">
        <f>IF(MotorPHSales[[#This Row],[Segment]]="Entry-level",MotorPHSales[[#This Row],[UnitPrice]]/(1+30%),IF(MotorPHSales[[#This Row],[Segment]]="Mid-range",MotorPHSales[[#This Row],[UnitPrice]]/(1+35%),MotorPHSales[[#This Row],[UnitPrice]]/(1+40%)))*MotorPHSales[[#This Row],[Quantity]]</f>
        <v>1654074.0740740742</v>
      </c>
      <c r="Q199" s="44" t="str">
        <f>INDEX(CLEANED_MotorPH_Products_List_2!H:H,MATCH(MotorPHSales[[#This Row],[Product]],CLEANED_MotorPH_Products_List_2!$B:$B,0))</f>
        <v>CVT</v>
      </c>
    </row>
    <row r="200" spans="1:17" ht="15.75" x14ac:dyDescent="0.3">
      <c r="A200" s="43">
        <v>45866</v>
      </c>
      <c r="B200" s="44" t="str">
        <f>TEXT(MotorPHSales[[#This Row],[Date]],"mmmm")</f>
        <v>July</v>
      </c>
      <c r="C200" s="44">
        <f>DAY(MotorPHSales[[#This Row],[Date]])</f>
        <v>28</v>
      </c>
      <c r="D200" s="44">
        <f>YEAR(MotorPHSales[[#This Row],[Date]])</f>
        <v>2025</v>
      </c>
      <c r="E200" s="44" t="s">
        <v>196</v>
      </c>
      <c r="F200" s="44" t="s">
        <v>59</v>
      </c>
      <c r="G200" s="45">
        <v>67900</v>
      </c>
      <c r="H200" s="44">
        <v>11</v>
      </c>
      <c r="I200" s="45">
        <v>746900</v>
      </c>
      <c r="J200" s="44" t="s">
        <v>195</v>
      </c>
      <c r="K200" s="44" t="str">
        <f>INDEX(CLEANED_MotorPH_Products_List_2!C:C,MATCH(MotorPHSales[[#This Row],[Product]],CLEANED_MotorPH_Products_List_2!$B:$B,0))</f>
        <v>Commuter</v>
      </c>
      <c r="L200" s="44" t="str">
        <f>INDEX(CLEANED_MotorPH_Products_List_2!E:E,MATCH(MotorPHSales[[#This Row],[Product]],CLEANED_MotorPH_Products_List_2!$B:$B,0))</f>
        <v>Single cylinder</v>
      </c>
      <c r="M200" s="44" t="str">
        <f>INDEX(CLEANED_MotorPH_Products_List_2!F:F,MATCH(MotorPHSales[[#This Row],[Product]],CLEANED_MotorPH_Products_List_2!$B:$B,0))</f>
        <v>air-cooled</v>
      </c>
      <c r="N200" s="44" t="str">
        <f>INDEX(CLEANED_MotorPH_Products_List_2!G:G,MATCH(MotorPHSales[[#This Row],[Product]],CLEANED_MotorPH_Products_List_2!$B:$B,0))</f>
        <v>125cc</v>
      </c>
      <c r="O200" s="44" t="str">
        <f>INDEX(CLEANED_MotorPH_Products_List_2!K:K,MATCH(MotorPHSales[[#This Row],[Product]],CLEANED_MotorPH_Products_List_2!B:B,0))</f>
        <v>Entry-level</v>
      </c>
      <c r="P200" s="45">
        <f>IF(MotorPHSales[[#This Row],[Segment]]="Entry-level",MotorPHSales[[#This Row],[UnitPrice]]/(1+30%),IF(MotorPHSales[[#This Row],[Segment]]="Mid-range",MotorPHSales[[#This Row],[UnitPrice]]/(1+35%),MotorPHSales[[#This Row],[UnitPrice]]/(1+40%)))*MotorPHSales[[#This Row],[Quantity]]</f>
        <v>574538.4615384615</v>
      </c>
      <c r="Q200" s="44" t="str">
        <f>INDEX(CLEANED_MotorPH_Products_List_2!H:H,MATCH(MotorPHSales[[#This Row],[Product]],CLEANED_MotorPH_Products_List_2!$B:$B,0))</f>
        <v>4-speed</v>
      </c>
    </row>
    <row r="201" spans="1:17" ht="15.75" x14ac:dyDescent="0.3">
      <c r="A201" s="43">
        <v>45860</v>
      </c>
      <c r="B201" s="44" t="str">
        <f>TEXT(MotorPHSales[[#This Row],[Date]],"mmmm")</f>
        <v>July</v>
      </c>
      <c r="C201" s="44">
        <f>DAY(MotorPHSales[[#This Row],[Date]])</f>
        <v>22</v>
      </c>
      <c r="D201" s="44">
        <f>YEAR(MotorPHSales[[#This Row],[Date]])</f>
        <v>2025</v>
      </c>
      <c r="E201" s="44" t="s">
        <v>196</v>
      </c>
      <c r="F201" s="44" t="s">
        <v>72</v>
      </c>
      <c r="G201" s="45">
        <v>319000</v>
      </c>
      <c r="H201" s="44">
        <v>40</v>
      </c>
      <c r="I201" s="45">
        <v>12760000</v>
      </c>
      <c r="J201" s="44" t="s">
        <v>195</v>
      </c>
      <c r="K201" s="44" t="str">
        <f>INDEX(CLEANED_MotorPH_Products_List_2!C:C,MATCH(MotorPHSales[[#This Row],[Product]],CLEANED_MotorPH_Products_List_2!$B:$B,0))</f>
        <v>Scooter</v>
      </c>
      <c r="L201" s="44" t="str">
        <f>INDEX(CLEANED_MotorPH_Products_List_2!E:E,MATCH(MotorPHSales[[#This Row],[Product]],CLEANED_MotorPH_Products_List_2!$B:$B,0))</f>
        <v>Single cylinder</v>
      </c>
      <c r="M201" s="44" t="str">
        <f>INDEX(CLEANED_MotorPH_Products_List_2!F:F,MATCH(MotorPHSales[[#This Row],[Product]],CLEANED_MotorPH_Products_List_2!$B:$B,0))</f>
        <v>liquid-cooled</v>
      </c>
      <c r="N201" s="44" t="str">
        <f>INDEX(CLEANED_MotorPH_Products_List_2!G:G,MATCH(MotorPHSales[[#This Row],[Product]],CLEANED_MotorPH_Products_List_2!$B:$B,0))</f>
        <v>292cc</v>
      </c>
      <c r="O201" s="44" t="str">
        <f>INDEX(CLEANED_MotorPH_Products_List_2!K:K,MATCH(MotorPHSales[[#This Row],[Product]],CLEANED_MotorPH_Products_List_2!B:B,0))</f>
        <v>Mid-range</v>
      </c>
      <c r="P201" s="45">
        <f>IF(MotorPHSales[[#This Row],[Segment]]="Entry-level",MotorPHSales[[#This Row],[UnitPrice]]/(1+30%),IF(MotorPHSales[[#This Row],[Segment]]="Mid-range",MotorPHSales[[#This Row],[UnitPrice]]/(1+35%),MotorPHSales[[#This Row],[UnitPrice]]/(1+40%)))*MotorPHSales[[#This Row],[Quantity]]</f>
        <v>9451851.8518518507</v>
      </c>
      <c r="Q201" s="44" t="str">
        <f>INDEX(CLEANED_MotorPH_Products_List_2!H:H,MATCH(MotorPHSales[[#This Row],[Product]],CLEANED_MotorPH_Products_List_2!$B:$B,0))</f>
        <v>CVT</v>
      </c>
    </row>
    <row r="202" spans="1:17" ht="15.75" x14ac:dyDescent="0.3">
      <c r="A202" s="43">
        <v>45820</v>
      </c>
      <c r="B202" s="44" t="str">
        <f>TEXT(MotorPHSales[[#This Row],[Date]],"mmmm")</f>
        <v>June</v>
      </c>
      <c r="C202" s="44">
        <f>DAY(MotorPHSales[[#This Row],[Date]])</f>
        <v>12</v>
      </c>
      <c r="D202" s="44">
        <f>YEAR(MotorPHSales[[#This Row],[Date]])</f>
        <v>2025</v>
      </c>
      <c r="E202" s="44" t="s">
        <v>194</v>
      </c>
      <c r="F202" s="44" t="s">
        <v>74</v>
      </c>
      <c r="G202" s="45">
        <v>349000</v>
      </c>
      <c r="H202" s="44">
        <v>12</v>
      </c>
      <c r="I202" s="45">
        <v>4188000</v>
      </c>
      <c r="J202" s="44" t="s">
        <v>198</v>
      </c>
      <c r="K202" s="44" t="str">
        <f>INDEX(CLEANED_MotorPH_Products_List_2!C:C,MATCH(MotorPHSales[[#This Row],[Product]],CLEANED_MotorPH_Products_List_2!$B:$B,0))</f>
        <v>Cruiser</v>
      </c>
      <c r="L202" s="44" t="str">
        <f>INDEX(CLEANED_MotorPH_Products_List_2!E:E,MATCH(MotorPHSales[[#This Row],[Product]],CLEANED_MotorPH_Products_List_2!$B:$B,0))</f>
        <v>Parallel-twin</v>
      </c>
      <c r="M202" s="44" t="str">
        <f>INDEX(CLEANED_MotorPH_Products_List_2!F:F,MATCH(MotorPHSales[[#This Row],[Product]],CLEANED_MotorPH_Products_List_2!$B:$B,0))</f>
        <v>liquid-cooled</v>
      </c>
      <c r="N202" s="44" t="str">
        <f>INDEX(CLEANED_MotorPH_Products_List_2!G:G,MATCH(MotorPHSales[[#This Row],[Product]],CLEANED_MotorPH_Products_List_2!$B:$B,0))</f>
        <v>500cc</v>
      </c>
      <c r="O202" s="44" t="str">
        <f>INDEX(CLEANED_MotorPH_Products_List_2!K:K,MATCH(MotorPHSales[[#This Row],[Product]],CLEANED_MotorPH_Products_List_2!B:B,0))</f>
        <v>Mid-range</v>
      </c>
      <c r="P202" s="45">
        <f>IF(MotorPHSales[[#This Row],[Segment]]="Entry-level",MotorPHSales[[#This Row],[UnitPrice]]/(1+30%),IF(MotorPHSales[[#This Row],[Segment]]="Mid-range",MotorPHSales[[#This Row],[UnitPrice]]/(1+35%),MotorPHSales[[#This Row],[UnitPrice]]/(1+40%)))*MotorPHSales[[#This Row],[Quantity]]</f>
        <v>3102222.222222222</v>
      </c>
      <c r="Q202" s="44" t="str">
        <f>INDEX(CLEANED_MotorPH_Products_List_2!H:H,MATCH(MotorPHSales[[#This Row],[Product]],CLEANED_MotorPH_Products_List_2!$B:$B,0))</f>
        <v>6-speed</v>
      </c>
    </row>
    <row r="203" spans="1:17" ht="15.75" x14ac:dyDescent="0.3">
      <c r="A203" s="43">
        <v>45847</v>
      </c>
      <c r="B203" s="44" t="str">
        <f>TEXT(MotorPHSales[[#This Row],[Date]],"mmmm")</f>
        <v>July</v>
      </c>
      <c r="C203" s="44">
        <f>DAY(MotorPHSales[[#This Row],[Date]])</f>
        <v>9</v>
      </c>
      <c r="D203" s="44">
        <f>YEAR(MotorPHSales[[#This Row],[Date]])</f>
        <v>2025</v>
      </c>
      <c r="E203" s="44" t="s">
        <v>196</v>
      </c>
      <c r="F203" s="44" t="s">
        <v>59</v>
      </c>
      <c r="G203" s="45">
        <v>67900</v>
      </c>
      <c r="H203" s="44">
        <v>17</v>
      </c>
      <c r="I203" s="45">
        <v>1154300</v>
      </c>
      <c r="J203" s="44" t="s">
        <v>198</v>
      </c>
      <c r="K203" s="44" t="str">
        <f>INDEX(CLEANED_MotorPH_Products_List_2!C:C,MATCH(MotorPHSales[[#This Row],[Product]],CLEANED_MotorPH_Products_List_2!$B:$B,0))</f>
        <v>Commuter</v>
      </c>
      <c r="L203" s="44" t="str">
        <f>INDEX(CLEANED_MotorPH_Products_List_2!E:E,MATCH(MotorPHSales[[#This Row],[Product]],CLEANED_MotorPH_Products_List_2!$B:$B,0))</f>
        <v>Single cylinder</v>
      </c>
      <c r="M203" s="44" t="str">
        <f>INDEX(CLEANED_MotorPH_Products_List_2!F:F,MATCH(MotorPHSales[[#This Row],[Product]],CLEANED_MotorPH_Products_List_2!$B:$B,0))</f>
        <v>air-cooled</v>
      </c>
      <c r="N203" s="44" t="str">
        <f>INDEX(CLEANED_MotorPH_Products_List_2!G:G,MATCH(MotorPHSales[[#This Row],[Product]],CLEANED_MotorPH_Products_List_2!$B:$B,0))</f>
        <v>125cc</v>
      </c>
      <c r="O203" s="44" t="str">
        <f>INDEX(CLEANED_MotorPH_Products_List_2!K:K,MATCH(MotorPHSales[[#This Row],[Product]],CLEANED_MotorPH_Products_List_2!B:B,0))</f>
        <v>Entry-level</v>
      </c>
      <c r="P203" s="45">
        <f>IF(MotorPHSales[[#This Row],[Segment]]="Entry-level",MotorPHSales[[#This Row],[UnitPrice]]/(1+30%),IF(MotorPHSales[[#This Row],[Segment]]="Mid-range",MotorPHSales[[#This Row],[UnitPrice]]/(1+35%),MotorPHSales[[#This Row],[UnitPrice]]/(1+40%)))*MotorPHSales[[#This Row],[Quantity]]</f>
        <v>887923.07692307688</v>
      </c>
      <c r="Q203" s="44" t="str">
        <f>INDEX(CLEANED_MotorPH_Products_List_2!H:H,MATCH(MotorPHSales[[#This Row],[Product]],CLEANED_MotorPH_Products_List_2!$B:$B,0))</f>
        <v>4-speed</v>
      </c>
    </row>
    <row r="204" spans="1:17" ht="15.75" x14ac:dyDescent="0.3">
      <c r="A204" s="43">
        <v>45810</v>
      </c>
      <c r="B204" s="44" t="str">
        <f>TEXT(MotorPHSales[[#This Row],[Date]],"mmmm")</f>
        <v>June</v>
      </c>
      <c r="C204" s="44">
        <f>DAY(MotorPHSales[[#This Row],[Date]])</f>
        <v>2</v>
      </c>
      <c r="D204" s="44">
        <f>YEAR(MotorPHSales[[#This Row],[Date]])</f>
        <v>2025</v>
      </c>
      <c r="E204" s="44" t="s">
        <v>196</v>
      </c>
      <c r="F204" s="44" t="s">
        <v>47</v>
      </c>
      <c r="G204" s="45">
        <v>398000</v>
      </c>
      <c r="H204" s="44">
        <v>32</v>
      </c>
      <c r="I204" s="45">
        <v>12736000</v>
      </c>
      <c r="J204" s="44" t="s">
        <v>197</v>
      </c>
      <c r="K204" s="44" t="str">
        <f>INDEX(CLEANED_MotorPH_Products_List_2!C:C,MATCH(MotorPHSales[[#This Row],[Product]],CLEANED_MotorPH_Products_List_2!$B:$B,0))</f>
        <v>Cruiser</v>
      </c>
      <c r="L204" s="44" t="str">
        <f>INDEX(CLEANED_MotorPH_Products_List_2!E:E,MATCH(MotorPHSales[[#This Row],[Product]],CLEANED_MotorPH_Products_List_2!$B:$B,0))</f>
        <v>Parallel-twin</v>
      </c>
      <c r="M204" s="44" t="str">
        <f>INDEX(CLEANED_MotorPH_Products_List_2!F:F,MATCH(MotorPHSales[[#This Row],[Product]],CLEANED_MotorPH_Products_List_2!$B:$B,0))</f>
        <v>liquid-cooled</v>
      </c>
      <c r="N204" s="44" t="str">
        <f>INDEX(CLEANED_MotorPH_Products_List_2!G:G,MATCH(MotorPHSales[[#This Row],[Product]],CLEANED_MotorPH_Products_List_2!$B:$B,0))</f>
        <v>649cc</v>
      </c>
      <c r="O204" s="44" t="str">
        <f>INDEX(CLEANED_MotorPH_Products_List_2!K:K,MATCH(MotorPHSales[[#This Row],[Product]],CLEANED_MotorPH_Products_List_2!B:B,0))</f>
        <v>Premium</v>
      </c>
      <c r="P204" s="45">
        <f>IF(MotorPHSales[[#This Row],[Segment]]="Entry-level",MotorPHSales[[#This Row],[UnitPrice]]/(1+30%),IF(MotorPHSales[[#This Row],[Segment]]="Mid-range",MotorPHSales[[#This Row],[UnitPrice]]/(1+35%),MotorPHSales[[#This Row],[UnitPrice]]/(1+40%)))*MotorPHSales[[#This Row],[Quantity]]</f>
        <v>9097142.8571428582</v>
      </c>
      <c r="Q204" s="44" t="str">
        <f>INDEX(CLEANED_MotorPH_Products_List_2!H:H,MATCH(MotorPHSales[[#This Row],[Product]],CLEANED_MotorPH_Products_List_2!$B:$B,0))</f>
        <v>6-speed</v>
      </c>
    </row>
    <row r="205" spans="1:17" ht="15.75" x14ac:dyDescent="0.3">
      <c r="A205" s="43">
        <v>45811</v>
      </c>
      <c r="B205" s="44" t="str">
        <f>TEXT(MotorPHSales[[#This Row],[Date]],"mmmm")</f>
        <v>June</v>
      </c>
      <c r="C205" s="44">
        <f>DAY(MotorPHSales[[#This Row],[Date]])</f>
        <v>3</v>
      </c>
      <c r="D205" s="44">
        <f>YEAR(MotorPHSales[[#This Row],[Date]])</f>
        <v>2025</v>
      </c>
      <c r="E205" s="44" t="s">
        <v>194</v>
      </c>
      <c r="F205" s="44" t="s">
        <v>92</v>
      </c>
      <c r="G205" s="45">
        <v>289000</v>
      </c>
      <c r="H205" s="44">
        <v>11</v>
      </c>
      <c r="I205" s="45">
        <v>3179000</v>
      </c>
      <c r="J205" s="44" t="s">
        <v>195</v>
      </c>
      <c r="K205" s="44" t="str">
        <f>INDEX(CLEANED_MotorPH_Products_List_2!C:C,MATCH(MotorPHSales[[#This Row],[Product]],CLEANED_MotorPH_Products_List_2!$B:$B,0))</f>
        <v>Scooter</v>
      </c>
      <c r="L205" s="44" t="str">
        <f>INDEX(CLEANED_MotorPH_Products_List_2!E:E,MATCH(MotorPHSales[[#This Row],[Product]],CLEANED_MotorPH_Products_List_2!$B:$B,0))</f>
        <v>Single cylinder</v>
      </c>
      <c r="M205" s="44" t="str">
        <f>INDEX(CLEANED_MotorPH_Products_List_2!F:F,MATCH(MotorPHSales[[#This Row],[Product]],CLEANED_MotorPH_Products_List_2!$B:$B,0))</f>
        <v>liquid-cooled</v>
      </c>
      <c r="N205" s="44" t="str">
        <f>INDEX(CLEANED_MotorPH_Products_List_2!G:G,MATCH(MotorPHSales[[#This Row],[Product]],CLEANED_MotorPH_Products_List_2!$B:$B,0))</f>
        <v>181cc</v>
      </c>
      <c r="O205" s="44" t="str">
        <f>INDEX(CLEANED_MotorPH_Products_List_2!K:K,MATCH(MotorPHSales[[#This Row],[Product]],CLEANED_MotorPH_Products_List_2!B:B,0))</f>
        <v>Entry-level</v>
      </c>
      <c r="P205" s="45">
        <f>IF(MotorPHSales[[#This Row],[Segment]]="Entry-level",MotorPHSales[[#This Row],[UnitPrice]]/(1+30%),IF(MotorPHSales[[#This Row],[Segment]]="Mid-range",MotorPHSales[[#This Row],[UnitPrice]]/(1+35%),MotorPHSales[[#This Row],[UnitPrice]]/(1+40%)))*MotorPHSales[[#This Row],[Quantity]]</f>
        <v>2445384.6153846155</v>
      </c>
      <c r="Q205" s="44" t="str">
        <f>INDEX(CLEANED_MotorPH_Products_List_2!H:H,MATCH(MotorPHSales[[#This Row],[Product]],CLEANED_MotorPH_Products_List_2!$B:$B,0))</f>
        <v>CVT</v>
      </c>
    </row>
    <row r="206" spans="1:17" ht="15.75" x14ac:dyDescent="0.3">
      <c r="A206" s="43">
        <v>45864</v>
      </c>
      <c r="B206" s="44" t="str">
        <f>TEXT(MotorPHSales[[#This Row],[Date]],"mmmm")</f>
        <v>July</v>
      </c>
      <c r="C206" s="44">
        <f>DAY(MotorPHSales[[#This Row],[Date]])</f>
        <v>26</v>
      </c>
      <c r="D206" s="44">
        <f>YEAR(MotorPHSales[[#This Row],[Date]])</f>
        <v>2025</v>
      </c>
      <c r="E206" s="44" t="s">
        <v>194</v>
      </c>
      <c r="F206" s="44" t="s">
        <v>32</v>
      </c>
      <c r="G206" s="45">
        <v>198000</v>
      </c>
      <c r="H206" s="44">
        <v>37</v>
      </c>
      <c r="I206" s="45">
        <v>7326000</v>
      </c>
      <c r="J206" s="44" t="s">
        <v>197</v>
      </c>
      <c r="K206" s="44" t="str">
        <f>INDEX(CLEANED_MotorPH_Products_List_2!C:C,MATCH(MotorPHSales[[#This Row],[Product]],CLEANED_MotorPH_Products_List_2!$B:$B,0))</f>
        <v>Sport</v>
      </c>
      <c r="L206" s="44" t="str">
        <f>INDEX(CLEANED_MotorPH_Products_List_2!E:E,MATCH(MotorPHSales[[#This Row],[Product]],CLEANED_MotorPH_Products_List_2!$B:$B,0))</f>
        <v>Single cylinder</v>
      </c>
      <c r="M206" s="44" t="str">
        <f>INDEX(CLEANED_MotorPH_Products_List_2!F:F,MATCH(MotorPHSales[[#This Row],[Product]],CLEANED_MotorPH_Products_List_2!$B:$B,0))</f>
        <v>liquid-cooled</v>
      </c>
      <c r="N206" s="44" t="str">
        <f>INDEX(CLEANED_MotorPH_Products_List_2!G:G,MATCH(MotorPHSales[[#This Row],[Product]],CLEANED_MotorPH_Products_List_2!$B:$B,0))</f>
        <v>199cc</v>
      </c>
      <c r="O206" s="44" t="str">
        <f>INDEX(CLEANED_MotorPH_Products_List_2!K:K,MATCH(MotorPHSales[[#This Row],[Product]],CLEANED_MotorPH_Products_List_2!B:B,0))</f>
        <v>Entry-level</v>
      </c>
      <c r="P206" s="45">
        <f>IF(MotorPHSales[[#This Row],[Segment]]="Entry-level",MotorPHSales[[#This Row],[UnitPrice]]/(1+30%),IF(MotorPHSales[[#This Row],[Segment]]="Mid-range",MotorPHSales[[#This Row],[UnitPrice]]/(1+35%),MotorPHSales[[#This Row],[UnitPrice]]/(1+40%)))*MotorPHSales[[#This Row],[Quantity]]</f>
        <v>5635384.615384616</v>
      </c>
      <c r="Q206" s="44" t="str">
        <f>INDEX(CLEANED_MotorPH_Products_List_2!H:H,MATCH(MotorPHSales[[#This Row],[Product]],CLEANED_MotorPH_Products_List_2!$B:$B,0))</f>
        <v>6-speed</v>
      </c>
    </row>
    <row r="207" spans="1:17" ht="15.75" x14ac:dyDescent="0.3">
      <c r="A207" s="43">
        <v>45889</v>
      </c>
      <c r="B207" s="44" t="str">
        <f>TEXT(MotorPHSales[[#This Row],[Date]],"mmmm")</f>
        <v>August</v>
      </c>
      <c r="C207" s="44">
        <f>DAY(MotorPHSales[[#This Row],[Date]])</f>
        <v>20</v>
      </c>
      <c r="D207" s="44">
        <f>YEAR(MotorPHSales[[#This Row],[Date]])</f>
        <v>2025</v>
      </c>
      <c r="E207" s="44" t="s">
        <v>194</v>
      </c>
      <c r="F207" s="44" t="s">
        <v>82</v>
      </c>
      <c r="G207" s="45">
        <v>199000</v>
      </c>
      <c r="H207" s="44">
        <v>17</v>
      </c>
      <c r="I207" s="45">
        <v>3383000</v>
      </c>
      <c r="J207" s="44" t="s">
        <v>198</v>
      </c>
      <c r="K207" s="44" t="str">
        <f>INDEX(CLEANED_MotorPH_Products_List_2!C:C,MATCH(MotorPHSales[[#This Row],[Product]],CLEANED_MotorPH_Products_List_2!$B:$B,0))</f>
        <v>Dual-sport</v>
      </c>
      <c r="L207" s="44" t="str">
        <f>INDEX(CLEANED_MotorPH_Products_List_2!E:E,MATCH(MotorPHSales[[#This Row],[Product]],CLEANED_MotorPH_Products_List_2!$B:$B,0))</f>
        <v>Single cylinder</v>
      </c>
      <c r="M207" s="44" t="str">
        <f>INDEX(CLEANED_MotorPH_Products_List_2!F:F,MATCH(MotorPHSales[[#This Row],[Product]],CLEANED_MotorPH_Products_List_2!$B:$B,0))</f>
        <v>air-cooled</v>
      </c>
      <c r="N207" s="44" t="str">
        <f>INDEX(CLEANED_MotorPH_Products_List_2!G:G,MATCH(MotorPHSales[[#This Row],[Product]],CLEANED_MotorPH_Products_List_2!$B:$B,0))</f>
        <v>233cc</v>
      </c>
      <c r="O207" s="44" t="str">
        <f>INDEX(CLEANED_MotorPH_Products_List_2!K:K,MATCH(MotorPHSales[[#This Row],[Product]],CLEANED_MotorPH_Products_List_2!B:B,0))</f>
        <v>Mid-range</v>
      </c>
      <c r="P207" s="45">
        <f>IF(MotorPHSales[[#This Row],[Segment]]="Entry-level",MotorPHSales[[#This Row],[UnitPrice]]/(1+30%),IF(MotorPHSales[[#This Row],[Segment]]="Mid-range",MotorPHSales[[#This Row],[UnitPrice]]/(1+35%),MotorPHSales[[#This Row],[UnitPrice]]/(1+40%)))*MotorPHSales[[#This Row],[Quantity]]</f>
        <v>2505925.9259259254</v>
      </c>
      <c r="Q207" s="44" t="str">
        <f>INDEX(CLEANED_MotorPH_Products_List_2!H:H,MATCH(MotorPHSales[[#This Row],[Product]],CLEANED_MotorPH_Products_List_2!$B:$B,0))</f>
        <v>6-speed</v>
      </c>
    </row>
    <row r="208" spans="1:17" ht="15.75" x14ac:dyDescent="0.3">
      <c r="A208" s="43">
        <v>45867</v>
      </c>
      <c r="B208" s="44" t="str">
        <f>TEXT(MotorPHSales[[#This Row],[Date]],"mmmm")</f>
        <v>July</v>
      </c>
      <c r="C208" s="44">
        <f>DAY(MotorPHSales[[#This Row],[Date]])</f>
        <v>29</v>
      </c>
      <c r="D208" s="44">
        <f>YEAR(MotorPHSales[[#This Row],[Date]])</f>
        <v>2025</v>
      </c>
      <c r="E208" s="44" t="s">
        <v>194</v>
      </c>
      <c r="F208" s="44" t="s">
        <v>101</v>
      </c>
      <c r="G208" s="45">
        <v>72900</v>
      </c>
      <c r="H208" s="44">
        <v>29</v>
      </c>
      <c r="I208" s="45">
        <v>2114100</v>
      </c>
      <c r="J208" s="44" t="s">
        <v>197</v>
      </c>
      <c r="K208" s="44" t="str">
        <f>INDEX(CLEANED_MotorPH_Products_List_2!C:C,MATCH(MotorPHSales[[#This Row],[Product]],CLEANED_MotorPH_Products_List_2!$B:$B,0))</f>
        <v>Underbone</v>
      </c>
      <c r="L208" s="44" t="str">
        <f>INDEX(CLEANED_MotorPH_Products_List_2!E:E,MATCH(MotorPHSales[[#This Row],[Product]],CLEANED_MotorPH_Products_List_2!$B:$B,0))</f>
        <v>Single cylinder</v>
      </c>
      <c r="M208" s="44" t="str">
        <f>INDEX(CLEANED_MotorPH_Products_List_2!F:F,MATCH(MotorPHSales[[#This Row],[Product]],CLEANED_MotorPH_Products_List_2!$B:$B,0))</f>
        <v>air-cooled</v>
      </c>
      <c r="N208" s="44" t="str">
        <f>INDEX(CLEANED_MotorPH_Products_List_2!G:G,MATCH(MotorPHSales[[#This Row],[Product]],CLEANED_MotorPH_Products_List_2!$B:$B,0))</f>
        <v>150cc</v>
      </c>
      <c r="O208" s="44" t="str">
        <f>INDEX(CLEANED_MotorPH_Products_List_2!K:K,MATCH(MotorPHSales[[#This Row],[Product]],CLEANED_MotorPH_Products_List_2!B:B,0))</f>
        <v>Entry-level</v>
      </c>
      <c r="P208" s="45">
        <f>IF(MotorPHSales[[#This Row],[Segment]]="Entry-level",MotorPHSales[[#This Row],[UnitPrice]]/(1+30%),IF(MotorPHSales[[#This Row],[Segment]]="Mid-range",MotorPHSales[[#This Row],[UnitPrice]]/(1+35%),MotorPHSales[[#This Row],[UnitPrice]]/(1+40%)))*MotorPHSales[[#This Row],[Quantity]]</f>
        <v>1626230.7692307692</v>
      </c>
      <c r="Q208" s="44" t="str">
        <f>INDEX(CLEANED_MotorPH_Products_List_2!H:H,MATCH(MotorPHSales[[#This Row],[Product]],CLEANED_MotorPH_Products_List_2!$B:$B,0))</f>
        <v>CVT</v>
      </c>
    </row>
    <row r="209" spans="1:17" ht="15.75" x14ac:dyDescent="0.3">
      <c r="A209" s="43">
        <v>45810</v>
      </c>
      <c r="B209" s="44" t="str">
        <f>TEXT(MotorPHSales[[#This Row],[Date]],"mmmm")</f>
        <v>June</v>
      </c>
      <c r="C209" s="44">
        <f>DAY(MotorPHSales[[#This Row],[Date]])</f>
        <v>2</v>
      </c>
      <c r="D209" s="44">
        <f>YEAR(MotorPHSales[[#This Row],[Date]])</f>
        <v>2025</v>
      </c>
      <c r="E209" s="44" t="s">
        <v>196</v>
      </c>
      <c r="F209" s="44" t="s">
        <v>53</v>
      </c>
      <c r="G209" s="45">
        <v>345000</v>
      </c>
      <c r="H209" s="44">
        <v>4</v>
      </c>
      <c r="I209" s="45">
        <v>1380000</v>
      </c>
      <c r="J209" s="44" t="s">
        <v>195</v>
      </c>
      <c r="K209" s="44" t="str">
        <f>INDEX(CLEANED_MotorPH_Products_List_2!C:C,MATCH(MotorPHSales[[#This Row],[Product]],CLEANED_MotorPH_Products_List_2!$B:$B,0))</f>
        <v>Touring</v>
      </c>
      <c r="L209" s="44" t="str">
        <f>INDEX(CLEANED_MotorPH_Products_List_2!E:E,MATCH(MotorPHSales[[#This Row],[Product]],CLEANED_MotorPH_Products_List_2!$B:$B,0))</f>
        <v>Parallel-twin</v>
      </c>
      <c r="M209" s="44" t="str">
        <f>INDEX(CLEANED_MotorPH_Products_List_2!F:F,MATCH(MotorPHSales[[#This Row],[Product]],CLEANED_MotorPH_Products_List_2!$B:$B,0))</f>
        <v>liquid-cooled</v>
      </c>
      <c r="N209" s="44" t="str">
        <f>INDEX(CLEANED_MotorPH_Products_List_2!G:G,MATCH(MotorPHSales[[#This Row],[Product]],CLEANED_MotorPH_Products_List_2!$B:$B,0))</f>
        <v>649cc</v>
      </c>
      <c r="O209" s="44" t="str">
        <f>INDEX(CLEANED_MotorPH_Products_List_2!K:K,MATCH(MotorPHSales[[#This Row],[Product]],CLEANED_MotorPH_Products_List_2!B:B,0))</f>
        <v>Premium</v>
      </c>
      <c r="P209" s="45">
        <f>IF(MotorPHSales[[#This Row],[Segment]]="Entry-level",MotorPHSales[[#This Row],[UnitPrice]]/(1+30%),IF(MotorPHSales[[#This Row],[Segment]]="Mid-range",MotorPHSales[[#This Row],[UnitPrice]]/(1+35%),MotorPHSales[[#This Row],[UnitPrice]]/(1+40%)))*MotorPHSales[[#This Row],[Quantity]]</f>
        <v>985714.2857142858</v>
      </c>
      <c r="Q209" s="44" t="str">
        <f>INDEX(CLEANED_MotorPH_Products_List_2!H:H,MATCH(MotorPHSales[[#This Row],[Product]],CLEANED_MotorPH_Products_List_2!$B:$B,0))</f>
        <v>6-speed</v>
      </c>
    </row>
    <row r="210" spans="1:17" ht="15.75" x14ac:dyDescent="0.3">
      <c r="A210" s="43">
        <v>45810</v>
      </c>
      <c r="B210" s="44" t="str">
        <f>TEXT(MotorPHSales[[#This Row],[Date]],"mmmm")</f>
        <v>June</v>
      </c>
      <c r="C210" s="44">
        <f>DAY(MotorPHSales[[#This Row],[Date]])</f>
        <v>2</v>
      </c>
      <c r="D210" s="44">
        <f>YEAR(MotorPHSales[[#This Row],[Date]])</f>
        <v>2025</v>
      </c>
      <c r="E210" s="44" t="s">
        <v>194</v>
      </c>
      <c r="F210" s="44" t="s">
        <v>53</v>
      </c>
      <c r="G210" s="45">
        <v>345000</v>
      </c>
      <c r="H210" s="44">
        <v>10</v>
      </c>
      <c r="I210" s="45">
        <v>3450000</v>
      </c>
      <c r="J210" s="44" t="s">
        <v>195</v>
      </c>
      <c r="K210" s="44" t="str">
        <f>INDEX(CLEANED_MotorPH_Products_List_2!C:C,MATCH(MotorPHSales[[#This Row],[Product]],CLEANED_MotorPH_Products_List_2!$B:$B,0))</f>
        <v>Touring</v>
      </c>
      <c r="L210" s="44" t="str">
        <f>INDEX(CLEANED_MotorPH_Products_List_2!E:E,MATCH(MotorPHSales[[#This Row],[Product]],CLEANED_MotorPH_Products_List_2!$B:$B,0))</f>
        <v>Parallel-twin</v>
      </c>
      <c r="M210" s="44" t="str">
        <f>INDEX(CLEANED_MotorPH_Products_List_2!F:F,MATCH(MotorPHSales[[#This Row],[Product]],CLEANED_MotorPH_Products_List_2!$B:$B,0))</f>
        <v>liquid-cooled</v>
      </c>
      <c r="N210" s="44" t="str">
        <f>INDEX(CLEANED_MotorPH_Products_List_2!G:G,MATCH(MotorPHSales[[#This Row],[Product]],CLEANED_MotorPH_Products_List_2!$B:$B,0))</f>
        <v>649cc</v>
      </c>
      <c r="O210" s="44" t="str">
        <f>INDEX(CLEANED_MotorPH_Products_List_2!K:K,MATCH(MotorPHSales[[#This Row],[Product]],CLEANED_MotorPH_Products_List_2!B:B,0))</f>
        <v>Premium</v>
      </c>
      <c r="P210" s="45">
        <f>IF(MotorPHSales[[#This Row],[Segment]]="Entry-level",MotorPHSales[[#This Row],[UnitPrice]]/(1+30%),IF(MotorPHSales[[#This Row],[Segment]]="Mid-range",MotorPHSales[[#This Row],[UnitPrice]]/(1+35%),MotorPHSales[[#This Row],[UnitPrice]]/(1+40%)))*MotorPHSales[[#This Row],[Quantity]]</f>
        <v>2464285.7142857146</v>
      </c>
      <c r="Q210" s="44" t="str">
        <f>INDEX(CLEANED_MotorPH_Products_List_2!H:H,MATCH(MotorPHSales[[#This Row],[Product]],CLEANED_MotorPH_Products_List_2!$B:$B,0))</f>
        <v>6-speed</v>
      </c>
    </row>
    <row r="211" spans="1:17" ht="15.75" x14ac:dyDescent="0.3">
      <c r="A211" s="43">
        <v>45900</v>
      </c>
      <c r="B211" s="44" t="str">
        <f>TEXT(MotorPHSales[[#This Row],[Date]],"mmmm")</f>
        <v>August</v>
      </c>
      <c r="C211" s="44">
        <f>DAY(MotorPHSales[[#This Row],[Date]])</f>
        <v>31</v>
      </c>
      <c r="D211" s="44">
        <f>YEAR(MotorPHSales[[#This Row],[Date]])</f>
        <v>2025</v>
      </c>
      <c r="E211" s="44" t="s">
        <v>194</v>
      </c>
      <c r="F211" s="44" t="s">
        <v>92</v>
      </c>
      <c r="G211" s="45">
        <v>289000</v>
      </c>
      <c r="H211" s="44">
        <v>10</v>
      </c>
      <c r="I211" s="45">
        <v>2890000</v>
      </c>
      <c r="J211" s="44" t="s">
        <v>195</v>
      </c>
      <c r="K211" s="44" t="str">
        <f>INDEX(CLEANED_MotorPH_Products_List_2!C:C,MATCH(MotorPHSales[[#This Row],[Product]],CLEANED_MotorPH_Products_List_2!$B:$B,0))</f>
        <v>Scooter</v>
      </c>
      <c r="L211" s="44" t="str">
        <f>INDEX(CLEANED_MotorPH_Products_List_2!E:E,MATCH(MotorPHSales[[#This Row],[Product]],CLEANED_MotorPH_Products_List_2!$B:$B,0))</f>
        <v>Single cylinder</v>
      </c>
      <c r="M211" s="44" t="str">
        <f>INDEX(CLEANED_MotorPH_Products_List_2!F:F,MATCH(MotorPHSales[[#This Row],[Product]],CLEANED_MotorPH_Products_List_2!$B:$B,0))</f>
        <v>liquid-cooled</v>
      </c>
      <c r="N211" s="44" t="str">
        <f>INDEX(CLEANED_MotorPH_Products_List_2!G:G,MATCH(MotorPHSales[[#This Row],[Product]],CLEANED_MotorPH_Products_List_2!$B:$B,0))</f>
        <v>181cc</v>
      </c>
      <c r="O211" s="44" t="str">
        <f>INDEX(CLEANED_MotorPH_Products_List_2!K:K,MATCH(MotorPHSales[[#This Row],[Product]],CLEANED_MotorPH_Products_List_2!B:B,0))</f>
        <v>Entry-level</v>
      </c>
      <c r="P211" s="45">
        <f>IF(MotorPHSales[[#This Row],[Segment]]="Entry-level",MotorPHSales[[#This Row],[UnitPrice]]/(1+30%),IF(MotorPHSales[[#This Row],[Segment]]="Mid-range",MotorPHSales[[#This Row],[UnitPrice]]/(1+35%),MotorPHSales[[#This Row],[UnitPrice]]/(1+40%)))*MotorPHSales[[#This Row],[Quantity]]</f>
        <v>2223076.923076923</v>
      </c>
      <c r="Q211" s="44" t="str">
        <f>INDEX(CLEANED_MotorPH_Products_List_2!H:H,MATCH(MotorPHSales[[#This Row],[Product]],CLEANED_MotorPH_Products_List_2!$B:$B,0))</f>
        <v>CVT</v>
      </c>
    </row>
    <row r="212" spans="1:17" ht="15.75" x14ac:dyDescent="0.3">
      <c r="A212" s="43">
        <v>45862</v>
      </c>
      <c r="B212" s="44" t="str">
        <f>TEXT(MotorPHSales[[#This Row],[Date]],"mmmm")</f>
        <v>July</v>
      </c>
      <c r="C212" s="44">
        <f>DAY(MotorPHSales[[#This Row],[Date]])</f>
        <v>24</v>
      </c>
      <c r="D212" s="44">
        <f>YEAR(MotorPHSales[[#This Row],[Date]])</f>
        <v>2025</v>
      </c>
      <c r="E212" s="44" t="s">
        <v>194</v>
      </c>
      <c r="F212" s="44" t="s">
        <v>22</v>
      </c>
      <c r="G212" s="45">
        <v>182000</v>
      </c>
      <c r="H212" s="44">
        <v>10</v>
      </c>
      <c r="I212" s="45">
        <v>1820000</v>
      </c>
      <c r="J212" s="44" t="s">
        <v>197</v>
      </c>
      <c r="K212" s="44" t="str">
        <f>INDEX(CLEANED_MotorPH_Products_List_2!C:C,MATCH(MotorPHSales[[#This Row],[Product]],CLEANED_MotorPH_Products_List_2!$B:$B,0))</f>
        <v>Retro</v>
      </c>
      <c r="L212" s="44" t="str">
        <f>INDEX(CLEANED_MotorPH_Products_List_2!E:E,MATCH(MotorPHSales[[#This Row],[Product]],CLEANED_MotorPH_Products_List_2!$B:$B,0))</f>
        <v>Single cylinder</v>
      </c>
      <c r="M212" s="44" t="str">
        <f>INDEX(CLEANED_MotorPH_Products_List_2!F:F,MATCH(MotorPHSales[[#This Row],[Product]],CLEANED_MotorPH_Products_List_2!$B:$B,0))</f>
        <v>liquid-cooled</v>
      </c>
      <c r="N212" s="44" t="str">
        <f>INDEX(CLEANED_MotorPH_Products_List_2!G:G,MATCH(MotorPHSales[[#This Row],[Product]],CLEANED_MotorPH_Products_List_2!$B:$B,0))</f>
        <v>155cc</v>
      </c>
      <c r="O212" s="44" t="str">
        <f>INDEX(CLEANED_MotorPH_Products_List_2!K:K,MATCH(MotorPHSales[[#This Row],[Product]],CLEANED_MotorPH_Products_List_2!B:B,0))</f>
        <v>Entry-level</v>
      </c>
      <c r="P212" s="45">
        <f>IF(MotorPHSales[[#This Row],[Segment]]="Entry-level",MotorPHSales[[#This Row],[UnitPrice]]/(1+30%),IF(MotorPHSales[[#This Row],[Segment]]="Mid-range",MotorPHSales[[#This Row],[UnitPrice]]/(1+35%),MotorPHSales[[#This Row],[UnitPrice]]/(1+40%)))*MotorPHSales[[#This Row],[Quantity]]</f>
        <v>1400000</v>
      </c>
      <c r="Q212" s="44" t="str">
        <f>INDEX(CLEANED_MotorPH_Products_List_2!H:H,MATCH(MotorPHSales[[#This Row],[Product]],CLEANED_MotorPH_Products_List_2!$B:$B,0))</f>
        <v>6-speed</v>
      </c>
    </row>
    <row r="213" spans="1:17" ht="15.75" x14ac:dyDescent="0.3">
      <c r="A213" s="43">
        <v>45895</v>
      </c>
      <c r="B213" s="44" t="str">
        <f>TEXT(MotorPHSales[[#This Row],[Date]],"mmmm")</f>
        <v>August</v>
      </c>
      <c r="C213" s="44">
        <f>DAY(MotorPHSales[[#This Row],[Date]])</f>
        <v>26</v>
      </c>
      <c r="D213" s="44">
        <f>YEAR(MotorPHSales[[#This Row],[Date]])</f>
        <v>2025</v>
      </c>
      <c r="E213" s="44" t="s">
        <v>196</v>
      </c>
      <c r="F213" s="44" t="s">
        <v>18</v>
      </c>
      <c r="G213" s="45">
        <v>328000</v>
      </c>
      <c r="H213" s="44">
        <v>4</v>
      </c>
      <c r="I213" s="45">
        <v>1312000</v>
      </c>
      <c r="J213" s="44" t="s">
        <v>197</v>
      </c>
      <c r="K213" s="44" t="str">
        <f>INDEX(CLEANED_MotorPH_Products_List_2!C:C,MATCH(MotorPHSales[[#This Row],[Product]],CLEANED_MotorPH_Products_List_2!$B:$B,0))</f>
        <v>Cafe racer</v>
      </c>
      <c r="L213" s="44" t="str">
        <f>INDEX(CLEANED_MotorPH_Products_List_2!E:E,MATCH(MotorPHSales[[#This Row],[Product]],CLEANED_MotorPH_Products_List_2!$B:$B,0))</f>
        <v>Twin cylinder</v>
      </c>
      <c r="M213" s="44" t="str">
        <f>INDEX(CLEANED_MotorPH_Products_List_2!F:F,MATCH(MotorPHSales[[#This Row],[Product]],CLEANED_MotorPH_Products_List_2!$B:$B,0))</f>
        <v>air-cooled</v>
      </c>
      <c r="N213" s="44" t="str">
        <f>INDEX(CLEANED_MotorPH_Products_List_2!G:G,MATCH(MotorPHSales[[#This Row],[Product]],CLEANED_MotorPH_Products_List_2!$B:$B,0))</f>
        <v>471cc</v>
      </c>
      <c r="O213" s="44" t="str">
        <f>INDEX(CLEANED_MotorPH_Products_List_2!K:K,MATCH(MotorPHSales[[#This Row],[Product]],CLEANED_MotorPH_Products_List_2!B:B,0))</f>
        <v>Mid-range</v>
      </c>
      <c r="P213" s="45">
        <f>IF(MotorPHSales[[#This Row],[Segment]]="Entry-level",MotorPHSales[[#This Row],[UnitPrice]]/(1+30%),IF(MotorPHSales[[#This Row],[Segment]]="Mid-range",MotorPHSales[[#This Row],[UnitPrice]]/(1+35%),MotorPHSales[[#This Row],[UnitPrice]]/(1+40%)))*MotorPHSales[[#This Row],[Quantity]]</f>
        <v>971851.8518518518</v>
      </c>
      <c r="Q213" s="44" t="str">
        <f>INDEX(CLEANED_MotorPH_Products_List_2!H:H,MATCH(MotorPHSales[[#This Row],[Product]],CLEANED_MotorPH_Products_List_2!$B:$B,0))</f>
        <v>6-speed</v>
      </c>
    </row>
    <row r="214" spans="1:17" ht="15.75" x14ac:dyDescent="0.3">
      <c r="A214" s="43">
        <v>45670</v>
      </c>
      <c r="B214" s="44" t="str">
        <f>TEXT(MotorPHSales[[#This Row],[Date]],"mmmm")</f>
        <v>January</v>
      </c>
      <c r="C214" s="44">
        <f>DAY(MotorPHSales[[#This Row],[Date]])</f>
        <v>13</v>
      </c>
      <c r="D214" s="44">
        <f>YEAR(MotorPHSales[[#This Row],[Date]])</f>
        <v>2025</v>
      </c>
      <c r="E214" s="44" t="s">
        <v>194</v>
      </c>
      <c r="F214" s="44" t="s">
        <v>59</v>
      </c>
      <c r="G214" s="45">
        <v>67900</v>
      </c>
      <c r="H214" s="44">
        <v>21</v>
      </c>
      <c r="I214" s="45">
        <v>1425900</v>
      </c>
      <c r="J214" s="44" t="s">
        <v>195</v>
      </c>
      <c r="K214" s="44" t="str">
        <f>INDEX(CLEANED_MotorPH_Products_List_2!C:C,MATCH(MotorPHSales[[#This Row],[Product]],CLEANED_MotorPH_Products_List_2!$B:$B,0))</f>
        <v>Commuter</v>
      </c>
      <c r="L214" s="44" t="str">
        <f>INDEX(CLEANED_MotorPH_Products_List_2!E:E,MATCH(MotorPHSales[[#This Row],[Product]],CLEANED_MotorPH_Products_List_2!$B:$B,0))</f>
        <v>Single cylinder</v>
      </c>
      <c r="M214" s="44" t="str">
        <f>INDEX(CLEANED_MotorPH_Products_List_2!F:F,MATCH(MotorPHSales[[#This Row],[Product]],CLEANED_MotorPH_Products_List_2!$B:$B,0))</f>
        <v>air-cooled</v>
      </c>
      <c r="N214" s="44" t="str">
        <f>INDEX(CLEANED_MotorPH_Products_List_2!G:G,MATCH(MotorPHSales[[#This Row],[Product]],CLEANED_MotorPH_Products_List_2!$B:$B,0))</f>
        <v>125cc</v>
      </c>
      <c r="O214" s="44" t="str">
        <f>INDEX(CLEANED_MotorPH_Products_List_2!K:K,MATCH(MotorPHSales[[#This Row],[Product]],CLEANED_MotorPH_Products_List_2!B:B,0))</f>
        <v>Entry-level</v>
      </c>
      <c r="P214" s="45">
        <f>IF(MotorPHSales[[#This Row],[Segment]]="Entry-level",MotorPHSales[[#This Row],[UnitPrice]]/(1+30%),IF(MotorPHSales[[#This Row],[Segment]]="Mid-range",MotorPHSales[[#This Row],[UnitPrice]]/(1+35%),MotorPHSales[[#This Row],[UnitPrice]]/(1+40%)))*MotorPHSales[[#This Row],[Quantity]]</f>
        <v>1096846.1538461538</v>
      </c>
      <c r="Q214" s="44" t="str">
        <f>INDEX(CLEANED_MotorPH_Products_List_2!H:H,MATCH(MotorPHSales[[#This Row],[Product]],CLEANED_MotorPH_Products_List_2!$B:$B,0))</f>
        <v>4-speed</v>
      </c>
    </row>
    <row r="215" spans="1:17" ht="15.75" x14ac:dyDescent="0.3">
      <c r="A215" s="43">
        <v>45810</v>
      </c>
      <c r="B215" s="44" t="str">
        <f>TEXT(MotorPHSales[[#This Row],[Date]],"mmmm")</f>
        <v>June</v>
      </c>
      <c r="C215" s="44">
        <f>DAY(MotorPHSales[[#This Row],[Date]])</f>
        <v>2</v>
      </c>
      <c r="D215" s="44">
        <f>YEAR(MotorPHSales[[#This Row],[Date]])</f>
        <v>2025</v>
      </c>
      <c r="E215" s="44" t="s">
        <v>194</v>
      </c>
      <c r="F215" s="44" t="s">
        <v>76</v>
      </c>
      <c r="G215" s="45">
        <v>369000</v>
      </c>
      <c r="H215" s="44">
        <v>19</v>
      </c>
      <c r="I215" s="45">
        <v>7011000</v>
      </c>
      <c r="J215" s="44" t="s">
        <v>195</v>
      </c>
      <c r="K215" s="44" t="str">
        <f>INDEX(CLEANED_MotorPH_Products_List_2!C:C,MATCH(MotorPHSales[[#This Row],[Product]],CLEANED_MotorPH_Products_List_2!$B:$B,0))</f>
        <v>Adventure</v>
      </c>
      <c r="L215" s="44" t="str">
        <f>INDEX(CLEANED_MotorPH_Products_List_2!E:E,MATCH(MotorPHSales[[#This Row],[Product]],CLEANED_MotorPH_Products_List_2!$B:$B,0))</f>
        <v>Parallel-twin</v>
      </c>
      <c r="M215" s="44" t="str">
        <f>INDEX(CLEANED_MotorPH_Products_List_2!F:F,MATCH(MotorPHSales[[#This Row],[Product]],CLEANED_MotorPH_Products_List_2!$B:$B,0))</f>
        <v>liquid-cooled</v>
      </c>
      <c r="N215" s="44" t="str">
        <f>INDEX(CLEANED_MotorPH_Products_List_2!G:G,MATCH(MotorPHSales[[#This Row],[Product]],CLEANED_MotorPH_Products_List_2!$B:$B,0))</f>
        <v>649cc</v>
      </c>
      <c r="O215" s="44" t="str">
        <f>INDEX(CLEANED_MotorPH_Products_List_2!K:K,MATCH(MotorPHSales[[#This Row],[Product]],CLEANED_MotorPH_Products_List_2!B:B,0))</f>
        <v>Premium</v>
      </c>
      <c r="P215" s="45">
        <f>IF(MotorPHSales[[#This Row],[Segment]]="Entry-level",MotorPHSales[[#This Row],[UnitPrice]]/(1+30%),IF(MotorPHSales[[#This Row],[Segment]]="Mid-range",MotorPHSales[[#This Row],[UnitPrice]]/(1+35%),MotorPHSales[[#This Row],[UnitPrice]]/(1+40%)))*MotorPHSales[[#This Row],[Quantity]]</f>
        <v>5007857.1428571427</v>
      </c>
      <c r="Q215" s="44" t="str">
        <f>INDEX(CLEANED_MotorPH_Products_List_2!H:H,MATCH(MotorPHSales[[#This Row],[Product]],CLEANED_MotorPH_Products_List_2!$B:$B,0))</f>
        <v>6-speed</v>
      </c>
    </row>
    <row r="216" spans="1:17" ht="15.75" x14ac:dyDescent="0.3">
      <c r="A216" s="43">
        <v>45861</v>
      </c>
      <c r="B216" s="44" t="str">
        <f>TEXT(MotorPHSales[[#This Row],[Date]],"mmmm")</f>
        <v>July</v>
      </c>
      <c r="C216" s="44">
        <f>DAY(MotorPHSales[[#This Row],[Date]])</f>
        <v>23</v>
      </c>
      <c r="D216" s="44">
        <f>YEAR(MotorPHSales[[#This Row],[Date]])</f>
        <v>2025</v>
      </c>
      <c r="E216" s="44" t="s">
        <v>194</v>
      </c>
      <c r="F216" s="44" t="s">
        <v>90</v>
      </c>
      <c r="G216" s="45">
        <v>165000</v>
      </c>
      <c r="H216" s="44">
        <v>20</v>
      </c>
      <c r="I216" s="45">
        <v>3300000</v>
      </c>
      <c r="J216" s="44" t="s">
        <v>197</v>
      </c>
      <c r="K216" s="44" t="str">
        <f>INDEX(CLEANED_MotorPH_Products_List_2!C:C,MATCH(MotorPHSales[[#This Row],[Product]],CLEANED_MotorPH_Products_List_2!$B:$B,0))</f>
        <v>Sport</v>
      </c>
      <c r="L216" s="44" t="str">
        <f>INDEX(CLEANED_MotorPH_Products_List_2!E:E,MATCH(MotorPHSales[[#This Row],[Product]],CLEANED_MotorPH_Products_List_2!$B:$B,0))</f>
        <v>Single cylinder</v>
      </c>
      <c r="M216" s="44" t="str">
        <f>INDEX(CLEANED_MotorPH_Products_List_2!F:F,MATCH(MotorPHSales[[#This Row],[Product]],CLEANED_MotorPH_Products_List_2!$B:$B,0))</f>
        <v>liquid-cooled</v>
      </c>
      <c r="N216" s="44" t="str">
        <f>INDEX(CLEANED_MotorPH_Products_List_2!G:G,MATCH(MotorPHSales[[#This Row],[Product]],CLEANED_MotorPH_Products_List_2!$B:$B,0))</f>
        <v>292cc</v>
      </c>
      <c r="O216" s="44" t="str">
        <f>INDEX(CLEANED_MotorPH_Products_List_2!K:K,MATCH(MotorPHSales[[#This Row],[Product]],CLEANED_MotorPH_Products_List_2!B:B,0))</f>
        <v>Mid-range</v>
      </c>
      <c r="P216" s="45">
        <f>IF(MotorPHSales[[#This Row],[Segment]]="Entry-level",MotorPHSales[[#This Row],[UnitPrice]]/(1+30%),IF(MotorPHSales[[#This Row],[Segment]]="Mid-range",MotorPHSales[[#This Row],[UnitPrice]]/(1+35%),MotorPHSales[[#This Row],[UnitPrice]]/(1+40%)))*MotorPHSales[[#This Row],[Quantity]]</f>
        <v>2444444.4444444445</v>
      </c>
      <c r="Q216" s="44" t="str">
        <f>INDEX(CLEANED_MotorPH_Products_List_2!H:H,MATCH(MotorPHSales[[#This Row],[Product]],CLEANED_MotorPH_Products_List_2!$B:$B,0))</f>
        <v>6-speed</v>
      </c>
    </row>
    <row r="217" spans="1:17" ht="15.75" x14ac:dyDescent="0.3">
      <c r="A217" s="43">
        <v>45852</v>
      </c>
      <c r="B217" s="44" t="str">
        <f>TEXT(MotorPHSales[[#This Row],[Date]],"mmmm")</f>
        <v>July</v>
      </c>
      <c r="C217" s="44">
        <f>DAY(MotorPHSales[[#This Row],[Date]])</f>
        <v>14</v>
      </c>
      <c r="D217" s="44">
        <f>YEAR(MotorPHSales[[#This Row],[Date]])</f>
        <v>2025</v>
      </c>
      <c r="E217" s="44" t="s">
        <v>196</v>
      </c>
      <c r="F217" s="44" t="s">
        <v>32</v>
      </c>
      <c r="G217" s="45">
        <v>198000</v>
      </c>
      <c r="H217" s="44">
        <v>5</v>
      </c>
      <c r="I217" s="45">
        <v>990000</v>
      </c>
      <c r="J217" s="44" t="s">
        <v>197</v>
      </c>
      <c r="K217" s="44" t="str">
        <f>INDEX(CLEANED_MotorPH_Products_List_2!C:C,MATCH(MotorPHSales[[#This Row],[Product]],CLEANED_MotorPH_Products_List_2!$B:$B,0))</f>
        <v>Sport</v>
      </c>
      <c r="L217" s="44" t="str">
        <f>INDEX(CLEANED_MotorPH_Products_List_2!E:E,MATCH(MotorPHSales[[#This Row],[Product]],CLEANED_MotorPH_Products_List_2!$B:$B,0))</f>
        <v>Single cylinder</v>
      </c>
      <c r="M217" s="44" t="str">
        <f>INDEX(CLEANED_MotorPH_Products_List_2!F:F,MATCH(MotorPHSales[[#This Row],[Product]],CLEANED_MotorPH_Products_List_2!$B:$B,0))</f>
        <v>liquid-cooled</v>
      </c>
      <c r="N217" s="44" t="str">
        <f>INDEX(CLEANED_MotorPH_Products_List_2!G:G,MATCH(MotorPHSales[[#This Row],[Product]],CLEANED_MotorPH_Products_List_2!$B:$B,0))</f>
        <v>199cc</v>
      </c>
      <c r="O217" s="44" t="str">
        <f>INDEX(CLEANED_MotorPH_Products_List_2!K:K,MATCH(MotorPHSales[[#This Row],[Product]],CLEANED_MotorPH_Products_List_2!B:B,0))</f>
        <v>Entry-level</v>
      </c>
      <c r="P217" s="45">
        <f>IF(MotorPHSales[[#This Row],[Segment]]="Entry-level",MotorPHSales[[#This Row],[UnitPrice]]/(1+30%),IF(MotorPHSales[[#This Row],[Segment]]="Mid-range",MotorPHSales[[#This Row],[UnitPrice]]/(1+35%),MotorPHSales[[#This Row],[UnitPrice]]/(1+40%)))*MotorPHSales[[#This Row],[Quantity]]</f>
        <v>761538.4615384615</v>
      </c>
      <c r="Q217" s="44" t="str">
        <f>INDEX(CLEANED_MotorPH_Products_List_2!H:H,MATCH(MotorPHSales[[#This Row],[Product]],CLEANED_MotorPH_Products_List_2!$B:$B,0))</f>
        <v>6-speed</v>
      </c>
    </row>
    <row r="218" spans="1:17" ht="15.75" x14ac:dyDescent="0.3">
      <c r="A218" s="43">
        <v>45898</v>
      </c>
      <c r="B218" s="44" t="str">
        <f>TEXT(MotorPHSales[[#This Row],[Date]],"mmmm")</f>
        <v>August</v>
      </c>
      <c r="C218" s="44">
        <f>DAY(MotorPHSales[[#This Row],[Date]])</f>
        <v>29</v>
      </c>
      <c r="D218" s="44">
        <f>YEAR(MotorPHSales[[#This Row],[Date]])</f>
        <v>2025</v>
      </c>
      <c r="E218" s="44" t="s">
        <v>196</v>
      </c>
      <c r="F218" s="44" t="s">
        <v>28</v>
      </c>
      <c r="G218" s="45">
        <v>164900</v>
      </c>
      <c r="H218" s="44">
        <v>17</v>
      </c>
      <c r="I218" s="45">
        <v>2803300</v>
      </c>
      <c r="J218" s="44" t="s">
        <v>195</v>
      </c>
      <c r="K218" s="44" t="str">
        <f>INDEX(CLEANED_MotorPH_Products_List_2!C:C,MATCH(MotorPHSales[[#This Row],[Product]],CLEANED_MotorPH_Products_List_2!$B:$B,0))</f>
        <v>Scooter</v>
      </c>
      <c r="L218" s="44" t="str">
        <f>INDEX(CLEANED_MotorPH_Products_List_2!E:E,MATCH(MotorPHSales[[#This Row],[Product]],CLEANED_MotorPH_Products_List_2!$B:$B,0))</f>
        <v>Single cylinder</v>
      </c>
      <c r="M218" s="44" t="str">
        <f>INDEX(CLEANED_MotorPH_Products_List_2!F:F,MATCH(MotorPHSales[[#This Row],[Product]],CLEANED_MotorPH_Products_List_2!$B:$B,0))</f>
        <v>liquid-cooled</v>
      </c>
      <c r="N218" s="44" t="str">
        <f>INDEX(CLEANED_MotorPH_Products_List_2!G:G,MATCH(MotorPHSales[[#This Row],[Product]],CLEANED_MotorPH_Products_List_2!$B:$B,0))</f>
        <v>157cc</v>
      </c>
      <c r="O218" s="44" t="str">
        <f>INDEX(CLEANED_MotorPH_Products_List_2!K:K,MATCH(MotorPHSales[[#This Row],[Product]],CLEANED_MotorPH_Products_List_2!B:B,0))</f>
        <v>Entry-level</v>
      </c>
      <c r="P218" s="45">
        <f>IF(MotorPHSales[[#This Row],[Segment]]="Entry-level",MotorPHSales[[#This Row],[UnitPrice]]/(1+30%),IF(MotorPHSales[[#This Row],[Segment]]="Mid-range",MotorPHSales[[#This Row],[UnitPrice]]/(1+35%),MotorPHSales[[#This Row],[UnitPrice]]/(1+40%)))*MotorPHSales[[#This Row],[Quantity]]</f>
        <v>2156384.6153846155</v>
      </c>
      <c r="Q218" s="44" t="str">
        <f>INDEX(CLEANED_MotorPH_Products_List_2!H:H,MATCH(MotorPHSales[[#This Row],[Product]],CLEANED_MotorPH_Products_List_2!$B:$B,0))</f>
        <v>CVT</v>
      </c>
    </row>
    <row r="219" spans="1:17" ht="15.75" x14ac:dyDescent="0.3">
      <c r="A219" s="43">
        <v>45840</v>
      </c>
      <c r="B219" s="44" t="str">
        <f>TEXT(MotorPHSales[[#This Row],[Date]],"mmmm")</f>
        <v>July</v>
      </c>
      <c r="C219" s="44">
        <f>DAY(MotorPHSales[[#This Row],[Date]])</f>
        <v>2</v>
      </c>
      <c r="D219" s="44">
        <f>YEAR(MotorPHSales[[#This Row],[Date]])</f>
        <v>2025</v>
      </c>
      <c r="E219" s="44" t="s">
        <v>196</v>
      </c>
      <c r="F219" s="44" t="s">
        <v>24</v>
      </c>
      <c r="G219" s="45">
        <v>199900</v>
      </c>
      <c r="H219" s="44">
        <v>1</v>
      </c>
      <c r="I219" s="45">
        <v>199900</v>
      </c>
      <c r="J219" s="44" t="s">
        <v>198</v>
      </c>
      <c r="K219" s="44" t="str">
        <f>INDEX(CLEANED_MotorPH_Products_List_2!C:C,MATCH(MotorPHSales[[#This Row],[Product]],CLEANED_MotorPH_Products_List_2!$B:$B,0))</f>
        <v>Sport touring</v>
      </c>
      <c r="L219" s="44" t="str">
        <f>INDEX(CLEANED_MotorPH_Products_List_2!E:E,MATCH(MotorPHSales[[#This Row],[Product]],CLEANED_MotorPH_Products_List_2!$B:$B,0))</f>
        <v>Single cylinder</v>
      </c>
      <c r="M219" s="44" t="str">
        <f>INDEX(CLEANED_MotorPH_Products_List_2!F:F,MATCH(MotorPHSales[[#This Row],[Product]],CLEANED_MotorPH_Products_List_2!$B:$B,0))</f>
        <v>liquid-cooled</v>
      </c>
      <c r="N219" s="44" t="str">
        <f>INDEX(CLEANED_MotorPH_Products_List_2!G:G,MATCH(MotorPHSales[[#This Row],[Product]],CLEANED_MotorPH_Products_List_2!$B:$B,0))</f>
        <v>373cc</v>
      </c>
      <c r="O219" s="44" t="str">
        <f>INDEX(CLEANED_MotorPH_Products_List_2!K:K,MATCH(MotorPHSales[[#This Row],[Product]],CLEANED_MotorPH_Products_List_2!B:B,0))</f>
        <v>Mid-range</v>
      </c>
      <c r="P219" s="45">
        <f>IF(MotorPHSales[[#This Row],[Segment]]="Entry-level",MotorPHSales[[#This Row],[UnitPrice]]/(1+30%),IF(MotorPHSales[[#This Row],[Segment]]="Mid-range",MotorPHSales[[#This Row],[UnitPrice]]/(1+35%),MotorPHSales[[#This Row],[UnitPrice]]/(1+40%)))*MotorPHSales[[#This Row],[Quantity]]</f>
        <v>148074.07407407407</v>
      </c>
      <c r="Q219" s="44" t="str">
        <f>INDEX(CLEANED_MotorPH_Products_List_2!H:H,MATCH(MotorPHSales[[#This Row],[Product]],CLEANED_MotorPH_Products_List_2!$B:$B,0))</f>
        <v>6-speed</v>
      </c>
    </row>
    <row r="220" spans="1:17" ht="15.75" x14ac:dyDescent="0.3">
      <c r="A220" s="43">
        <v>45878</v>
      </c>
      <c r="B220" s="44" t="str">
        <f>TEXT(MotorPHSales[[#This Row],[Date]],"mmmm")</f>
        <v>August</v>
      </c>
      <c r="C220" s="44">
        <f>DAY(MotorPHSales[[#This Row],[Date]])</f>
        <v>9</v>
      </c>
      <c r="D220" s="44">
        <f>YEAR(MotorPHSales[[#This Row],[Date]])</f>
        <v>2025</v>
      </c>
      <c r="E220" s="44" t="s">
        <v>196</v>
      </c>
      <c r="F220" s="44" t="s">
        <v>57</v>
      </c>
      <c r="G220" s="45">
        <v>125900</v>
      </c>
      <c r="H220" s="44">
        <v>9</v>
      </c>
      <c r="I220" s="45">
        <v>1133100</v>
      </c>
      <c r="J220" s="44" t="s">
        <v>197</v>
      </c>
      <c r="K220" s="44" t="str">
        <f>INDEX(CLEANED_MotorPH_Products_List_2!C:C,MATCH(MotorPHSales[[#This Row],[Product]],CLEANED_MotorPH_Products_List_2!$B:$B,0))</f>
        <v>Underbone</v>
      </c>
      <c r="L220" s="44" t="str">
        <f>INDEX(CLEANED_MotorPH_Products_List_2!E:E,MATCH(MotorPHSales[[#This Row],[Product]],CLEANED_MotorPH_Products_List_2!$B:$B,0))</f>
        <v>Single cylinder</v>
      </c>
      <c r="M220" s="44" t="str">
        <f>INDEX(CLEANED_MotorPH_Products_List_2!F:F,MATCH(MotorPHSales[[#This Row],[Product]],CLEANED_MotorPH_Products_List_2!$B:$B,0))</f>
        <v>liquid-cooled</v>
      </c>
      <c r="N220" s="44" t="str">
        <f>INDEX(CLEANED_MotorPH_Products_List_2!G:G,MATCH(MotorPHSales[[#This Row],[Product]],CLEANED_MotorPH_Products_List_2!$B:$B,0))</f>
        <v>155cc</v>
      </c>
      <c r="O220" s="44" t="str">
        <f>INDEX(CLEANED_MotorPH_Products_List_2!K:K,MATCH(MotorPHSales[[#This Row],[Product]],CLEANED_MotorPH_Products_List_2!B:B,0))</f>
        <v>Entry-level</v>
      </c>
      <c r="P220" s="45">
        <f>IF(MotorPHSales[[#This Row],[Segment]]="Entry-level",MotorPHSales[[#This Row],[UnitPrice]]/(1+30%),IF(MotorPHSales[[#This Row],[Segment]]="Mid-range",MotorPHSales[[#This Row],[UnitPrice]]/(1+35%),MotorPHSales[[#This Row],[UnitPrice]]/(1+40%)))*MotorPHSales[[#This Row],[Quantity]]</f>
        <v>871615.38461538462</v>
      </c>
      <c r="Q220" s="44" t="str">
        <f>INDEX(CLEANED_MotorPH_Products_List_2!H:H,MATCH(MotorPHSales[[#This Row],[Product]],CLEANED_MotorPH_Products_List_2!$B:$B,0))</f>
        <v>6-speed</v>
      </c>
    </row>
    <row r="221" spans="1:17" ht="15.75" x14ac:dyDescent="0.3">
      <c r="A221" s="43">
        <v>45840</v>
      </c>
      <c r="B221" s="44" t="str">
        <f>TEXT(MotorPHSales[[#This Row],[Date]],"mmmm")</f>
        <v>July</v>
      </c>
      <c r="C221" s="44">
        <f>DAY(MotorPHSales[[#This Row],[Date]])</f>
        <v>2</v>
      </c>
      <c r="D221" s="44">
        <f>YEAR(MotorPHSales[[#This Row],[Date]])</f>
        <v>2025</v>
      </c>
      <c r="E221" s="44" t="s">
        <v>194</v>
      </c>
      <c r="F221" s="44" t="s">
        <v>94</v>
      </c>
      <c r="G221" s="45">
        <v>299000</v>
      </c>
      <c r="H221" s="44">
        <v>32</v>
      </c>
      <c r="I221" s="45">
        <v>9568000</v>
      </c>
      <c r="J221" s="44" t="s">
        <v>197</v>
      </c>
      <c r="K221" s="44" t="str">
        <f>INDEX(CLEANED_MotorPH_Products_List_2!C:C,MATCH(MotorPHSales[[#This Row],[Product]],CLEANED_MotorPH_Products_List_2!$B:$B,0))</f>
        <v>Dual-sport</v>
      </c>
      <c r="L221" s="44" t="str">
        <f>INDEX(CLEANED_MotorPH_Products_List_2!E:E,MATCH(MotorPHSales[[#This Row],[Product]],CLEANED_MotorPH_Products_List_2!$B:$B,0))</f>
        <v>Single cylinder</v>
      </c>
      <c r="M221" s="44" t="str">
        <f>INDEX(CLEANED_MotorPH_Products_List_2!F:F,MATCH(MotorPHSales[[#This Row],[Product]],CLEANED_MotorPH_Products_List_2!$B:$B,0))</f>
        <v>air-cooled</v>
      </c>
      <c r="N221" s="44" t="str">
        <f>INDEX(CLEANED_MotorPH_Products_List_2!G:G,MATCH(MotorPHSales[[#This Row],[Product]],CLEANED_MotorPH_Products_List_2!$B:$B,0))</f>
        <v>249cc</v>
      </c>
      <c r="O221" s="44" t="str">
        <f>INDEX(CLEANED_MotorPH_Products_List_2!K:K,MATCH(MotorPHSales[[#This Row],[Product]],CLEANED_MotorPH_Products_List_2!B:B,0))</f>
        <v>Mid-range</v>
      </c>
      <c r="P221" s="45">
        <f>IF(MotorPHSales[[#This Row],[Segment]]="Entry-level",MotorPHSales[[#This Row],[UnitPrice]]/(1+30%),IF(MotorPHSales[[#This Row],[Segment]]="Mid-range",MotorPHSales[[#This Row],[UnitPrice]]/(1+35%),MotorPHSales[[#This Row],[UnitPrice]]/(1+40%)))*MotorPHSales[[#This Row],[Quantity]]</f>
        <v>7087407.4074074067</v>
      </c>
      <c r="Q221" s="44" t="str">
        <f>INDEX(CLEANED_MotorPH_Products_List_2!H:H,MATCH(MotorPHSales[[#This Row],[Product]],CLEANED_MotorPH_Products_List_2!$B:$B,0))</f>
        <v>5-speed</v>
      </c>
    </row>
    <row r="222" spans="1:17" ht="15.75" x14ac:dyDescent="0.3">
      <c r="A222" s="43">
        <v>45876</v>
      </c>
      <c r="B222" s="44" t="str">
        <f>TEXT(MotorPHSales[[#This Row],[Date]],"mmmm")</f>
        <v>August</v>
      </c>
      <c r="C222" s="44">
        <f>DAY(MotorPHSales[[#This Row],[Date]])</f>
        <v>7</v>
      </c>
      <c r="D222" s="44">
        <f>YEAR(MotorPHSales[[#This Row],[Date]])</f>
        <v>2025</v>
      </c>
      <c r="E222" s="44" t="s">
        <v>196</v>
      </c>
      <c r="F222" s="44" t="s">
        <v>10</v>
      </c>
      <c r="G222" s="45">
        <v>340000</v>
      </c>
      <c r="H222" s="44">
        <v>47</v>
      </c>
      <c r="I222" s="45">
        <v>15980000</v>
      </c>
      <c r="J222" s="44" t="s">
        <v>197</v>
      </c>
      <c r="K222" s="44" t="str">
        <f>INDEX(CLEANED_MotorPH_Products_List_2!C:C,MATCH(MotorPHSales[[#This Row],[Product]],CLEANED_MotorPH_Products_List_2!$B:$B,0))</f>
        <v>Sport</v>
      </c>
      <c r="L222" s="44" t="str">
        <f>INDEX(CLEANED_MotorPH_Products_List_2!E:E,MATCH(MotorPHSales[[#This Row],[Product]],CLEANED_MotorPH_Products_List_2!$B:$B,0))</f>
        <v>Parallel-twin</v>
      </c>
      <c r="M222" s="44" t="str">
        <f>INDEX(CLEANED_MotorPH_Products_List_2!F:F,MATCH(MotorPHSales[[#This Row],[Product]],CLEANED_MotorPH_Products_List_2!$B:$B,0))</f>
        <v>liquid-cooled</v>
      </c>
      <c r="N222" s="44" t="str">
        <f>INDEX(CLEANED_MotorPH_Products_List_2!G:G,MATCH(MotorPHSales[[#This Row],[Product]],CLEANED_MotorPH_Products_List_2!$B:$B,0))</f>
        <v>399cc</v>
      </c>
      <c r="O222" s="44" t="str">
        <f>INDEX(CLEANED_MotorPH_Products_List_2!K:K,MATCH(MotorPHSales[[#This Row],[Product]],CLEANED_MotorPH_Products_List_2!B:B,0))</f>
        <v>Mid-range</v>
      </c>
      <c r="P222" s="45">
        <f>IF(MotorPHSales[[#This Row],[Segment]]="Entry-level",MotorPHSales[[#This Row],[UnitPrice]]/(1+30%),IF(MotorPHSales[[#This Row],[Segment]]="Mid-range",MotorPHSales[[#This Row],[UnitPrice]]/(1+35%),MotorPHSales[[#This Row],[UnitPrice]]/(1+40%)))*MotorPHSales[[#This Row],[Quantity]]</f>
        <v>11837037.037037035</v>
      </c>
      <c r="Q222" s="44" t="str">
        <f>INDEX(CLEANED_MotorPH_Products_List_2!H:H,MATCH(MotorPHSales[[#This Row],[Product]],CLEANED_MotorPH_Products_List_2!$B:$B,0))</f>
        <v>6-speed</v>
      </c>
    </row>
    <row r="223" spans="1:17" ht="15.75" x14ac:dyDescent="0.3">
      <c r="A223" s="43">
        <v>45863</v>
      </c>
      <c r="B223" s="44" t="str">
        <f>TEXT(MotorPHSales[[#This Row],[Date]],"mmmm")</f>
        <v>July</v>
      </c>
      <c r="C223" s="44">
        <f>DAY(MotorPHSales[[#This Row],[Date]])</f>
        <v>25</v>
      </c>
      <c r="D223" s="44">
        <f>YEAR(MotorPHSales[[#This Row],[Date]])</f>
        <v>2025</v>
      </c>
      <c r="E223" s="44" t="s">
        <v>196</v>
      </c>
      <c r="F223" s="44" t="s">
        <v>59</v>
      </c>
      <c r="G223" s="45">
        <v>67900</v>
      </c>
      <c r="H223" s="44">
        <v>3</v>
      </c>
      <c r="I223" s="45">
        <v>203700</v>
      </c>
      <c r="J223" s="44" t="s">
        <v>195</v>
      </c>
      <c r="K223" s="44" t="str">
        <f>INDEX(CLEANED_MotorPH_Products_List_2!C:C,MATCH(MotorPHSales[[#This Row],[Product]],CLEANED_MotorPH_Products_List_2!$B:$B,0))</f>
        <v>Commuter</v>
      </c>
      <c r="L223" s="44" t="str">
        <f>INDEX(CLEANED_MotorPH_Products_List_2!E:E,MATCH(MotorPHSales[[#This Row],[Product]],CLEANED_MotorPH_Products_List_2!$B:$B,0))</f>
        <v>Single cylinder</v>
      </c>
      <c r="M223" s="44" t="str">
        <f>INDEX(CLEANED_MotorPH_Products_List_2!F:F,MATCH(MotorPHSales[[#This Row],[Product]],CLEANED_MotorPH_Products_List_2!$B:$B,0))</f>
        <v>air-cooled</v>
      </c>
      <c r="N223" s="44" t="str">
        <f>INDEX(CLEANED_MotorPH_Products_List_2!G:G,MATCH(MotorPHSales[[#This Row],[Product]],CLEANED_MotorPH_Products_List_2!$B:$B,0))</f>
        <v>125cc</v>
      </c>
      <c r="O223" s="44" t="str">
        <f>INDEX(CLEANED_MotorPH_Products_List_2!K:K,MATCH(MotorPHSales[[#This Row],[Product]],CLEANED_MotorPH_Products_List_2!B:B,0))</f>
        <v>Entry-level</v>
      </c>
      <c r="P223" s="45">
        <f>IF(MotorPHSales[[#This Row],[Segment]]="Entry-level",MotorPHSales[[#This Row],[UnitPrice]]/(1+30%),IF(MotorPHSales[[#This Row],[Segment]]="Mid-range",MotorPHSales[[#This Row],[UnitPrice]]/(1+35%),MotorPHSales[[#This Row],[UnitPrice]]/(1+40%)))*MotorPHSales[[#This Row],[Quantity]]</f>
        <v>156692.30769230769</v>
      </c>
      <c r="Q223" s="44" t="str">
        <f>INDEX(CLEANED_MotorPH_Products_List_2!H:H,MATCH(MotorPHSales[[#This Row],[Product]],CLEANED_MotorPH_Products_List_2!$B:$B,0))</f>
        <v>4-speed</v>
      </c>
    </row>
    <row r="224" spans="1:17" ht="15.75" x14ac:dyDescent="0.3">
      <c r="A224" s="43">
        <v>45883</v>
      </c>
      <c r="B224" s="44" t="str">
        <f>TEXT(MotorPHSales[[#This Row],[Date]],"mmmm")</f>
        <v>August</v>
      </c>
      <c r="C224" s="44">
        <f>DAY(MotorPHSales[[#This Row],[Date]])</f>
        <v>14</v>
      </c>
      <c r="D224" s="44">
        <f>YEAR(MotorPHSales[[#This Row],[Date]])</f>
        <v>2025</v>
      </c>
      <c r="E224" s="44" t="s">
        <v>194</v>
      </c>
      <c r="F224" s="44" t="s">
        <v>28</v>
      </c>
      <c r="G224" s="45">
        <v>164900</v>
      </c>
      <c r="H224" s="44">
        <v>17</v>
      </c>
      <c r="I224" s="45">
        <v>2803300</v>
      </c>
      <c r="J224" s="44" t="s">
        <v>197</v>
      </c>
      <c r="K224" s="44" t="str">
        <f>INDEX(CLEANED_MotorPH_Products_List_2!C:C,MATCH(MotorPHSales[[#This Row],[Product]],CLEANED_MotorPH_Products_List_2!$B:$B,0))</f>
        <v>Scooter</v>
      </c>
      <c r="L224" s="44" t="str">
        <f>INDEX(CLEANED_MotorPH_Products_List_2!E:E,MATCH(MotorPHSales[[#This Row],[Product]],CLEANED_MotorPH_Products_List_2!$B:$B,0))</f>
        <v>Single cylinder</v>
      </c>
      <c r="M224" s="44" t="str">
        <f>INDEX(CLEANED_MotorPH_Products_List_2!F:F,MATCH(MotorPHSales[[#This Row],[Product]],CLEANED_MotorPH_Products_List_2!$B:$B,0))</f>
        <v>liquid-cooled</v>
      </c>
      <c r="N224" s="44" t="str">
        <f>INDEX(CLEANED_MotorPH_Products_List_2!G:G,MATCH(MotorPHSales[[#This Row],[Product]],CLEANED_MotorPH_Products_List_2!$B:$B,0))</f>
        <v>157cc</v>
      </c>
      <c r="O224" s="44" t="str">
        <f>INDEX(CLEANED_MotorPH_Products_List_2!K:K,MATCH(MotorPHSales[[#This Row],[Product]],CLEANED_MotorPH_Products_List_2!B:B,0))</f>
        <v>Entry-level</v>
      </c>
      <c r="P224" s="45">
        <f>IF(MotorPHSales[[#This Row],[Segment]]="Entry-level",MotorPHSales[[#This Row],[UnitPrice]]/(1+30%),IF(MotorPHSales[[#This Row],[Segment]]="Mid-range",MotorPHSales[[#This Row],[UnitPrice]]/(1+35%),MotorPHSales[[#This Row],[UnitPrice]]/(1+40%)))*MotorPHSales[[#This Row],[Quantity]]</f>
        <v>2156384.6153846155</v>
      </c>
      <c r="Q224" s="44" t="str">
        <f>INDEX(CLEANED_MotorPH_Products_List_2!H:H,MATCH(MotorPHSales[[#This Row],[Product]],CLEANED_MotorPH_Products_List_2!$B:$B,0))</f>
        <v>CVT</v>
      </c>
    </row>
    <row r="225" spans="1:17" ht="15.75" x14ac:dyDescent="0.3">
      <c r="A225" s="43">
        <v>45864</v>
      </c>
      <c r="B225" s="44" t="str">
        <f>TEXT(MotorPHSales[[#This Row],[Date]],"mmmm")</f>
        <v>July</v>
      </c>
      <c r="C225" s="44">
        <f>DAY(MotorPHSales[[#This Row],[Date]])</f>
        <v>26</v>
      </c>
      <c r="D225" s="44">
        <f>YEAR(MotorPHSales[[#This Row],[Date]])</f>
        <v>2025</v>
      </c>
      <c r="E225" s="44" t="s">
        <v>194</v>
      </c>
      <c r="F225" s="44" t="s">
        <v>30</v>
      </c>
      <c r="G225" s="45">
        <v>79900</v>
      </c>
      <c r="H225" s="44">
        <v>6</v>
      </c>
      <c r="I225" s="45">
        <v>479400</v>
      </c>
      <c r="J225" s="44" t="s">
        <v>198</v>
      </c>
      <c r="K225" s="44" t="str">
        <f>INDEX(CLEANED_MotorPH_Products_List_2!C:C,MATCH(MotorPHSales[[#This Row],[Product]],CLEANED_MotorPH_Products_List_2!$B:$B,0))</f>
        <v>Scooter</v>
      </c>
      <c r="L225" s="44" t="str">
        <f>INDEX(CLEANED_MotorPH_Products_List_2!E:E,MATCH(MotorPHSales[[#This Row],[Product]],CLEANED_MotorPH_Products_List_2!$B:$B,0))</f>
        <v>Single cylinder</v>
      </c>
      <c r="M225" s="44" t="str">
        <f>INDEX(CLEANED_MotorPH_Products_List_2!F:F,MATCH(MotorPHSales[[#This Row],[Product]],CLEANED_MotorPH_Products_List_2!$B:$B,0))</f>
        <v>air-cooled</v>
      </c>
      <c r="N225" s="44" t="str">
        <f>INDEX(CLEANED_MotorPH_Products_List_2!G:G,MATCH(MotorPHSales[[#This Row],[Product]],CLEANED_MotorPH_Products_List_2!$B:$B,0))</f>
        <v>124cc</v>
      </c>
      <c r="O225" s="44" t="str">
        <f>INDEX(CLEANED_MotorPH_Products_List_2!K:K,MATCH(MotorPHSales[[#This Row],[Product]],CLEANED_MotorPH_Products_List_2!B:B,0))</f>
        <v>Entry-level</v>
      </c>
      <c r="P225" s="45">
        <f>IF(MotorPHSales[[#This Row],[Segment]]="Entry-level",MotorPHSales[[#This Row],[UnitPrice]]/(1+30%),IF(MotorPHSales[[#This Row],[Segment]]="Mid-range",MotorPHSales[[#This Row],[UnitPrice]]/(1+35%),MotorPHSales[[#This Row],[UnitPrice]]/(1+40%)))*MotorPHSales[[#This Row],[Quantity]]</f>
        <v>368769.23076923075</v>
      </c>
      <c r="Q225" s="44" t="str">
        <f>INDEX(CLEANED_MotorPH_Products_List_2!H:H,MATCH(MotorPHSales[[#This Row],[Product]],CLEANED_MotorPH_Products_List_2!$B:$B,0))</f>
        <v>CVT</v>
      </c>
    </row>
    <row r="226" spans="1:17" ht="15.75" x14ac:dyDescent="0.3">
      <c r="A226" s="43">
        <v>45825</v>
      </c>
      <c r="B226" s="44" t="str">
        <f>TEXT(MotorPHSales[[#This Row],[Date]],"mmmm")</f>
        <v>June</v>
      </c>
      <c r="C226" s="44">
        <f>DAY(MotorPHSales[[#This Row],[Date]])</f>
        <v>17</v>
      </c>
      <c r="D226" s="44">
        <f>YEAR(MotorPHSales[[#This Row],[Date]])</f>
        <v>2025</v>
      </c>
      <c r="E226" s="44" t="s">
        <v>196</v>
      </c>
      <c r="F226" s="44" t="s">
        <v>51</v>
      </c>
      <c r="G226" s="45">
        <v>78900</v>
      </c>
      <c r="H226" s="44">
        <v>43</v>
      </c>
      <c r="I226" s="45">
        <v>3392700</v>
      </c>
      <c r="J226" s="44" t="s">
        <v>198</v>
      </c>
      <c r="K226" s="44" t="str">
        <f>INDEX(CLEANED_MotorPH_Products_List_2!C:C,MATCH(MotorPHSales[[#This Row],[Product]],CLEANED_MotorPH_Products_List_2!$B:$B,0))</f>
        <v>Adventure</v>
      </c>
      <c r="L226" s="44" t="str">
        <f>INDEX(CLEANED_MotorPH_Products_List_2!E:E,MATCH(MotorPHSales[[#This Row],[Product]],CLEANED_MotorPH_Products_List_2!$B:$B,0))</f>
        <v>Single cylinder</v>
      </c>
      <c r="M226" s="44" t="str">
        <f>INDEX(CLEANED_MotorPH_Products_List_2!F:F,MATCH(MotorPHSales[[#This Row],[Product]],CLEANED_MotorPH_Products_List_2!$B:$B,0))</f>
        <v>oil-cooled</v>
      </c>
      <c r="N226" s="44" t="str">
        <f>INDEX(CLEANED_MotorPH_Products_List_2!G:G,MATCH(MotorPHSales[[#This Row],[Product]],CLEANED_MotorPH_Products_List_2!$B:$B,0))</f>
        <v>223cc</v>
      </c>
      <c r="O226" s="44" t="str">
        <f>INDEX(CLEANED_MotorPH_Products_List_2!K:K,MATCH(MotorPHSales[[#This Row],[Product]],CLEANED_MotorPH_Products_List_2!B:B,0))</f>
        <v>Mid-range</v>
      </c>
      <c r="P226" s="45">
        <f>IF(MotorPHSales[[#This Row],[Segment]]="Entry-level",MotorPHSales[[#This Row],[UnitPrice]]/(1+30%),IF(MotorPHSales[[#This Row],[Segment]]="Mid-range",MotorPHSales[[#This Row],[UnitPrice]]/(1+35%),MotorPHSales[[#This Row],[UnitPrice]]/(1+40%)))*MotorPHSales[[#This Row],[Quantity]]</f>
        <v>2513111.111111111</v>
      </c>
      <c r="Q226" s="44" t="str">
        <f>INDEX(CLEANED_MotorPH_Products_List_2!H:H,MATCH(MotorPHSales[[#This Row],[Product]],CLEANED_MotorPH_Products_List_2!$B:$B,0))</f>
        <v>6-speed</v>
      </c>
    </row>
    <row r="227" spans="1:17" ht="15.75" x14ac:dyDescent="0.3">
      <c r="A227" s="43">
        <v>45846</v>
      </c>
      <c r="B227" s="44" t="str">
        <f>TEXT(MotorPHSales[[#This Row],[Date]],"mmmm")</f>
        <v>July</v>
      </c>
      <c r="C227" s="44">
        <f>DAY(MotorPHSales[[#This Row],[Date]])</f>
        <v>8</v>
      </c>
      <c r="D227" s="44">
        <f>YEAR(MotorPHSales[[#This Row],[Date]])</f>
        <v>2025</v>
      </c>
      <c r="E227" s="44" t="s">
        <v>194</v>
      </c>
      <c r="F227" s="44" t="s">
        <v>94</v>
      </c>
      <c r="G227" s="45">
        <v>299000</v>
      </c>
      <c r="H227" s="44">
        <v>6</v>
      </c>
      <c r="I227" s="45">
        <v>1794000</v>
      </c>
      <c r="J227" s="44" t="s">
        <v>197</v>
      </c>
      <c r="K227" s="44" t="str">
        <f>INDEX(CLEANED_MotorPH_Products_List_2!C:C,MATCH(MotorPHSales[[#This Row],[Product]],CLEANED_MotorPH_Products_List_2!$B:$B,0))</f>
        <v>Dual-sport</v>
      </c>
      <c r="L227" s="44" t="str">
        <f>INDEX(CLEANED_MotorPH_Products_List_2!E:E,MATCH(MotorPHSales[[#This Row],[Product]],CLEANED_MotorPH_Products_List_2!$B:$B,0))</f>
        <v>Single cylinder</v>
      </c>
      <c r="M227" s="44" t="str">
        <f>INDEX(CLEANED_MotorPH_Products_List_2!F:F,MATCH(MotorPHSales[[#This Row],[Product]],CLEANED_MotorPH_Products_List_2!$B:$B,0))</f>
        <v>air-cooled</v>
      </c>
      <c r="N227" s="44" t="str">
        <f>INDEX(CLEANED_MotorPH_Products_List_2!G:G,MATCH(MotorPHSales[[#This Row],[Product]],CLEANED_MotorPH_Products_List_2!$B:$B,0))</f>
        <v>249cc</v>
      </c>
      <c r="O227" s="44" t="str">
        <f>INDEX(CLEANED_MotorPH_Products_List_2!K:K,MATCH(MotorPHSales[[#This Row],[Product]],CLEANED_MotorPH_Products_List_2!B:B,0))</f>
        <v>Mid-range</v>
      </c>
      <c r="P227" s="45">
        <f>IF(MotorPHSales[[#This Row],[Segment]]="Entry-level",MotorPHSales[[#This Row],[UnitPrice]]/(1+30%),IF(MotorPHSales[[#This Row],[Segment]]="Mid-range",MotorPHSales[[#This Row],[UnitPrice]]/(1+35%),MotorPHSales[[#This Row],[UnitPrice]]/(1+40%)))*MotorPHSales[[#This Row],[Quantity]]</f>
        <v>1328888.8888888888</v>
      </c>
      <c r="Q227" s="44" t="str">
        <f>INDEX(CLEANED_MotorPH_Products_List_2!H:H,MATCH(MotorPHSales[[#This Row],[Product]],CLEANED_MotorPH_Products_List_2!$B:$B,0))</f>
        <v>5-speed</v>
      </c>
    </row>
    <row r="228" spans="1:17" ht="15.75" x14ac:dyDescent="0.3">
      <c r="A228" s="43">
        <v>45832</v>
      </c>
      <c r="B228" s="44" t="str">
        <f>TEXT(MotorPHSales[[#This Row],[Date]],"mmmm")</f>
        <v>June</v>
      </c>
      <c r="C228" s="44">
        <f>DAY(MotorPHSales[[#This Row],[Date]])</f>
        <v>24</v>
      </c>
      <c r="D228" s="44">
        <f>YEAR(MotorPHSales[[#This Row],[Date]])</f>
        <v>2025</v>
      </c>
      <c r="E228" s="44" t="s">
        <v>194</v>
      </c>
      <c r="F228" s="44" t="s">
        <v>22</v>
      </c>
      <c r="G228" s="45">
        <v>182000</v>
      </c>
      <c r="H228" s="44">
        <v>20</v>
      </c>
      <c r="I228" s="45">
        <v>3640000</v>
      </c>
      <c r="J228" s="44" t="s">
        <v>198</v>
      </c>
      <c r="K228" s="44" t="str">
        <f>INDEX(CLEANED_MotorPH_Products_List_2!C:C,MATCH(MotorPHSales[[#This Row],[Product]],CLEANED_MotorPH_Products_List_2!$B:$B,0))</f>
        <v>Retro</v>
      </c>
      <c r="L228" s="44" t="str">
        <f>INDEX(CLEANED_MotorPH_Products_List_2!E:E,MATCH(MotorPHSales[[#This Row],[Product]],CLEANED_MotorPH_Products_List_2!$B:$B,0))</f>
        <v>Single cylinder</v>
      </c>
      <c r="M228" s="44" t="str">
        <f>INDEX(CLEANED_MotorPH_Products_List_2!F:F,MATCH(MotorPHSales[[#This Row],[Product]],CLEANED_MotorPH_Products_List_2!$B:$B,0))</f>
        <v>liquid-cooled</v>
      </c>
      <c r="N228" s="44" t="str">
        <f>INDEX(CLEANED_MotorPH_Products_List_2!G:G,MATCH(MotorPHSales[[#This Row],[Product]],CLEANED_MotorPH_Products_List_2!$B:$B,0))</f>
        <v>155cc</v>
      </c>
      <c r="O228" s="44" t="str">
        <f>INDEX(CLEANED_MotorPH_Products_List_2!K:K,MATCH(MotorPHSales[[#This Row],[Product]],CLEANED_MotorPH_Products_List_2!B:B,0))</f>
        <v>Entry-level</v>
      </c>
      <c r="P228" s="45">
        <f>IF(MotorPHSales[[#This Row],[Segment]]="Entry-level",MotorPHSales[[#This Row],[UnitPrice]]/(1+30%),IF(MotorPHSales[[#This Row],[Segment]]="Mid-range",MotorPHSales[[#This Row],[UnitPrice]]/(1+35%),MotorPHSales[[#This Row],[UnitPrice]]/(1+40%)))*MotorPHSales[[#This Row],[Quantity]]</f>
        <v>2800000</v>
      </c>
      <c r="Q228" s="44" t="str">
        <f>INDEX(CLEANED_MotorPH_Products_List_2!H:H,MATCH(MotorPHSales[[#This Row],[Product]],CLEANED_MotorPH_Products_List_2!$B:$B,0))</f>
        <v>6-speed</v>
      </c>
    </row>
    <row r="229" spans="1:17" ht="15.75" x14ac:dyDescent="0.3">
      <c r="A229" s="43">
        <v>45877</v>
      </c>
      <c r="B229" s="44" t="str">
        <f>TEXT(MotorPHSales[[#This Row],[Date]],"mmmm")</f>
        <v>August</v>
      </c>
      <c r="C229" s="44">
        <f>DAY(MotorPHSales[[#This Row],[Date]])</f>
        <v>8</v>
      </c>
      <c r="D229" s="44">
        <f>YEAR(MotorPHSales[[#This Row],[Date]])</f>
        <v>2025</v>
      </c>
      <c r="E229" s="44" t="s">
        <v>196</v>
      </c>
      <c r="F229" s="44" t="s">
        <v>86</v>
      </c>
      <c r="G229" s="45">
        <v>650000</v>
      </c>
      <c r="H229" s="44">
        <v>3</v>
      </c>
      <c r="I229" s="45">
        <v>1950000</v>
      </c>
      <c r="J229" s="44" t="s">
        <v>198</v>
      </c>
      <c r="K229" s="44" t="str">
        <f>INDEX(CLEANED_MotorPH_Products_List_2!C:C,MATCH(MotorPHSales[[#This Row],[Product]],CLEANED_MotorPH_Products_List_2!$B:$B,0))</f>
        <v>Cruiser</v>
      </c>
      <c r="L229" s="44" t="str">
        <f>INDEX(CLEANED_MotorPH_Products_List_2!E:E,MATCH(MotorPHSales[[#This Row],[Product]],CLEANED_MotorPH_Products_List_2!$B:$B,0))</f>
        <v>Parallel-twin</v>
      </c>
      <c r="M229" s="44" t="str">
        <f>INDEX(CLEANED_MotorPH_Products_List_2!F:F,MATCH(MotorPHSales[[#This Row],[Product]],CLEANED_MotorPH_Products_List_2!$B:$B,0))</f>
        <v>liquid-cooled</v>
      </c>
      <c r="N229" s="44" t="str">
        <f>INDEX(CLEANED_MotorPH_Products_List_2!G:G,MATCH(MotorPHSales[[#This Row],[Product]],CLEANED_MotorPH_Products_List_2!$B:$B,0))</f>
        <v>1084cc</v>
      </c>
      <c r="O229" s="44" t="str">
        <f>INDEX(CLEANED_MotorPH_Products_List_2!K:K,MATCH(MotorPHSales[[#This Row],[Product]],CLEANED_MotorPH_Products_List_2!B:B,0))</f>
        <v>Premium</v>
      </c>
      <c r="P229" s="45">
        <f>IF(MotorPHSales[[#This Row],[Segment]]="Entry-level",MotorPHSales[[#This Row],[UnitPrice]]/(1+30%),IF(MotorPHSales[[#This Row],[Segment]]="Mid-range",MotorPHSales[[#This Row],[UnitPrice]]/(1+35%),MotorPHSales[[#This Row],[UnitPrice]]/(1+40%)))*MotorPHSales[[#This Row],[Quantity]]</f>
        <v>1392857.142857143</v>
      </c>
      <c r="Q229" s="44" t="str">
        <f>INDEX(CLEANED_MotorPH_Products_List_2!H:H,MATCH(MotorPHSales[[#This Row],[Product]],CLEANED_MotorPH_Products_List_2!$B:$B,0))</f>
        <v>6-speed</v>
      </c>
    </row>
    <row r="230" spans="1:17" ht="15.75" x14ac:dyDescent="0.3">
      <c r="A230" s="43">
        <v>45878</v>
      </c>
      <c r="B230" s="44" t="str">
        <f>TEXT(MotorPHSales[[#This Row],[Date]],"mmmm")</f>
        <v>August</v>
      </c>
      <c r="C230" s="44">
        <f>DAY(MotorPHSales[[#This Row],[Date]])</f>
        <v>9</v>
      </c>
      <c r="D230" s="44">
        <f>YEAR(MotorPHSales[[#This Row],[Date]])</f>
        <v>2025</v>
      </c>
      <c r="E230" s="44" t="s">
        <v>194</v>
      </c>
      <c r="F230" s="44" t="s">
        <v>40</v>
      </c>
      <c r="G230" s="45">
        <v>210000</v>
      </c>
      <c r="H230" s="44">
        <v>36</v>
      </c>
      <c r="I230" s="45">
        <v>7560000</v>
      </c>
      <c r="J230" s="44" t="s">
        <v>195</v>
      </c>
      <c r="K230" s="44" t="str">
        <f>INDEX(CLEANED_MotorPH_Products_List_2!C:C,MATCH(MotorPHSales[[#This Row],[Product]],CLEANED_MotorPH_Products_List_2!$B:$B,0))</f>
        <v>Scooter</v>
      </c>
      <c r="L230" s="44" t="str">
        <f>INDEX(CLEANED_MotorPH_Products_List_2!E:E,MATCH(MotorPHSales[[#This Row],[Product]],CLEANED_MotorPH_Products_List_2!$B:$B,0))</f>
        <v>Single cylinder</v>
      </c>
      <c r="M230" s="44" t="str">
        <f>INDEX(CLEANED_MotorPH_Products_List_2!F:F,MATCH(MotorPHSales[[#This Row],[Product]],CLEANED_MotorPH_Products_List_2!$B:$B,0))</f>
        <v>air-cooled</v>
      </c>
      <c r="N230" s="44" t="str">
        <f>INDEX(CLEANED_MotorPH_Products_List_2!G:G,MATCH(MotorPHSales[[#This Row],[Product]],CLEANED_MotorPH_Products_List_2!$B:$B,0))</f>
        <v>150cc</v>
      </c>
      <c r="O230" s="44" t="str">
        <f>INDEX(CLEANED_MotorPH_Products_List_2!K:K,MATCH(MotorPHSales[[#This Row],[Product]],CLEANED_MotorPH_Products_List_2!B:B,0))</f>
        <v>Entry-level</v>
      </c>
      <c r="P230" s="45">
        <f>IF(MotorPHSales[[#This Row],[Segment]]="Entry-level",MotorPHSales[[#This Row],[UnitPrice]]/(1+30%),IF(MotorPHSales[[#This Row],[Segment]]="Mid-range",MotorPHSales[[#This Row],[UnitPrice]]/(1+35%),MotorPHSales[[#This Row],[UnitPrice]]/(1+40%)))*MotorPHSales[[#This Row],[Quantity]]</f>
        <v>5815384.615384615</v>
      </c>
      <c r="Q230" s="44" t="str">
        <f>INDEX(CLEANED_MotorPH_Products_List_2!H:H,MATCH(MotorPHSales[[#This Row],[Product]],CLEANED_MotorPH_Products_List_2!$B:$B,0))</f>
        <v>CVT</v>
      </c>
    </row>
    <row r="231" spans="1:17" ht="15.75" x14ac:dyDescent="0.3">
      <c r="A231" s="43">
        <v>45894</v>
      </c>
      <c r="B231" s="44" t="str">
        <f>TEXT(MotorPHSales[[#This Row],[Date]],"mmmm")</f>
        <v>August</v>
      </c>
      <c r="C231" s="44">
        <f>DAY(MotorPHSales[[#This Row],[Date]])</f>
        <v>25</v>
      </c>
      <c r="D231" s="44">
        <f>YEAR(MotorPHSales[[#This Row],[Date]])</f>
        <v>2025</v>
      </c>
      <c r="E231" s="44" t="s">
        <v>196</v>
      </c>
      <c r="F231" s="44" t="s">
        <v>46</v>
      </c>
      <c r="G231" s="45">
        <v>124000</v>
      </c>
      <c r="H231" s="44">
        <v>15</v>
      </c>
      <c r="I231" s="45">
        <v>1860000</v>
      </c>
      <c r="J231" s="44" t="s">
        <v>195</v>
      </c>
      <c r="K231" s="44" t="str">
        <f>INDEX(CLEANED_MotorPH_Products_List_2!C:C,MATCH(MotorPHSales[[#This Row],[Product]],CLEANED_MotorPH_Products_List_2!$B:$B,0))</f>
        <v>Scooter</v>
      </c>
      <c r="L231" s="44" t="str">
        <f>INDEX(CLEANED_MotorPH_Products_List_2!E:E,MATCH(MotorPHSales[[#This Row],[Product]],CLEANED_MotorPH_Products_List_2!$B:$B,0))</f>
        <v>Single cylinder</v>
      </c>
      <c r="M231" s="44" t="str">
        <f>INDEX(CLEANED_MotorPH_Products_List_2!F:F,MATCH(MotorPHSales[[#This Row],[Product]],CLEANED_MotorPH_Products_List_2!$B:$B,0))</f>
        <v>liquid-cooled</v>
      </c>
      <c r="N231" s="44" t="str">
        <f>INDEX(CLEANED_MotorPH_Products_List_2!G:G,MATCH(MotorPHSales[[#This Row],[Product]],CLEANED_MotorPH_Products_List_2!$B:$B,0))</f>
        <v>155cc</v>
      </c>
      <c r="O231" s="44" t="str">
        <f>INDEX(CLEANED_MotorPH_Products_List_2!K:K,MATCH(MotorPHSales[[#This Row],[Product]],CLEANED_MotorPH_Products_List_2!B:B,0))</f>
        <v>Entry-level</v>
      </c>
      <c r="P231" s="45">
        <f>IF(MotorPHSales[[#This Row],[Segment]]="Entry-level",MotorPHSales[[#This Row],[UnitPrice]]/(1+30%),IF(MotorPHSales[[#This Row],[Segment]]="Mid-range",MotorPHSales[[#This Row],[UnitPrice]]/(1+35%),MotorPHSales[[#This Row],[UnitPrice]]/(1+40%)))*MotorPHSales[[#This Row],[Quantity]]</f>
        <v>1430769.2307692305</v>
      </c>
      <c r="Q231" s="44" t="str">
        <f>INDEX(CLEANED_MotorPH_Products_List_2!H:H,MATCH(MotorPHSales[[#This Row],[Product]],CLEANED_MotorPH_Products_List_2!$B:$B,0))</f>
        <v>CVT</v>
      </c>
    </row>
    <row r="232" spans="1:17" ht="15.75" x14ac:dyDescent="0.3">
      <c r="A232" s="43">
        <v>45819</v>
      </c>
      <c r="B232" s="44" t="str">
        <f>TEXT(MotorPHSales[[#This Row],[Date]],"mmmm")</f>
        <v>June</v>
      </c>
      <c r="C232" s="44">
        <f>DAY(MotorPHSales[[#This Row],[Date]])</f>
        <v>11</v>
      </c>
      <c r="D232" s="44">
        <f>YEAR(MotorPHSales[[#This Row],[Date]])</f>
        <v>2025</v>
      </c>
      <c r="E232" s="44" t="s">
        <v>194</v>
      </c>
      <c r="F232" s="44" t="s">
        <v>55</v>
      </c>
      <c r="G232" s="45">
        <v>80900</v>
      </c>
      <c r="H232" s="44">
        <v>38</v>
      </c>
      <c r="I232" s="45">
        <v>3074200</v>
      </c>
      <c r="J232" s="44" t="s">
        <v>198</v>
      </c>
      <c r="K232" s="44" t="str">
        <f>INDEX(CLEANED_MotorPH_Products_List_2!C:C,MATCH(MotorPHSales[[#This Row],[Product]],CLEANED_MotorPH_Products_List_2!$B:$B,0))</f>
        <v>Scooter</v>
      </c>
      <c r="L232" s="44" t="str">
        <f>INDEX(CLEANED_MotorPH_Products_List_2!E:E,MATCH(MotorPHSales[[#This Row],[Product]],CLEANED_MotorPH_Products_List_2!$B:$B,0))</f>
        <v>Single cylinder</v>
      </c>
      <c r="M232" s="44" t="str">
        <f>INDEX(CLEANED_MotorPH_Products_List_2!F:F,MATCH(MotorPHSales[[#This Row],[Product]],CLEANED_MotorPH_Products_List_2!$B:$B,0))</f>
        <v>liquid-cooled</v>
      </c>
      <c r="N232" s="44" t="str">
        <f>INDEX(CLEANED_MotorPH_Products_List_2!G:G,MATCH(MotorPHSales[[#This Row],[Product]],CLEANED_MotorPH_Products_List_2!$B:$B,0))</f>
        <v>125cc</v>
      </c>
      <c r="O232" s="44" t="str">
        <f>INDEX(CLEANED_MotorPH_Products_List_2!K:K,MATCH(MotorPHSales[[#This Row],[Product]],CLEANED_MotorPH_Products_List_2!B:B,0))</f>
        <v>Entry-level</v>
      </c>
      <c r="P232" s="45">
        <f>IF(MotorPHSales[[#This Row],[Segment]]="Entry-level",MotorPHSales[[#This Row],[UnitPrice]]/(1+30%),IF(MotorPHSales[[#This Row],[Segment]]="Mid-range",MotorPHSales[[#This Row],[UnitPrice]]/(1+35%),MotorPHSales[[#This Row],[UnitPrice]]/(1+40%)))*MotorPHSales[[#This Row],[Quantity]]</f>
        <v>2364769.2307692305</v>
      </c>
      <c r="Q232" s="44" t="str">
        <f>INDEX(CLEANED_MotorPH_Products_List_2!H:H,MATCH(MotorPHSales[[#This Row],[Product]],CLEANED_MotorPH_Products_List_2!$B:$B,0))</f>
        <v>CVT</v>
      </c>
    </row>
    <row r="233" spans="1:17" ht="15.75" x14ac:dyDescent="0.3">
      <c r="A233" s="43">
        <v>45824</v>
      </c>
      <c r="B233" s="44" t="str">
        <f>TEXT(MotorPHSales[[#This Row],[Date]],"mmmm")</f>
        <v>June</v>
      </c>
      <c r="C233" s="44">
        <f>DAY(MotorPHSales[[#This Row],[Date]])</f>
        <v>16</v>
      </c>
      <c r="D233" s="44">
        <f>YEAR(MotorPHSales[[#This Row],[Date]])</f>
        <v>2025</v>
      </c>
      <c r="E233" s="44" t="s">
        <v>196</v>
      </c>
      <c r="F233" s="44" t="s">
        <v>55</v>
      </c>
      <c r="G233" s="45">
        <v>80900</v>
      </c>
      <c r="H233" s="44">
        <v>16</v>
      </c>
      <c r="I233" s="45">
        <v>1294400</v>
      </c>
      <c r="J233" s="44" t="s">
        <v>195</v>
      </c>
      <c r="K233" s="44" t="str">
        <f>INDEX(CLEANED_MotorPH_Products_List_2!C:C,MATCH(MotorPHSales[[#This Row],[Product]],CLEANED_MotorPH_Products_List_2!$B:$B,0))</f>
        <v>Scooter</v>
      </c>
      <c r="L233" s="44" t="str">
        <f>INDEX(CLEANED_MotorPH_Products_List_2!E:E,MATCH(MotorPHSales[[#This Row],[Product]],CLEANED_MotorPH_Products_List_2!$B:$B,0))</f>
        <v>Single cylinder</v>
      </c>
      <c r="M233" s="44" t="str">
        <f>INDEX(CLEANED_MotorPH_Products_List_2!F:F,MATCH(MotorPHSales[[#This Row],[Product]],CLEANED_MotorPH_Products_List_2!$B:$B,0))</f>
        <v>liquid-cooled</v>
      </c>
      <c r="N233" s="44" t="str">
        <f>INDEX(CLEANED_MotorPH_Products_List_2!G:G,MATCH(MotorPHSales[[#This Row],[Product]],CLEANED_MotorPH_Products_List_2!$B:$B,0))</f>
        <v>125cc</v>
      </c>
      <c r="O233" s="44" t="str">
        <f>INDEX(CLEANED_MotorPH_Products_List_2!K:K,MATCH(MotorPHSales[[#This Row],[Product]],CLEANED_MotorPH_Products_List_2!B:B,0))</f>
        <v>Entry-level</v>
      </c>
      <c r="P233" s="45">
        <f>IF(MotorPHSales[[#This Row],[Segment]]="Entry-level",MotorPHSales[[#This Row],[UnitPrice]]/(1+30%),IF(MotorPHSales[[#This Row],[Segment]]="Mid-range",MotorPHSales[[#This Row],[UnitPrice]]/(1+35%),MotorPHSales[[#This Row],[UnitPrice]]/(1+40%)))*MotorPHSales[[#This Row],[Quantity]]</f>
        <v>995692.30769230763</v>
      </c>
      <c r="Q233" s="44" t="str">
        <f>INDEX(CLEANED_MotorPH_Products_List_2!H:H,MATCH(MotorPHSales[[#This Row],[Product]],CLEANED_MotorPH_Products_List_2!$B:$B,0))</f>
        <v>CVT</v>
      </c>
    </row>
    <row r="234" spans="1:17" ht="15.75" x14ac:dyDescent="0.3">
      <c r="A234" s="43">
        <v>45881</v>
      </c>
      <c r="B234" s="44" t="str">
        <f>TEXT(MotorPHSales[[#This Row],[Date]],"mmmm")</f>
        <v>August</v>
      </c>
      <c r="C234" s="44">
        <f>DAY(MotorPHSales[[#This Row],[Date]])</f>
        <v>12</v>
      </c>
      <c r="D234" s="44">
        <f>YEAR(MotorPHSales[[#This Row],[Date]])</f>
        <v>2025</v>
      </c>
      <c r="E234" s="44" t="s">
        <v>196</v>
      </c>
      <c r="F234" s="44" t="s">
        <v>26</v>
      </c>
      <c r="G234" s="45">
        <v>151900</v>
      </c>
      <c r="H234" s="44">
        <v>3</v>
      </c>
      <c r="I234" s="45">
        <v>455700</v>
      </c>
      <c r="J234" s="44" t="s">
        <v>195</v>
      </c>
      <c r="K234" s="44" t="str">
        <f>INDEX(CLEANED_MotorPH_Products_List_2!C:C,MATCH(MotorPHSales[[#This Row],[Product]],CLEANED_MotorPH_Products_List_2!$B:$B,0))</f>
        <v>Scooter</v>
      </c>
      <c r="L234" s="44" t="str">
        <f>INDEX(CLEANED_MotorPH_Products_List_2!E:E,MATCH(MotorPHSales[[#This Row],[Product]],CLEANED_MotorPH_Products_List_2!$B:$B,0))</f>
        <v>Single cylinder</v>
      </c>
      <c r="M234" s="44" t="str">
        <f>INDEX(CLEANED_MotorPH_Products_List_2!F:F,MATCH(MotorPHSales[[#This Row],[Product]],CLEANED_MotorPH_Products_List_2!$B:$B,0))</f>
        <v>liquid-cooled</v>
      </c>
      <c r="N234" s="44" t="str">
        <f>INDEX(CLEANED_MotorPH_Products_List_2!G:G,MATCH(MotorPHSales[[#This Row],[Product]],CLEANED_MotorPH_Products_List_2!$B:$B,0))</f>
        <v>155cc</v>
      </c>
      <c r="O234" s="44" t="str">
        <f>INDEX(CLEANED_MotorPH_Products_List_2!K:K,MATCH(MotorPHSales[[#This Row],[Product]],CLEANED_MotorPH_Products_List_2!B:B,0))</f>
        <v>Entry-level</v>
      </c>
      <c r="P234" s="45">
        <f>IF(MotorPHSales[[#This Row],[Segment]]="Entry-level",MotorPHSales[[#This Row],[UnitPrice]]/(1+30%),IF(MotorPHSales[[#This Row],[Segment]]="Mid-range",MotorPHSales[[#This Row],[UnitPrice]]/(1+35%),MotorPHSales[[#This Row],[UnitPrice]]/(1+40%)))*MotorPHSales[[#This Row],[Quantity]]</f>
        <v>350538.4615384615</v>
      </c>
      <c r="Q234" s="44" t="str">
        <f>INDEX(CLEANED_MotorPH_Products_List_2!H:H,MATCH(MotorPHSales[[#This Row],[Product]],CLEANED_MotorPH_Products_List_2!$B:$B,0))</f>
        <v>CVT</v>
      </c>
    </row>
    <row r="235" spans="1:17" ht="15.75" x14ac:dyDescent="0.3">
      <c r="A235" s="43">
        <v>45867</v>
      </c>
      <c r="B235" s="44" t="str">
        <f>TEXT(MotorPHSales[[#This Row],[Date]],"mmmm")</f>
        <v>July</v>
      </c>
      <c r="C235" s="44">
        <f>DAY(MotorPHSales[[#This Row],[Date]])</f>
        <v>29</v>
      </c>
      <c r="D235" s="44">
        <f>YEAR(MotorPHSales[[#This Row],[Date]])</f>
        <v>2025</v>
      </c>
      <c r="E235" s="44" t="s">
        <v>194</v>
      </c>
      <c r="F235" s="44" t="s">
        <v>6</v>
      </c>
      <c r="G235" s="45">
        <v>389000</v>
      </c>
      <c r="H235" s="44">
        <v>3</v>
      </c>
      <c r="I235" s="45">
        <v>1167000</v>
      </c>
      <c r="J235" s="44" t="s">
        <v>198</v>
      </c>
      <c r="K235" s="44" t="str">
        <f>INDEX(CLEANED_MotorPH_Products_List_2!C:C,MATCH(MotorPHSales[[#This Row],[Product]],CLEANED_MotorPH_Products_List_2!$B:$B,0))</f>
        <v>Sport</v>
      </c>
      <c r="L235" s="44" t="str">
        <f>INDEX(CLEANED_MotorPH_Products_List_2!E:E,MATCH(MotorPHSales[[#This Row],[Product]],CLEANED_MotorPH_Products_List_2!$B:$B,0))</f>
        <v>Parallel-twin</v>
      </c>
      <c r="M235" s="44" t="str">
        <f>INDEX(CLEANED_MotorPH_Products_List_2!F:F,MATCH(MotorPHSales[[#This Row],[Product]],CLEANED_MotorPH_Products_List_2!$B:$B,0))</f>
        <v>liquid-cooled</v>
      </c>
      <c r="N235" s="44" t="str">
        <f>INDEX(CLEANED_MotorPH_Products_List_2!G:G,MATCH(MotorPHSales[[#This Row],[Product]],CLEANED_MotorPH_Products_List_2!$B:$B,0))</f>
        <v>471cc</v>
      </c>
      <c r="O235" s="44" t="str">
        <f>INDEX(CLEANED_MotorPH_Products_List_2!K:K,MATCH(MotorPHSales[[#This Row],[Product]],CLEANED_MotorPH_Products_List_2!B:B,0))</f>
        <v>Mid-range</v>
      </c>
      <c r="P235" s="45">
        <f>IF(MotorPHSales[[#This Row],[Segment]]="Entry-level",MotorPHSales[[#This Row],[UnitPrice]]/(1+30%),IF(MotorPHSales[[#This Row],[Segment]]="Mid-range",MotorPHSales[[#This Row],[UnitPrice]]/(1+35%),MotorPHSales[[#This Row],[UnitPrice]]/(1+40%)))*MotorPHSales[[#This Row],[Quantity]]</f>
        <v>864444.4444444445</v>
      </c>
      <c r="Q235" s="44" t="str">
        <f>INDEX(CLEANED_MotorPH_Products_List_2!H:H,MATCH(MotorPHSales[[#This Row],[Product]],CLEANED_MotorPH_Products_List_2!$B:$B,0))</f>
        <v>6-speed</v>
      </c>
    </row>
    <row r="236" spans="1:17" ht="15.75" x14ac:dyDescent="0.3">
      <c r="A236" s="43">
        <v>45878</v>
      </c>
      <c r="B236" s="44" t="str">
        <f>TEXT(MotorPHSales[[#This Row],[Date]],"mmmm")</f>
        <v>August</v>
      </c>
      <c r="C236" s="44">
        <f>DAY(MotorPHSales[[#This Row],[Date]])</f>
        <v>9</v>
      </c>
      <c r="D236" s="44">
        <f>YEAR(MotorPHSales[[#This Row],[Date]])</f>
        <v>2025</v>
      </c>
      <c r="E236" s="44" t="s">
        <v>196</v>
      </c>
      <c r="F236" s="44" t="s">
        <v>24</v>
      </c>
      <c r="G236" s="45">
        <v>199900</v>
      </c>
      <c r="H236" s="44">
        <v>8</v>
      </c>
      <c r="I236" s="45">
        <v>1599200</v>
      </c>
      <c r="J236" s="44" t="s">
        <v>198</v>
      </c>
      <c r="K236" s="44" t="str">
        <f>INDEX(CLEANED_MotorPH_Products_List_2!C:C,MATCH(MotorPHSales[[#This Row],[Product]],CLEANED_MotorPH_Products_List_2!$B:$B,0))</f>
        <v>Sport touring</v>
      </c>
      <c r="L236" s="44" t="str">
        <f>INDEX(CLEANED_MotorPH_Products_List_2!E:E,MATCH(MotorPHSales[[#This Row],[Product]],CLEANED_MotorPH_Products_List_2!$B:$B,0))</f>
        <v>Single cylinder</v>
      </c>
      <c r="M236" s="44" t="str">
        <f>INDEX(CLEANED_MotorPH_Products_List_2!F:F,MATCH(MotorPHSales[[#This Row],[Product]],CLEANED_MotorPH_Products_List_2!$B:$B,0))</f>
        <v>liquid-cooled</v>
      </c>
      <c r="N236" s="44" t="str">
        <f>INDEX(CLEANED_MotorPH_Products_List_2!G:G,MATCH(MotorPHSales[[#This Row],[Product]],CLEANED_MotorPH_Products_List_2!$B:$B,0))</f>
        <v>373cc</v>
      </c>
      <c r="O236" s="44" t="str">
        <f>INDEX(CLEANED_MotorPH_Products_List_2!K:K,MATCH(MotorPHSales[[#This Row],[Product]],CLEANED_MotorPH_Products_List_2!B:B,0))</f>
        <v>Mid-range</v>
      </c>
      <c r="P236" s="45">
        <f>IF(MotorPHSales[[#This Row],[Segment]]="Entry-level",MotorPHSales[[#This Row],[UnitPrice]]/(1+30%),IF(MotorPHSales[[#This Row],[Segment]]="Mid-range",MotorPHSales[[#This Row],[UnitPrice]]/(1+35%),MotorPHSales[[#This Row],[UnitPrice]]/(1+40%)))*MotorPHSales[[#This Row],[Quantity]]</f>
        <v>1184592.5925925926</v>
      </c>
      <c r="Q236" s="44" t="str">
        <f>INDEX(CLEANED_MotorPH_Products_List_2!H:H,MATCH(MotorPHSales[[#This Row],[Product]],CLEANED_MotorPH_Products_List_2!$B:$B,0))</f>
        <v>6-speed</v>
      </c>
    </row>
    <row r="237" spans="1:17" ht="15.75" x14ac:dyDescent="0.3">
      <c r="A237" s="43">
        <v>45888</v>
      </c>
      <c r="B237" s="44" t="str">
        <f>TEXT(MotorPHSales[[#This Row],[Date]],"mmmm")</f>
        <v>August</v>
      </c>
      <c r="C237" s="44">
        <f>DAY(MotorPHSales[[#This Row],[Date]])</f>
        <v>19</v>
      </c>
      <c r="D237" s="44">
        <f>YEAR(MotorPHSales[[#This Row],[Date]])</f>
        <v>2025</v>
      </c>
      <c r="E237" s="44" t="s">
        <v>194</v>
      </c>
      <c r="F237" s="44" t="s">
        <v>66</v>
      </c>
      <c r="G237" s="45">
        <v>499000</v>
      </c>
      <c r="H237" s="44">
        <v>4</v>
      </c>
      <c r="I237" s="45">
        <v>1996000</v>
      </c>
      <c r="J237" s="44" t="s">
        <v>197</v>
      </c>
      <c r="K237" s="44" t="str">
        <f>INDEX(CLEANED_MotorPH_Products_List_2!C:C,MATCH(MotorPHSales[[#This Row],[Product]],CLEANED_MotorPH_Products_List_2!$B:$B,0))</f>
        <v>Cruiser</v>
      </c>
      <c r="L237" s="44" t="str">
        <f>INDEX(CLEANED_MotorPH_Products_List_2!E:E,MATCH(MotorPHSales[[#This Row],[Product]],CLEANED_MotorPH_Products_List_2!$B:$B,0))</f>
        <v>V-twin</v>
      </c>
      <c r="M237" s="44" t="str">
        <f>INDEX(CLEANED_MotorPH_Products_List_2!F:F,MATCH(MotorPHSales[[#This Row],[Product]],CLEANED_MotorPH_Products_List_2!$B:$B,0))</f>
        <v>liquid-cooled</v>
      </c>
      <c r="N237" s="44" t="str">
        <f>INDEX(CLEANED_MotorPH_Products_List_2!G:G,MATCH(MotorPHSales[[#This Row],[Product]],CLEANED_MotorPH_Products_List_2!$B:$B,0))</f>
        <v>749cc</v>
      </c>
      <c r="O237" s="44" t="str">
        <f>INDEX(CLEANED_MotorPH_Products_List_2!K:K,MATCH(MotorPHSales[[#This Row],[Product]],CLEANED_MotorPH_Products_List_2!B:B,0))</f>
        <v>Premium</v>
      </c>
      <c r="P237" s="45">
        <f>IF(MotorPHSales[[#This Row],[Segment]]="Entry-level",MotorPHSales[[#This Row],[UnitPrice]]/(1+30%),IF(MotorPHSales[[#This Row],[Segment]]="Mid-range",MotorPHSales[[#This Row],[UnitPrice]]/(1+35%),MotorPHSales[[#This Row],[UnitPrice]]/(1+40%)))*MotorPHSales[[#This Row],[Quantity]]</f>
        <v>1425714.2857142859</v>
      </c>
      <c r="Q237" s="44" t="str">
        <f>INDEX(CLEANED_MotorPH_Products_List_2!H:H,MATCH(MotorPHSales[[#This Row],[Product]],CLEANED_MotorPH_Products_List_2!$B:$B,0))</f>
        <v>6-speed</v>
      </c>
    </row>
    <row r="238" spans="1:17" ht="15.75" x14ac:dyDescent="0.3">
      <c r="A238" s="43">
        <v>45811</v>
      </c>
      <c r="B238" s="44" t="str">
        <f>TEXT(MotorPHSales[[#This Row],[Date]],"mmmm")</f>
        <v>June</v>
      </c>
      <c r="C238" s="44">
        <f>DAY(MotorPHSales[[#This Row],[Date]])</f>
        <v>3</v>
      </c>
      <c r="D238" s="44">
        <f>YEAR(MotorPHSales[[#This Row],[Date]])</f>
        <v>2025</v>
      </c>
      <c r="E238" s="44" t="s">
        <v>194</v>
      </c>
      <c r="F238" s="44" t="s">
        <v>61</v>
      </c>
      <c r="G238" s="45">
        <v>284900</v>
      </c>
      <c r="H238" s="44">
        <v>21</v>
      </c>
      <c r="I238" s="45">
        <v>5982900</v>
      </c>
      <c r="J238" s="44" t="s">
        <v>195</v>
      </c>
      <c r="K238" s="44" t="str">
        <f>INDEX(CLEANED_MotorPH_Products_List_2!C:C,MATCH(MotorPHSales[[#This Row],[Product]],CLEANED_MotorPH_Products_List_2!$B:$B,0))</f>
        <v>Dual-sport</v>
      </c>
      <c r="L238" s="44" t="str">
        <f>INDEX(CLEANED_MotorPH_Products_List_2!E:E,MATCH(MotorPHSales[[#This Row],[Product]],CLEANED_MotorPH_Products_List_2!$B:$B,0))</f>
        <v>Single cylinder</v>
      </c>
      <c r="M238" s="44" t="str">
        <f>INDEX(CLEANED_MotorPH_Products_List_2!F:F,MATCH(MotorPHSales[[#This Row],[Product]],CLEANED_MotorPH_Products_List_2!$B:$B,0))</f>
        <v>liquid-cooled</v>
      </c>
      <c r="N238" s="44" t="str">
        <f>INDEX(CLEANED_MotorPH_Products_List_2!G:G,MATCH(MotorPHSales[[#This Row],[Product]],CLEANED_MotorPH_Products_List_2!$B:$B,0))</f>
        <v>286cc</v>
      </c>
      <c r="O238" s="44" t="str">
        <f>INDEX(CLEANED_MotorPH_Products_List_2!K:K,MATCH(MotorPHSales[[#This Row],[Product]],CLEANED_MotorPH_Products_List_2!B:B,0))</f>
        <v>Mid-range</v>
      </c>
      <c r="P238" s="45">
        <f>IF(MotorPHSales[[#This Row],[Segment]]="Entry-level",MotorPHSales[[#This Row],[UnitPrice]]/(1+30%),IF(MotorPHSales[[#This Row],[Segment]]="Mid-range",MotorPHSales[[#This Row],[UnitPrice]]/(1+35%),MotorPHSales[[#This Row],[UnitPrice]]/(1+40%)))*MotorPHSales[[#This Row],[Quantity]]</f>
        <v>4431777.7777777771</v>
      </c>
      <c r="Q238" s="44" t="str">
        <f>INDEX(CLEANED_MotorPH_Products_List_2!H:H,MATCH(MotorPHSales[[#This Row],[Product]],CLEANED_MotorPH_Products_List_2!$B:$B,0))</f>
        <v>6-speed</v>
      </c>
    </row>
    <row r="239" spans="1:17" ht="15.75" x14ac:dyDescent="0.3">
      <c r="A239" s="43">
        <v>45828</v>
      </c>
      <c r="B239" s="44" t="str">
        <f>TEXT(MotorPHSales[[#This Row],[Date]],"mmmm")</f>
        <v>June</v>
      </c>
      <c r="C239" s="44">
        <f>DAY(MotorPHSales[[#This Row],[Date]])</f>
        <v>20</v>
      </c>
      <c r="D239" s="44">
        <f>YEAR(MotorPHSales[[#This Row],[Date]])</f>
        <v>2025</v>
      </c>
      <c r="E239" s="44" t="s">
        <v>196</v>
      </c>
      <c r="F239" s="44" t="s">
        <v>66</v>
      </c>
      <c r="G239" s="45">
        <v>499000</v>
      </c>
      <c r="H239" s="44">
        <v>6</v>
      </c>
      <c r="I239" s="45">
        <v>2994000</v>
      </c>
      <c r="J239" s="44" t="s">
        <v>197</v>
      </c>
      <c r="K239" s="44" t="str">
        <f>INDEX(CLEANED_MotorPH_Products_List_2!C:C,MATCH(MotorPHSales[[#This Row],[Product]],CLEANED_MotorPH_Products_List_2!$B:$B,0))</f>
        <v>Cruiser</v>
      </c>
      <c r="L239" s="44" t="str">
        <f>INDEX(CLEANED_MotorPH_Products_List_2!E:E,MATCH(MotorPHSales[[#This Row],[Product]],CLEANED_MotorPH_Products_List_2!$B:$B,0))</f>
        <v>V-twin</v>
      </c>
      <c r="M239" s="44" t="str">
        <f>INDEX(CLEANED_MotorPH_Products_List_2!F:F,MATCH(MotorPHSales[[#This Row],[Product]],CLEANED_MotorPH_Products_List_2!$B:$B,0))</f>
        <v>liquid-cooled</v>
      </c>
      <c r="N239" s="44" t="str">
        <f>INDEX(CLEANED_MotorPH_Products_List_2!G:G,MATCH(MotorPHSales[[#This Row],[Product]],CLEANED_MotorPH_Products_List_2!$B:$B,0))</f>
        <v>749cc</v>
      </c>
      <c r="O239" s="44" t="str">
        <f>INDEX(CLEANED_MotorPH_Products_List_2!K:K,MATCH(MotorPHSales[[#This Row],[Product]],CLEANED_MotorPH_Products_List_2!B:B,0))</f>
        <v>Premium</v>
      </c>
      <c r="P239" s="45">
        <f>IF(MotorPHSales[[#This Row],[Segment]]="Entry-level",MotorPHSales[[#This Row],[UnitPrice]]/(1+30%),IF(MotorPHSales[[#This Row],[Segment]]="Mid-range",MotorPHSales[[#This Row],[UnitPrice]]/(1+35%),MotorPHSales[[#This Row],[UnitPrice]]/(1+40%)))*MotorPHSales[[#This Row],[Quantity]]</f>
        <v>2138571.4285714291</v>
      </c>
      <c r="Q239" s="44" t="str">
        <f>INDEX(CLEANED_MotorPH_Products_List_2!H:H,MATCH(MotorPHSales[[#This Row],[Product]],CLEANED_MotorPH_Products_List_2!$B:$B,0))</f>
        <v>6-speed</v>
      </c>
    </row>
    <row r="240" spans="1:17" ht="15.75" x14ac:dyDescent="0.3">
      <c r="A240" s="43">
        <v>45867</v>
      </c>
      <c r="B240" s="44" t="str">
        <f>TEXT(MotorPHSales[[#This Row],[Date]],"mmmm")</f>
        <v>July</v>
      </c>
      <c r="C240" s="44">
        <f>DAY(MotorPHSales[[#This Row],[Date]])</f>
        <v>29</v>
      </c>
      <c r="D240" s="44">
        <f>YEAR(MotorPHSales[[#This Row],[Date]])</f>
        <v>2025</v>
      </c>
      <c r="E240" s="44" t="s">
        <v>194</v>
      </c>
      <c r="F240" s="44" t="s">
        <v>49</v>
      </c>
      <c r="G240" s="45">
        <v>68900</v>
      </c>
      <c r="H240" s="44">
        <v>42</v>
      </c>
      <c r="I240" s="45">
        <v>2893800</v>
      </c>
      <c r="J240" s="44" t="s">
        <v>197</v>
      </c>
      <c r="K240" s="44" t="str">
        <f>INDEX(CLEANED_MotorPH_Products_List_2!C:C,MATCH(MotorPHSales[[#This Row],[Product]],CLEANED_MotorPH_Products_List_2!$B:$B,0))</f>
        <v>Standard</v>
      </c>
      <c r="L240" s="44" t="str">
        <f>INDEX(CLEANED_MotorPH_Products_List_2!E:E,MATCH(MotorPHSales[[#This Row],[Product]],CLEANED_MotorPH_Products_List_2!$B:$B,0))</f>
        <v>Single cylinder</v>
      </c>
      <c r="M240" s="44" t="str">
        <f>INDEX(CLEANED_MotorPH_Products_List_2!F:F,MATCH(MotorPHSales[[#This Row],[Product]],CLEANED_MotorPH_Products_List_2!$B:$B,0))</f>
        <v>air-cooled</v>
      </c>
      <c r="N240" s="44" t="str">
        <f>INDEX(CLEANED_MotorPH_Products_List_2!G:G,MATCH(MotorPHSales[[#This Row],[Product]],CLEANED_MotorPH_Products_List_2!$B:$B,0))</f>
        <v>149cc</v>
      </c>
      <c r="O240" s="44" t="str">
        <f>INDEX(CLEANED_MotorPH_Products_List_2!K:K,MATCH(MotorPHSales[[#This Row],[Product]],CLEANED_MotorPH_Products_List_2!B:B,0))</f>
        <v>Entry-level</v>
      </c>
      <c r="P240" s="45">
        <f>IF(MotorPHSales[[#This Row],[Segment]]="Entry-level",MotorPHSales[[#This Row],[UnitPrice]]/(1+30%),IF(MotorPHSales[[#This Row],[Segment]]="Mid-range",MotorPHSales[[#This Row],[UnitPrice]]/(1+35%),MotorPHSales[[#This Row],[UnitPrice]]/(1+40%)))*MotorPHSales[[#This Row],[Quantity]]</f>
        <v>2226000</v>
      </c>
      <c r="Q240" s="44" t="str">
        <f>INDEX(CLEANED_MotorPH_Products_List_2!H:H,MATCH(MotorPHSales[[#This Row],[Product]],CLEANED_MotorPH_Products_List_2!$B:$B,0))</f>
        <v>5-speed</v>
      </c>
    </row>
    <row r="241" spans="1:17" ht="15.75" x14ac:dyDescent="0.3">
      <c r="A241" s="43">
        <v>45844</v>
      </c>
      <c r="B241" s="44" t="str">
        <f>TEXT(MotorPHSales[[#This Row],[Date]],"mmmm")</f>
        <v>July</v>
      </c>
      <c r="C241" s="44">
        <f>DAY(MotorPHSales[[#This Row],[Date]])</f>
        <v>6</v>
      </c>
      <c r="D241" s="44">
        <f>YEAR(MotorPHSales[[#This Row],[Date]])</f>
        <v>2025</v>
      </c>
      <c r="E241" s="44" t="s">
        <v>194</v>
      </c>
      <c r="F241" s="44" t="s">
        <v>68</v>
      </c>
      <c r="G241" s="45">
        <v>248000</v>
      </c>
      <c r="H241" s="44">
        <v>12</v>
      </c>
      <c r="I241" s="45">
        <v>2976000</v>
      </c>
      <c r="J241" s="44" t="s">
        <v>195</v>
      </c>
      <c r="K241" s="44" t="str">
        <f>INDEX(CLEANED_MotorPH_Products_List_2!C:C,MATCH(MotorPHSales[[#This Row],[Product]],CLEANED_MotorPH_Products_List_2!$B:$B,0))</f>
        <v>Adventure</v>
      </c>
      <c r="L241" s="44" t="str">
        <f>INDEX(CLEANED_MotorPH_Products_List_2!E:E,MATCH(MotorPHSales[[#This Row],[Product]],CLEANED_MotorPH_Products_List_2!$B:$B,0))</f>
        <v>Single cylinder</v>
      </c>
      <c r="M241" s="44" t="str">
        <f>INDEX(CLEANED_MotorPH_Products_List_2!F:F,MATCH(MotorPHSales[[#This Row],[Product]],CLEANED_MotorPH_Products_List_2!$B:$B,0))</f>
        <v>liquid-cooled</v>
      </c>
      <c r="N241" s="44" t="str">
        <f>INDEX(CLEANED_MotorPH_Products_List_2!G:G,MATCH(MotorPHSales[[#This Row],[Product]],CLEANED_MotorPH_Products_List_2!$B:$B,0))</f>
        <v>312cc</v>
      </c>
      <c r="O241" s="44" t="str">
        <f>INDEX(CLEANED_MotorPH_Products_List_2!K:K,MATCH(MotorPHSales[[#This Row],[Product]],CLEANED_MotorPH_Products_List_2!B:B,0))</f>
        <v>Mid-range</v>
      </c>
      <c r="P241" s="45">
        <f>IF(MotorPHSales[[#This Row],[Segment]]="Entry-level",MotorPHSales[[#This Row],[UnitPrice]]/(1+30%),IF(MotorPHSales[[#This Row],[Segment]]="Mid-range",MotorPHSales[[#This Row],[UnitPrice]]/(1+35%),MotorPHSales[[#This Row],[UnitPrice]]/(1+40%)))*MotorPHSales[[#This Row],[Quantity]]</f>
        <v>2204444.444444444</v>
      </c>
      <c r="Q241" s="44" t="str">
        <f>INDEX(CLEANED_MotorPH_Products_List_2!H:H,MATCH(MotorPHSales[[#This Row],[Product]],CLEANED_MotorPH_Products_List_2!$B:$B,0))</f>
        <v>6-speed</v>
      </c>
    </row>
    <row r="242" spans="1:17" ht="15.75" x14ac:dyDescent="0.3">
      <c r="A242" s="43">
        <v>45827</v>
      </c>
      <c r="B242" s="44" t="str">
        <f>TEXT(MotorPHSales[[#This Row],[Date]],"mmmm")</f>
        <v>June</v>
      </c>
      <c r="C242" s="44">
        <f>DAY(MotorPHSales[[#This Row],[Date]])</f>
        <v>19</v>
      </c>
      <c r="D242" s="44">
        <f>YEAR(MotorPHSales[[#This Row],[Date]])</f>
        <v>2025</v>
      </c>
      <c r="E242" s="44" t="s">
        <v>196</v>
      </c>
      <c r="F242" s="44" t="s">
        <v>32</v>
      </c>
      <c r="G242" s="45">
        <v>198000</v>
      </c>
      <c r="H242" s="44">
        <v>14</v>
      </c>
      <c r="I242" s="45">
        <v>2772000</v>
      </c>
      <c r="J242" s="44" t="s">
        <v>198</v>
      </c>
      <c r="K242" s="44" t="str">
        <f>INDEX(CLEANED_MotorPH_Products_List_2!C:C,MATCH(MotorPHSales[[#This Row],[Product]],CLEANED_MotorPH_Products_List_2!$B:$B,0))</f>
        <v>Sport</v>
      </c>
      <c r="L242" s="44" t="str">
        <f>INDEX(CLEANED_MotorPH_Products_List_2!E:E,MATCH(MotorPHSales[[#This Row],[Product]],CLEANED_MotorPH_Products_List_2!$B:$B,0))</f>
        <v>Single cylinder</v>
      </c>
      <c r="M242" s="44" t="str">
        <f>INDEX(CLEANED_MotorPH_Products_List_2!F:F,MATCH(MotorPHSales[[#This Row],[Product]],CLEANED_MotorPH_Products_List_2!$B:$B,0))</f>
        <v>liquid-cooled</v>
      </c>
      <c r="N242" s="44" t="str">
        <f>INDEX(CLEANED_MotorPH_Products_List_2!G:G,MATCH(MotorPHSales[[#This Row],[Product]],CLEANED_MotorPH_Products_List_2!$B:$B,0))</f>
        <v>199cc</v>
      </c>
      <c r="O242" s="44" t="str">
        <f>INDEX(CLEANED_MotorPH_Products_List_2!K:K,MATCH(MotorPHSales[[#This Row],[Product]],CLEANED_MotorPH_Products_List_2!B:B,0))</f>
        <v>Entry-level</v>
      </c>
      <c r="P242" s="45">
        <f>IF(MotorPHSales[[#This Row],[Segment]]="Entry-level",MotorPHSales[[#This Row],[UnitPrice]]/(1+30%),IF(MotorPHSales[[#This Row],[Segment]]="Mid-range",MotorPHSales[[#This Row],[UnitPrice]]/(1+35%),MotorPHSales[[#This Row],[UnitPrice]]/(1+40%)))*MotorPHSales[[#This Row],[Quantity]]</f>
        <v>2132307.6923076925</v>
      </c>
      <c r="Q242" s="44" t="str">
        <f>INDEX(CLEANED_MotorPH_Products_List_2!H:H,MATCH(MotorPHSales[[#This Row],[Product]],CLEANED_MotorPH_Products_List_2!$B:$B,0))</f>
        <v>6-speed</v>
      </c>
    </row>
    <row r="243" spans="1:17" ht="15.75" x14ac:dyDescent="0.3">
      <c r="A243" s="43">
        <v>45898</v>
      </c>
      <c r="B243" s="44" t="str">
        <f>TEXT(MotorPHSales[[#This Row],[Date]],"mmmm")</f>
        <v>August</v>
      </c>
      <c r="C243" s="44">
        <f>DAY(MotorPHSales[[#This Row],[Date]])</f>
        <v>29</v>
      </c>
      <c r="D243" s="44">
        <f>YEAR(MotorPHSales[[#This Row],[Date]])</f>
        <v>2025</v>
      </c>
      <c r="E243" s="44" t="s">
        <v>194</v>
      </c>
      <c r="F243" s="44" t="s">
        <v>99</v>
      </c>
      <c r="G243" s="45">
        <v>689000</v>
      </c>
      <c r="H243" s="44">
        <v>20</v>
      </c>
      <c r="I243" s="45">
        <v>13780000</v>
      </c>
      <c r="J243" s="44" t="s">
        <v>195</v>
      </c>
      <c r="K243" s="44" t="str">
        <f>INDEX(CLEANED_MotorPH_Products_List_2!C:C,MATCH(MotorPHSales[[#This Row],[Product]],CLEANED_MotorPH_Products_List_2!$B:$B,0))</f>
        <v>Heritage</v>
      </c>
      <c r="L243" s="44" t="str">
        <f>INDEX(CLEANED_MotorPH_Products_List_2!E:E,MATCH(MotorPHSales[[#This Row],[Product]],CLEANED_MotorPH_Products_List_2!$B:$B,0))</f>
        <v>V-twin</v>
      </c>
      <c r="M243" s="44" t="str">
        <f>INDEX(CLEANED_MotorPH_Products_List_2!F:F,MATCH(MotorPHSales[[#This Row],[Product]],CLEANED_MotorPH_Products_List_2!$B:$B,0))</f>
        <v>air-cooled</v>
      </c>
      <c r="N243" s="44" t="str">
        <f>INDEX(CLEANED_MotorPH_Products_List_2!G:G,MATCH(MotorPHSales[[#This Row],[Product]],CLEANED_MotorPH_Products_List_2!$B:$B,0))</f>
        <v>853cc</v>
      </c>
      <c r="O243" s="44" t="str">
        <f>INDEX(CLEANED_MotorPH_Products_List_2!K:K,MATCH(MotorPHSales[[#This Row],[Product]],CLEANED_MotorPH_Products_List_2!B:B,0))</f>
        <v>Premium</v>
      </c>
      <c r="P243" s="45">
        <f>IF(MotorPHSales[[#This Row],[Segment]]="Entry-level",MotorPHSales[[#This Row],[UnitPrice]]/(1+30%),IF(MotorPHSales[[#This Row],[Segment]]="Mid-range",MotorPHSales[[#This Row],[UnitPrice]]/(1+35%),MotorPHSales[[#This Row],[UnitPrice]]/(1+40%)))*MotorPHSales[[#This Row],[Quantity]]</f>
        <v>9842857.1428571437</v>
      </c>
      <c r="Q243" s="44" t="str">
        <f>INDEX(CLEANED_MotorPH_Products_List_2!H:H,MATCH(MotorPHSales[[#This Row],[Product]],CLEANED_MotorPH_Products_List_2!$B:$B,0))</f>
        <v>6-speed</v>
      </c>
    </row>
    <row r="244" spans="1:17" ht="15.75" x14ac:dyDescent="0.3">
      <c r="A244" s="43">
        <v>45827</v>
      </c>
      <c r="B244" s="44" t="str">
        <f>TEXT(MotorPHSales[[#This Row],[Date]],"mmmm")</f>
        <v>June</v>
      </c>
      <c r="C244" s="44">
        <f>DAY(MotorPHSales[[#This Row],[Date]])</f>
        <v>19</v>
      </c>
      <c r="D244" s="44">
        <f>YEAR(MotorPHSales[[#This Row],[Date]])</f>
        <v>2025</v>
      </c>
      <c r="E244" s="44" t="s">
        <v>196</v>
      </c>
      <c r="F244" s="44" t="s">
        <v>20</v>
      </c>
      <c r="G244" s="45">
        <v>178000</v>
      </c>
      <c r="H244" s="44">
        <v>9</v>
      </c>
      <c r="I244" s="45">
        <v>1602000</v>
      </c>
      <c r="J244" s="44" t="s">
        <v>195</v>
      </c>
      <c r="K244" s="44" t="str">
        <f>INDEX(CLEANED_MotorPH_Products_List_2!C:C,MATCH(MotorPHSales[[#This Row],[Product]],CLEANED_MotorPH_Products_List_2!$B:$B,0))</f>
        <v>Naked bike</v>
      </c>
      <c r="L244" s="44" t="str">
        <f>INDEX(CLEANED_MotorPH_Products_List_2!E:E,MATCH(MotorPHSales[[#This Row],[Product]],CLEANED_MotorPH_Products_List_2!$B:$B,0))</f>
        <v>Single cylinder</v>
      </c>
      <c r="M244" s="44" t="str">
        <f>INDEX(CLEANED_MotorPH_Products_List_2!F:F,MATCH(MotorPHSales[[#This Row],[Product]],CLEANED_MotorPH_Products_List_2!$B:$B,0))</f>
        <v>liquid-cooled</v>
      </c>
      <c r="N244" s="44" t="str">
        <f>INDEX(CLEANED_MotorPH_Products_List_2!G:G,MATCH(MotorPHSales[[#This Row],[Product]],CLEANED_MotorPH_Products_List_2!$B:$B,0))</f>
        <v>199cc</v>
      </c>
      <c r="O244" s="44" t="str">
        <f>INDEX(CLEANED_MotorPH_Products_List_2!K:K,MATCH(MotorPHSales[[#This Row],[Product]],CLEANED_MotorPH_Products_List_2!B:B,0))</f>
        <v>Entry-level</v>
      </c>
      <c r="P244" s="45">
        <f>IF(MotorPHSales[[#This Row],[Segment]]="Entry-level",MotorPHSales[[#This Row],[UnitPrice]]/(1+30%),IF(MotorPHSales[[#This Row],[Segment]]="Mid-range",MotorPHSales[[#This Row],[UnitPrice]]/(1+35%),MotorPHSales[[#This Row],[UnitPrice]]/(1+40%)))*MotorPHSales[[#This Row],[Quantity]]</f>
        <v>1232307.6923076923</v>
      </c>
      <c r="Q244" s="44" t="str">
        <f>INDEX(CLEANED_MotorPH_Products_List_2!H:H,MATCH(MotorPHSales[[#This Row],[Product]],CLEANED_MotorPH_Products_List_2!$B:$B,0))</f>
        <v>6-speed</v>
      </c>
    </row>
    <row r="245" spans="1:17" ht="15.75" x14ac:dyDescent="0.3">
      <c r="A245" s="43">
        <v>45828</v>
      </c>
      <c r="B245" s="44" t="str">
        <f>TEXT(MotorPHSales[[#This Row],[Date]],"mmmm")</f>
        <v>June</v>
      </c>
      <c r="C245" s="44">
        <f>DAY(MotorPHSales[[#This Row],[Date]])</f>
        <v>20</v>
      </c>
      <c r="D245" s="44">
        <f>YEAR(MotorPHSales[[#This Row],[Date]])</f>
        <v>2025</v>
      </c>
      <c r="E245" s="44" t="s">
        <v>194</v>
      </c>
      <c r="F245" s="44" t="s">
        <v>86</v>
      </c>
      <c r="G245" s="45">
        <v>650000</v>
      </c>
      <c r="H245" s="44">
        <v>1</v>
      </c>
      <c r="I245" s="45">
        <v>650000</v>
      </c>
      <c r="J245" s="44" t="s">
        <v>197</v>
      </c>
      <c r="K245" s="44" t="str">
        <f>INDEX(CLEANED_MotorPH_Products_List_2!C:C,MATCH(MotorPHSales[[#This Row],[Product]],CLEANED_MotorPH_Products_List_2!$B:$B,0))</f>
        <v>Cruiser</v>
      </c>
      <c r="L245" s="44" t="str">
        <f>INDEX(CLEANED_MotorPH_Products_List_2!E:E,MATCH(MotorPHSales[[#This Row],[Product]],CLEANED_MotorPH_Products_List_2!$B:$B,0))</f>
        <v>Parallel-twin</v>
      </c>
      <c r="M245" s="44" t="str">
        <f>INDEX(CLEANED_MotorPH_Products_List_2!F:F,MATCH(MotorPHSales[[#This Row],[Product]],CLEANED_MotorPH_Products_List_2!$B:$B,0))</f>
        <v>liquid-cooled</v>
      </c>
      <c r="N245" s="44" t="str">
        <f>INDEX(CLEANED_MotorPH_Products_List_2!G:G,MATCH(MotorPHSales[[#This Row],[Product]],CLEANED_MotorPH_Products_List_2!$B:$B,0))</f>
        <v>1084cc</v>
      </c>
      <c r="O245" s="44" t="str">
        <f>INDEX(CLEANED_MotorPH_Products_List_2!K:K,MATCH(MotorPHSales[[#This Row],[Product]],CLEANED_MotorPH_Products_List_2!B:B,0))</f>
        <v>Premium</v>
      </c>
      <c r="P245" s="45">
        <f>IF(MotorPHSales[[#This Row],[Segment]]="Entry-level",MotorPHSales[[#This Row],[UnitPrice]]/(1+30%),IF(MotorPHSales[[#This Row],[Segment]]="Mid-range",MotorPHSales[[#This Row],[UnitPrice]]/(1+35%),MotorPHSales[[#This Row],[UnitPrice]]/(1+40%)))*MotorPHSales[[#This Row],[Quantity]]</f>
        <v>464285.71428571432</v>
      </c>
      <c r="Q245" s="44" t="str">
        <f>INDEX(CLEANED_MotorPH_Products_List_2!H:H,MATCH(MotorPHSales[[#This Row],[Product]],CLEANED_MotorPH_Products_List_2!$B:$B,0))</f>
        <v>6-speed</v>
      </c>
    </row>
    <row r="246" spans="1:17" ht="15.75" x14ac:dyDescent="0.3">
      <c r="A246" s="43">
        <v>45879</v>
      </c>
      <c r="B246" s="44" t="str">
        <f>TEXT(MotorPHSales[[#This Row],[Date]],"mmmm")</f>
        <v>August</v>
      </c>
      <c r="C246" s="44">
        <f>DAY(MotorPHSales[[#This Row],[Date]])</f>
        <v>10</v>
      </c>
      <c r="D246" s="44">
        <f>YEAR(MotorPHSales[[#This Row],[Date]])</f>
        <v>2025</v>
      </c>
      <c r="E246" s="44" t="s">
        <v>194</v>
      </c>
      <c r="F246" s="44" t="s">
        <v>28</v>
      </c>
      <c r="G246" s="45">
        <v>164900</v>
      </c>
      <c r="H246" s="44">
        <v>14</v>
      </c>
      <c r="I246" s="45">
        <v>2308600</v>
      </c>
      <c r="J246" s="44" t="s">
        <v>195</v>
      </c>
      <c r="K246" s="44" t="str">
        <f>INDEX(CLEANED_MotorPH_Products_List_2!C:C,MATCH(MotorPHSales[[#This Row],[Product]],CLEANED_MotorPH_Products_List_2!$B:$B,0))</f>
        <v>Scooter</v>
      </c>
      <c r="L246" s="44" t="str">
        <f>INDEX(CLEANED_MotorPH_Products_List_2!E:E,MATCH(MotorPHSales[[#This Row],[Product]],CLEANED_MotorPH_Products_List_2!$B:$B,0))</f>
        <v>Single cylinder</v>
      </c>
      <c r="M246" s="44" t="str">
        <f>INDEX(CLEANED_MotorPH_Products_List_2!F:F,MATCH(MotorPHSales[[#This Row],[Product]],CLEANED_MotorPH_Products_List_2!$B:$B,0))</f>
        <v>liquid-cooled</v>
      </c>
      <c r="N246" s="44" t="str">
        <f>INDEX(CLEANED_MotorPH_Products_List_2!G:G,MATCH(MotorPHSales[[#This Row],[Product]],CLEANED_MotorPH_Products_List_2!$B:$B,0))</f>
        <v>157cc</v>
      </c>
      <c r="O246" s="44" t="str">
        <f>INDEX(CLEANED_MotorPH_Products_List_2!K:K,MATCH(MotorPHSales[[#This Row],[Product]],CLEANED_MotorPH_Products_List_2!B:B,0))</f>
        <v>Entry-level</v>
      </c>
      <c r="P246" s="45">
        <f>IF(MotorPHSales[[#This Row],[Segment]]="Entry-level",MotorPHSales[[#This Row],[UnitPrice]]/(1+30%),IF(MotorPHSales[[#This Row],[Segment]]="Mid-range",MotorPHSales[[#This Row],[UnitPrice]]/(1+35%),MotorPHSales[[#This Row],[UnitPrice]]/(1+40%)))*MotorPHSales[[#This Row],[Quantity]]</f>
        <v>1775846.1538461538</v>
      </c>
      <c r="Q246" s="44" t="str">
        <f>INDEX(CLEANED_MotorPH_Products_List_2!H:H,MATCH(MotorPHSales[[#This Row],[Product]],CLEANED_MotorPH_Products_List_2!$B:$B,0))</f>
        <v>CVT</v>
      </c>
    </row>
    <row r="247" spans="1:17" ht="15.75" x14ac:dyDescent="0.3">
      <c r="A247" s="43">
        <v>45860</v>
      </c>
      <c r="B247" s="44" t="str">
        <f>TEXT(MotorPHSales[[#This Row],[Date]],"mmmm")</f>
        <v>July</v>
      </c>
      <c r="C247" s="44">
        <f>DAY(MotorPHSales[[#This Row],[Date]])</f>
        <v>22</v>
      </c>
      <c r="D247" s="44">
        <f>YEAR(MotorPHSales[[#This Row],[Date]])</f>
        <v>2025</v>
      </c>
      <c r="E247" s="44" t="s">
        <v>194</v>
      </c>
      <c r="F247" s="44" t="s">
        <v>94</v>
      </c>
      <c r="G247" s="45">
        <v>299000</v>
      </c>
      <c r="H247" s="44">
        <v>2</v>
      </c>
      <c r="I247" s="45">
        <v>598000</v>
      </c>
      <c r="J247" s="44" t="s">
        <v>198</v>
      </c>
      <c r="K247" s="44" t="str">
        <f>INDEX(CLEANED_MotorPH_Products_List_2!C:C,MATCH(MotorPHSales[[#This Row],[Product]],CLEANED_MotorPH_Products_List_2!$B:$B,0))</f>
        <v>Dual-sport</v>
      </c>
      <c r="L247" s="44" t="str">
        <f>INDEX(CLEANED_MotorPH_Products_List_2!E:E,MATCH(MotorPHSales[[#This Row],[Product]],CLEANED_MotorPH_Products_List_2!$B:$B,0))</f>
        <v>Single cylinder</v>
      </c>
      <c r="M247" s="44" t="str">
        <f>INDEX(CLEANED_MotorPH_Products_List_2!F:F,MATCH(MotorPHSales[[#This Row],[Product]],CLEANED_MotorPH_Products_List_2!$B:$B,0))</f>
        <v>air-cooled</v>
      </c>
      <c r="N247" s="44" t="str">
        <f>INDEX(CLEANED_MotorPH_Products_List_2!G:G,MATCH(MotorPHSales[[#This Row],[Product]],CLEANED_MotorPH_Products_List_2!$B:$B,0))</f>
        <v>249cc</v>
      </c>
      <c r="O247" s="44" t="str">
        <f>INDEX(CLEANED_MotorPH_Products_List_2!K:K,MATCH(MotorPHSales[[#This Row],[Product]],CLEANED_MotorPH_Products_List_2!B:B,0))</f>
        <v>Mid-range</v>
      </c>
      <c r="P247" s="45">
        <f>IF(MotorPHSales[[#This Row],[Segment]]="Entry-level",MotorPHSales[[#This Row],[UnitPrice]]/(1+30%),IF(MotorPHSales[[#This Row],[Segment]]="Mid-range",MotorPHSales[[#This Row],[UnitPrice]]/(1+35%),MotorPHSales[[#This Row],[UnitPrice]]/(1+40%)))*MotorPHSales[[#This Row],[Quantity]]</f>
        <v>442962.96296296292</v>
      </c>
      <c r="Q247" s="44" t="str">
        <f>INDEX(CLEANED_MotorPH_Products_List_2!H:H,MATCH(MotorPHSales[[#This Row],[Product]],CLEANED_MotorPH_Products_List_2!$B:$B,0))</f>
        <v>5-speed</v>
      </c>
    </row>
    <row r="248" spans="1:17" ht="15.75" x14ac:dyDescent="0.3">
      <c r="A248" s="43">
        <v>45841</v>
      </c>
      <c r="B248" s="44" t="str">
        <f>TEXT(MotorPHSales[[#This Row],[Date]],"mmmm")</f>
        <v>July</v>
      </c>
      <c r="C248" s="44">
        <f>DAY(MotorPHSales[[#This Row],[Date]])</f>
        <v>3</v>
      </c>
      <c r="D248" s="44">
        <f>YEAR(MotorPHSales[[#This Row],[Date]])</f>
        <v>2025</v>
      </c>
      <c r="E248" s="44" t="s">
        <v>194</v>
      </c>
      <c r="F248" s="44" t="s">
        <v>74</v>
      </c>
      <c r="G248" s="45">
        <v>349000</v>
      </c>
      <c r="H248" s="44">
        <v>15</v>
      </c>
      <c r="I248" s="45">
        <v>5235000</v>
      </c>
      <c r="J248" s="44" t="s">
        <v>195</v>
      </c>
      <c r="K248" s="44" t="str">
        <f>INDEX(CLEANED_MotorPH_Products_List_2!C:C,MATCH(MotorPHSales[[#This Row],[Product]],CLEANED_MotorPH_Products_List_2!$B:$B,0))</f>
        <v>Cruiser</v>
      </c>
      <c r="L248" s="44" t="str">
        <f>INDEX(CLEANED_MotorPH_Products_List_2!E:E,MATCH(MotorPHSales[[#This Row],[Product]],CLEANED_MotorPH_Products_List_2!$B:$B,0))</f>
        <v>Parallel-twin</v>
      </c>
      <c r="M248" s="44" t="str">
        <f>INDEX(CLEANED_MotorPH_Products_List_2!F:F,MATCH(MotorPHSales[[#This Row],[Product]],CLEANED_MotorPH_Products_List_2!$B:$B,0))</f>
        <v>liquid-cooled</v>
      </c>
      <c r="N248" s="44" t="str">
        <f>INDEX(CLEANED_MotorPH_Products_List_2!G:G,MATCH(MotorPHSales[[#This Row],[Product]],CLEANED_MotorPH_Products_List_2!$B:$B,0))</f>
        <v>500cc</v>
      </c>
      <c r="O248" s="44" t="str">
        <f>INDEX(CLEANED_MotorPH_Products_List_2!K:K,MATCH(MotorPHSales[[#This Row],[Product]],CLEANED_MotorPH_Products_List_2!B:B,0))</f>
        <v>Mid-range</v>
      </c>
      <c r="P248" s="45">
        <f>IF(MotorPHSales[[#This Row],[Segment]]="Entry-level",MotorPHSales[[#This Row],[UnitPrice]]/(1+30%),IF(MotorPHSales[[#This Row],[Segment]]="Mid-range",MotorPHSales[[#This Row],[UnitPrice]]/(1+35%),MotorPHSales[[#This Row],[UnitPrice]]/(1+40%)))*MotorPHSales[[#This Row],[Quantity]]</f>
        <v>3877777.7777777775</v>
      </c>
      <c r="Q248" s="44" t="str">
        <f>INDEX(CLEANED_MotorPH_Products_List_2!H:H,MATCH(MotorPHSales[[#This Row],[Product]],CLEANED_MotorPH_Products_List_2!$B:$B,0))</f>
        <v>6-speed</v>
      </c>
    </row>
    <row r="249" spans="1:17" ht="15.75" x14ac:dyDescent="0.3">
      <c r="A249" s="43">
        <v>45848</v>
      </c>
      <c r="B249" s="44" t="str">
        <f>TEXT(MotorPHSales[[#This Row],[Date]],"mmmm")</f>
        <v>July</v>
      </c>
      <c r="C249" s="44">
        <f>DAY(MotorPHSales[[#This Row],[Date]])</f>
        <v>10</v>
      </c>
      <c r="D249" s="44">
        <f>YEAR(MotorPHSales[[#This Row],[Date]])</f>
        <v>2025</v>
      </c>
      <c r="E249" s="44" t="s">
        <v>196</v>
      </c>
      <c r="F249" s="44" t="s">
        <v>47</v>
      </c>
      <c r="G249" s="45">
        <v>398000</v>
      </c>
      <c r="H249" s="44">
        <v>15</v>
      </c>
      <c r="I249" s="45">
        <v>5970000</v>
      </c>
      <c r="J249" s="44" t="s">
        <v>195</v>
      </c>
      <c r="K249" s="44" t="str">
        <f>INDEX(CLEANED_MotorPH_Products_List_2!C:C,MATCH(MotorPHSales[[#This Row],[Product]],CLEANED_MotorPH_Products_List_2!$B:$B,0))</f>
        <v>Cruiser</v>
      </c>
      <c r="L249" s="44" t="str">
        <f>INDEX(CLEANED_MotorPH_Products_List_2!E:E,MATCH(MotorPHSales[[#This Row],[Product]],CLEANED_MotorPH_Products_List_2!$B:$B,0))</f>
        <v>Parallel-twin</v>
      </c>
      <c r="M249" s="44" t="str">
        <f>INDEX(CLEANED_MotorPH_Products_List_2!F:F,MATCH(MotorPHSales[[#This Row],[Product]],CLEANED_MotorPH_Products_List_2!$B:$B,0))</f>
        <v>liquid-cooled</v>
      </c>
      <c r="N249" s="44" t="str">
        <f>INDEX(CLEANED_MotorPH_Products_List_2!G:G,MATCH(MotorPHSales[[#This Row],[Product]],CLEANED_MotorPH_Products_List_2!$B:$B,0))</f>
        <v>649cc</v>
      </c>
      <c r="O249" s="44" t="str">
        <f>INDEX(CLEANED_MotorPH_Products_List_2!K:K,MATCH(MotorPHSales[[#This Row],[Product]],CLEANED_MotorPH_Products_List_2!B:B,0))</f>
        <v>Premium</v>
      </c>
      <c r="P249" s="45">
        <f>IF(MotorPHSales[[#This Row],[Segment]]="Entry-level",MotorPHSales[[#This Row],[UnitPrice]]/(1+30%),IF(MotorPHSales[[#This Row],[Segment]]="Mid-range",MotorPHSales[[#This Row],[UnitPrice]]/(1+35%),MotorPHSales[[#This Row],[UnitPrice]]/(1+40%)))*MotorPHSales[[#This Row],[Quantity]]</f>
        <v>4264285.7142857146</v>
      </c>
      <c r="Q249" s="44" t="str">
        <f>INDEX(CLEANED_MotorPH_Products_List_2!H:H,MATCH(MotorPHSales[[#This Row],[Product]],CLEANED_MotorPH_Products_List_2!$B:$B,0))</f>
        <v>6-speed</v>
      </c>
    </row>
    <row r="250" spans="1:17" ht="15.75" x14ac:dyDescent="0.3">
      <c r="A250" s="43">
        <v>45847</v>
      </c>
      <c r="B250" s="44" t="str">
        <f>TEXT(MotorPHSales[[#This Row],[Date]],"mmmm")</f>
        <v>July</v>
      </c>
      <c r="C250" s="44">
        <f>DAY(MotorPHSales[[#This Row],[Date]])</f>
        <v>9</v>
      </c>
      <c r="D250" s="44">
        <f>YEAR(MotorPHSales[[#This Row],[Date]])</f>
        <v>2025</v>
      </c>
      <c r="E250" s="44" t="s">
        <v>196</v>
      </c>
      <c r="F250" s="44" t="s">
        <v>94</v>
      </c>
      <c r="G250" s="45">
        <v>299000</v>
      </c>
      <c r="H250" s="44">
        <v>6</v>
      </c>
      <c r="I250" s="45">
        <v>1794000</v>
      </c>
      <c r="J250" s="44" t="s">
        <v>197</v>
      </c>
      <c r="K250" s="44" t="str">
        <f>INDEX(CLEANED_MotorPH_Products_List_2!C:C,MATCH(MotorPHSales[[#This Row],[Product]],CLEANED_MotorPH_Products_List_2!$B:$B,0))</f>
        <v>Dual-sport</v>
      </c>
      <c r="L250" s="44" t="str">
        <f>INDEX(CLEANED_MotorPH_Products_List_2!E:E,MATCH(MotorPHSales[[#This Row],[Product]],CLEANED_MotorPH_Products_List_2!$B:$B,0))</f>
        <v>Single cylinder</v>
      </c>
      <c r="M250" s="44" t="str">
        <f>INDEX(CLEANED_MotorPH_Products_List_2!F:F,MATCH(MotorPHSales[[#This Row],[Product]],CLEANED_MotorPH_Products_List_2!$B:$B,0))</f>
        <v>air-cooled</v>
      </c>
      <c r="N250" s="44" t="str">
        <f>INDEX(CLEANED_MotorPH_Products_List_2!G:G,MATCH(MotorPHSales[[#This Row],[Product]],CLEANED_MotorPH_Products_List_2!$B:$B,0))</f>
        <v>249cc</v>
      </c>
      <c r="O250" s="44" t="str">
        <f>INDEX(CLEANED_MotorPH_Products_List_2!K:K,MATCH(MotorPHSales[[#This Row],[Product]],CLEANED_MotorPH_Products_List_2!B:B,0))</f>
        <v>Mid-range</v>
      </c>
      <c r="P250" s="45">
        <f>IF(MotorPHSales[[#This Row],[Segment]]="Entry-level",MotorPHSales[[#This Row],[UnitPrice]]/(1+30%),IF(MotorPHSales[[#This Row],[Segment]]="Mid-range",MotorPHSales[[#This Row],[UnitPrice]]/(1+35%),MotorPHSales[[#This Row],[UnitPrice]]/(1+40%)))*MotorPHSales[[#This Row],[Quantity]]</f>
        <v>1328888.8888888888</v>
      </c>
      <c r="Q250" s="44" t="str">
        <f>INDEX(CLEANED_MotorPH_Products_List_2!H:H,MATCH(MotorPHSales[[#This Row],[Product]],CLEANED_MotorPH_Products_List_2!$B:$B,0))</f>
        <v>5-speed</v>
      </c>
    </row>
    <row r="251" spans="1:17" ht="15.75" x14ac:dyDescent="0.3">
      <c r="A251" s="43">
        <v>45890</v>
      </c>
      <c r="B251" s="44" t="str">
        <f>TEXT(MotorPHSales[[#This Row],[Date]],"mmmm")</f>
        <v>August</v>
      </c>
      <c r="C251" s="44">
        <f>DAY(MotorPHSales[[#This Row],[Date]])</f>
        <v>21</v>
      </c>
      <c r="D251" s="44">
        <f>YEAR(MotorPHSales[[#This Row],[Date]])</f>
        <v>2025</v>
      </c>
      <c r="E251" s="44" t="s">
        <v>194</v>
      </c>
      <c r="F251" s="44" t="s">
        <v>88</v>
      </c>
      <c r="G251" s="45">
        <v>599000</v>
      </c>
      <c r="H251" s="44">
        <v>42</v>
      </c>
      <c r="I251" s="45">
        <v>25158000</v>
      </c>
      <c r="J251" s="44" t="s">
        <v>197</v>
      </c>
      <c r="K251" s="44" t="str">
        <f>INDEX(CLEANED_MotorPH_Products_List_2!C:C,MATCH(MotorPHSales[[#This Row],[Product]],CLEANED_MotorPH_Products_List_2!$B:$B,0))</f>
        <v>Naked bike</v>
      </c>
      <c r="L251" s="44" t="str">
        <f>INDEX(CLEANED_MotorPH_Products_List_2!E:E,MATCH(MotorPHSales[[#This Row],[Product]],CLEANED_MotorPH_Products_List_2!$B:$B,0))</f>
        <v>Parallel-twin</v>
      </c>
      <c r="M251" s="44" t="str">
        <f>INDEX(CLEANED_MotorPH_Products_List_2!F:F,MATCH(MotorPHSales[[#This Row],[Product]],CLEANED_MotorPH_Products_List_2!$B:$B,0))</f>
        <v>liquid-cooled</v>
      </c>
      <c r="N251" s="44" t="str">
        <f>INDEX(CLEANED_MotorPH_Products_List_2!G:G,MATCH(MotorPHSales[[#This Row],[Product]],CLEANED_MotorPH_Products_List_2!$B:$B,0))</f>
        <v>799cc</v>
      </c>
      <c r="O251" s="44" t="str">
        <f>INDEX(CLEANED_MotorPH_Products_List_2!K:K,MATCH(MotorPHSales[[#This Row],[Product]],CLEANED_MotorPH_Products_List_2!B:B,0))</f>
        <v>Premium</v>
      </c>
      <c r="P251" s="45">
        <f>IF(MotorPHSales[[#This Row],[Segment]]="Entry-level",MotorPHSales[[#This Row],[UnitPrice]]/(1+30%),IF(MotorPHSales[[#This Row],[Segment]]="Mid-range",MotorPHSales[[#This Row],[UnitPrice]]/(1+35%),MotorPHSales[[#This Row],[UnitPrice]]/(1+40%)))*MotorPHSales[[#This Row],[Quantity]]</f>
        <v>17970000</v>
      </c>
      <c r="Q251" s="44" t="str">
        <f>INDEX(CLEANED_MotorPH_Products_List_2!H:H,MATCH(MotorPHSales[[#This Row],[Product]],CLEANED_MotorPH_Products_List_2!$B:$B,0))</f>
        <v>6-speed</v>
      </c>
    </row>
    <row r="252" spans="1:17" ht="15.75" x14ac:dyDescent="0.3">
      <c r="A252" s="43">
        <v>45809</v>
      </c>
      <c r="B252" s="44" t="str">
        <f>TEXT(MotorPHSales[[#This Row],[Date]],"mmmm")</f>
        <v>June</v>
      </c>
      <c r="C252" s="44">
        <f>DAY(MotorPHSales[[#This Row],[Date]])</f>
        <v>1</v>
      </c>
      <c r="D252" s="44">
        <f>YEAR(MotorPHSales[[#This Row],[Date]])</f>
        <v>2025</v>
      </c>
      <c r="E252" s="44" t="s">
        <v>194</v>
      </c>
      <c r="F252" s="44" t="s">
        <v>88</v>
      </c>
      <c r="G252" s="45">
        <v>599000</v>
      </c>
      <c r="H252" s="44">
        <v>1</v>
      </c>
      <c r="I252" s="45">
        <v>599000</v>
      </c>
      <c r="J252" s="44" t="s">
        <v>197</v>
      </c>
      <c r="K252" s="44" t="str">
        <f>INDEX(CLEANED_MotorPH_Products_List_2!C:C,MATCH(MotorPHSales[[#This Row],[Product]],CLEANED_MotorPH_Products_List_2!$B:$B,0))</f>
        <v>Naked bike</v>
      </c>
      <c r="L252" s="44" t="str">
        <f>INDEX(CLEANED_MotorPH_Products_List_2!E:E,MATCH(MotorPHSales[[#This Row],[Product]],CLEANED_MotorPH_Products_List_2!$B:$B,0))</f>
        <v>Parallel-twin</v>
      </c>
      <c r="M252" s="44" t="str">
        <f>INDEX(CLEANED_MotorPH_Products_List_2!F:F,MATCH(MotorPHSales[[#This Row],[Product]],CLEANED_MotorPH_Products_List_2!$B:$B,0))</f>
        <v>liquid-cooled</v>
      </c>
      <c r="N252" s="44" t="str">
        <f>INDEX(CLEANED_MotorPH_Products_List_2!G:G,MATCH(MotorPHSales[[#This Row],[Product]],CLEANED_MotorPH_Products_List_2!$B:$B,0))</f>
        <v>799cc</v>
      </c>
      <c r="O252" s="44" t="str">
        <f>INDEX(CLEANED_MotorPH_Products_List_2!K:K,MATCH(MotorPHSales[[#This Row],[Product]],CLEANED_MotorPH_Products_List_2!B:B,0))</f>
        <v>Premium</v>
      </c>
      <c r="P252" s="45">
        <f>IF(MotorPHSales[[#This Row],[Segment]]="Entry-level",MotorPHSales[[#This Row],[UnitPrice]]/(1+30%),IF(MotorPHSales[[#This Row],[Segment]]="Mid-range",MotorPHSales[[#This Row],[UnitPrice]]/(1+35%),MotorPHSales[[#This Row],[UnitPrice]]/(1+40%)))*MotorPHSales[[#This Row],[Quantity]]</f>
        <v>427857.1428571429</v>
      </c>
      <c r="Q252" s="44" t="str">
        <f>INDEX(CLEANED_MotorPH_Products_List_2!H:H,MATCH(MotorPHSales[[#This Row],[Product]],CLEANED_MotorPH_Products_List_2!$B:$B,0))</f>
        <v>6-speed</v>
      </c>
    </row>
    <row r="253" spans="1:17" ht="15.75" x14ac:dyDescent="0.3">
      <c r="A253" s="43">
        <v>45819</v>
      </c>
      <c r="B253" s="44" t="str">
        <f>TEXT(MotorPHSales[[#This Row],[Date]],"mmmm")</f>
        <v>June</v>
      </c>
      <c r="C253" s="44">
        <f>DAY(MotorPHSales[[#This Row],[Date]])</f>
        <v>11</v>
      </c>
      <c r="D253" s="44">
        <f>YEAR(MotorPHSales[[#This Row],[Date]])</f>
        <v>2025</v>
      </c>
      <c r="E253" s="44" t="s">
        <v>196</v>
      </c>
      <c r="F253" s="44" t="s">
        <v>51</v>
      </c>
      <c r="G253" s="45">
        <v>78900</v>
      </c>
      <c r="H253" s="44">
        <v>23</v>
      </c>
      <c r="I253" s="45">
        <v>1814700</v>
      </c>
      <c r="J253" s="44" t="s">
        <v>198</v>
      </c>
      <c r="K253" s="44" t="str">
        <f>INDEX(CLEANED_MotorPH_Products_List_2!C:C,MATCH(MotorPHSales[[#This Row],[Product]],CLEANED_MotorPH_Products_List_2!$B:$B,0))</f>
        <v>Adventure</v>
      </c>
      <c r="L253" s="44" t="str">
        <f>INDEX(CLEANED_MotorPH_Products_List_2!E:E,MATCH(MotorPHSales[[#This Row],[Product]],CLEANED_MotorPH_Products_List_2!$B:$B,0))</f>
        <v>Single cylinder</v>
      </c>
      <c r="M253" s="44" t="str">
        <f>INDEX(CLEANED_MotorPH_Products_List_2!F:F,MATCH(MotorPHSales[[#This Row],[Product]],CLEANED_MotorPH_Products_List_2!$B:$B,0))</f>
        <v>oil-cooled</v>
      </c>
      <c r="N253" s="44" t="str">
        <f>INDEX(CLEANED_MotorPH_Products_List_2!G:G,MATCH(MotorPHSales[[#This Row],[Product]],CLEANED_MotorPH_Products_List_2!$B:$B,0))</f>
        <v>223cc</v>
      </c>
      <c r="O253" s="44" t="str">
        <f>INDEX(CLEANED_MotorPH_Products_List_2!K:K,MATCH(MotorPHSales[[#This Row],[Product]],CLEANED_MotorPH_Products_List_2!B:B,0))</f>
        <v>Mid-range</v>
      </c>
      <c r="P253" s="45">
        <f>IF(MotorPHSales[[#This Row],[Segment]]="Entry-level",MotorPHSales[[#This Row],[UnitPrice]]/(1+30%),IF(MotorPHSales[[#This Row],[Segment]]="Mid-range",MotorPHSales[[#This Row],[UnitPrice]]/(1+35%),MotorPHSales[[#This Row],[UnitPrice]]/(1+40%)))*MotorPHSales[[#This Row],[Quantity]]</f>
        <v>1344222.222222222</v>
      </c>
      <c r="Q253" s="44" t="str">
        <f>INDEX(CLEANED_MotorPH_Products_List_2!H:H,MATCH(MotorPHSales[[#This Row],[Product]],CLEANED_MotorPH_Products_List_2!$B:$B,0))</f>
        <v>6-speed</v>
      </c>
    </row>
    <row r="254" spans="1:17" ht="15.75" x14ac:dyDescent="0.3">
      <c r="A254" s="43">
        <v>45900</v>
      </c>
      <c r="B254" s="44" t="str">
        <f>TEXT(MotorPHSales[[#This Row],[Date]],"mmmm")</f>
        <v>August</v>
      </c>
      <c r="C254" s="44">
        <f>DAY(MotorPHSales[[#This Row],[Date]])</f>
        <v>31</v>
      </c>
      <c r="D254" s="44">
        <f>YEAR(MotorPHSales[[#This Row],[Date]])</f>
        <v>2025</v>
      </c>
      <c r="E254" s="44" t="s">
        <v>194</v>
      </c>
      <c r="F254" s="44" t="s">
        <v>94</v>
      </c>
      <c r="G254" s="45">
        <v>299000</v>
      </c>
      <c r="H254" s="44">
        <v>35</v>
      </c>
      <c r="I254" s="45">
        <v>10465000</v>
      </c>
      <c r="J254" s="44" t="s">
        <v>195</v>
      </c>
      <c r="K254" s="44" t="str">
        <f>INDEX(CLEANED_MotorPH_Products_List_2!C:C,MATCH(MotorPHSales[[#This Row],[Product]],CLEANED_MotorPH_Products_List_2!$B:$B,0))</f>
        <v>Dual-sport</v>
      </c>
      <c r="L254" s="44" t="str">
        <f>INDEX(CLEANED_MotorPH_Products_List_2!E:E,MATCH(MotorPHSales[[#This Row],[Product]],CLEANED_MotorPH_Products_List_2!$B:$B,0))</f>
        <v>Single cylinder</v>
      </c>
      <c r="M254" s="44" t="str">
        <f>INDEX(CLEANED_MotorPH_Products_List_2!F:F,MATCH(MotorPHSales[[#This Row],[Product]],CLEANED_MotorPH_Products_List_2!$B:$B,0))</f>
        <v>air-cooled</v>
      </c>
      <c r="N254" s="44" t="str">
        <f>INDEX(CLEANED_MotorPH_Products_List_2!G:G,MATCH(MotorPHSales[[#This Row],[Product]],CLEANED_MotorPH_Products_List_2!$B:$B,0))</f>
        <v>249cc</v>
      </c>
      <c r="O254" s="44" t="str">
        <f>INDEX(CLEANED_MotorPH_Products_List_2!K:K,MATCH(MotorPHSales[[#This Row],[Product]],CLEANED_MotorPH_Products_List_2!B:B,0))</f>
        <v>Mid-range</v>
      </c>
      <c r="P254" s="45">
        <f>IF(MotorPHSales[[#This Row],[Segment]]="Entry-level",MotorPHSales[[#This Row],[UnitPrice]]/(1+30%),IF(MotorPHSales[[#This Row],[Segment]]="Mid-range",MotorPHSales[[#This Row],[UnitPrice]]/(1+35%),MotorPHSales[[#This Row],[UnitPrice]]/(1+40%)))*MotorPHSales[[#This Row],[Quantity]]</f>
        <v>7751851.8518518507</v>
      </c>
      <c r="Q254" s="44" t="str">
        <f>INDEX(CLEANED_MotorPH_Products_List_2!H:H,MATCH(MotorPHSales[[#This Row],[Product]],CLEANED_MotorPH_Products_List_2!$B:$B,0))</f>
        <v>5-speed</v>
      </c>
    </row>
    <row r="255" spans="1:17" ht="15.75" x14ac:dyDescent="0.3">
      <c r="A255" s="43">
        <v>45865</v>
      </c>
      <c r="B255" s="44" t="str">
        <f>TEXT(MotorPHSales[[#This Row],[Date]],"mmmm")</f>
        <v>July</v>
      </c>
      <c r="C255" s="44">
        <f>DAY(MotorPHSales[[#This Row],[Date]])</f>
        <v>27</v>
      </c>
      <c r="D255" s="44">
        <f>YEAR(MotorPHSales[[#This Row],[Date]])</f>
        <v>2025</v>
      </c>
      <c r="E255" s="44" t="s">
        <v>196</v>
      </c>
      <c r="F255" s="44" t="s">
        <v>24</v>
      </c>
      <c r="G255" s="45">
        <v>199900</v>
      </c>
      <c r="H255" s="44">
        <v>31</v>
      </c>
      <c r="I255" s="45">
        <v>6196900</v>
      </c>
      <c r="J255" s="44" t="s">
        <v>198</v>
      </c>
      <c r="K255" s="44" t="str">
        <f>INDEX(CLEANED_MotorPH_Products_List_2!C:C,MATCH(MotorPHSales[[#This Row],[Product]],CLEANED_MotorPH_Products_List_2!$B:$B,0))</f>
        <v>Sport touring</v>
      </c>
      <c r="L255" s="44" t="str">
        <f>INDEX(CLEANED_MotorPH_Products_List_2!E:E,MATCH(MotorPHSales[[#This Row],[Product]],CLEANED_MotorPH_Products_List_2!$B:$B,0))</f>
        <v>Single cylinder</v>
      </c>
      <c r="M255" s="44" t="str">
        <f>INDEX(CLEANED_MotorPH_Products_List_2!F:F,MATCH(MotorPHSales[[#This Row],[Product]],CLEANED_MotorPH_Products_List_2!$B:$B,0))</f>
        <v>liquid-cooled</v>
      </c>
      <c r="N255" s="44" t="str">
        <f>INDEX(CLEANED_MotorPH_Products_List_2!G:G,MATCH(MotorPHSales[[#This Row],[Product]],CLEANED_MotorPH_Products_List_2!$B:$B,0))</f>
        <v>373cc</v>
      </c>
      <c r="O255" s="44" t="str">
        <f>INDEX(CLEANED_MotorPH_Products_List_2!K:K,MATCH(MotorPHSales[[#This Row],[Product]],CLEANED_MotorPH_Products_List_2!B:B,0))</f>
        <v>Mid-range</v>
      </c>
      <c r="P255" s="45">
        <f>IF(MotorPHSales[[#This Row],[Segment]]="Entry-level",MotorPHSales[[#This Row],[UnitPrice]]/(1+30%),IF(MotorPHSales[[#This Row],[Segment]]="Mid-range",MotorPHSales[[#This Row],[UnitPrice]]/(1+35%),MotorPHSales[[#This Row],[UnitPrice]]/(1+40%)))*MotorPHSales[[#This Row],[Quantity]]</f>
        <v>4590296.2962962966</v>
      </c>
      <c r="Q255" s="44" t="str">
        <f>INDEX(CLEANED_MotorPH_Products_List_2!H:H,MATCH(MotorPHSales[[#This Row],[Product]],CLEANED_MotorPH_Products_List_2!$B:$B,0))</f>
        <v>6-speed</v>
      </c>
    </row>
    <row r="256" spans="1:17" ht="15.75" x14ac:dyDescent="0.3">
      <c r="A256" s="43">
        <v>45897</v>
      </c>
      <c r="B256" s="44" t="str">
        <f>TEXT(MotorPHSales[[#This Row],[Date]],"mmmm")</f>
        <v>August</v>
      </c>
      <c r="C256" s="44">
        <f>DAY(MotorPHSales[[#This Row],[Date]])</f>
        <v>28</v>
      </c>
      <c r="D256" s="44">
        <f>YEAR(MotorPHSales[[#This Row],[Date]])</f>
        <v>2025</v>
      </c>
      <c r="E256" s="44" t="s">
        <v>196</v>
      </c>
      <c r="F256" s="44" t="s">
        <v>57</v>
      </c>
      <c r="G256" s="45">
        <v>125900</v>
      </c>
      <c r="H256" s="44">
        <v>28</v>
      </c>
      <c r="I256" s="45">
        <v>3525200</v>
      </c>
      <c r="J256" s="44" t="s">
        <v>195</v>
      </c>
      <c r="K256" s="44" t="str">
        <f>INDEX(CLEANED_MotorPH_Products_List_2!C:C,MATCH(MotorPHSales[[#This Row],[Product]],CLEANED_MotorPH_Products_List_2!$B:$B,0))</f>
        <v>Underbone</v>
      </c>
      <c r="L256" s="44" t="str">
        <f>INDEX(CLEANED_MotorPH_Products_List_2!E:E,MATCH(MotorPHSales[[#This Row],[Product]],CLEANED_MotorPH_Products_List_2!$B:$B,0))</f>
        <v>Single cylinder</v>
      </c>
      <c r="M256" s="44" t="str">
        <f>INDEX(CLEANED_MotorPH_Products_List_2!F:F,MATCH(MotorPHSales[[#This Row],[Product]],CLEANED_MotorPH_Products_List_2!$B:$B,0))</f>
        <v>liquid-cooled</v>
      </c>
      <c r="N256" s="44" t="str">
        <f>INDEX(CLEANED_MotorPH_Products_List_2!G:G,MATCH(MotorPHSales[[#This Row],[Product]],CLEANED_MotorPH_Products_List_2!$B:$B,0))</f>
        <v>155cc</v>
      </c>
      <c r="O256" s="44" t="str">
        <f>INDEX(CLEANED_MotorPH_Products_List_2!K:K,MATCH(MotorPHSales[[#This Row],[Product]],CLEANED_MotorPH_Products_List_2!B:B,0))</f>
        <v>Entry-level</v>
      </c>
      <c r="P256" s="45">
        <f>IF(MotorPHSales[[#This Row],[Segment]]="Entry-level",MotorPHSales[[#This Row],[UnitPrice]]/(1+30%),IF(MotorPHSales[[#This Row],[Segment]]="Mid-range",MotorPHSales[[#This Row],[UnitPrice]]/(1+35%),MotorPHSales[[#This Row],[UnitPrice]]/(1+40%)))*MotorPHSales[[#This Row],[Quantity]]</f>
        <v>2711692.3076923075</v>
      </c>
      <c r="Q256" s="44" t="str">
        <f>INDEX(CLEANED_MotorPH_Products_List_2!H:H,MATCH(MotorPHSales[[#This Row],[Product]],CLEANED_MotorPH_Products_List_2!$B:$B,0))</f>
        <v>6-speed</v>
      </c>
    </row>
    <row r="257" spans="1:17" ht="15.75" x14ac:dyDescent="0.3">
      <c r="A257" s="43">
        <v>45858</v>
      </c>
      <c r="B257" s="44" t="str">
        <f>TEXT(MotorPHSales[[#This Row],[Date]],"mmmm")</f>
        <v>July</v>
      </c>
      <c r="C257" s="44">
        <f>DAY(MotorPHSales[[#This Row],[Date]])</f>
        <v>20</v>
      </c>
      <c r="D257" s="44">
        <f>YEAR(MotorPHSales[[#This Row],[Date]])</f>
        <v>2025</v>
      </c>
      <c r="E257" s="44" t="s">
        <v>196</v>
      </c>
      <c r="F257" s="44" t="s">
        <v>26</v>
      </c>
      <c r="G257" s="45">
        <v>151900</v>
      </c>
      <c r="H257" s="44">
        <v>17</v>
      </c>
      <c r="I257" s="45">
        <v>2582300</v>
      </c>
      <c r="J257" s="44" t="s">
        <v>198</v>
      </c>
      <c r="K257" s="44" t="str">
        <f>INDEX(CLEANED_MotorPH_Products_List_2!C:C,MATCH(MotorPHSales[[#This Row],[Product]],CLEANED_MotorPH_Products_List_2!$B:$B,0))</f>
        <v>Scooter</v>
      </c>
      <c r="L257" s="44" t="str">
        <f>INDEX(CLEANED_MotorPH_Products_List_2!E:E,MATCH(MotorPHSales[[#This Row],[Product]],CLEANED_MotorPH_Products_List_2!$B:$B,0))</f>
        <v>Single cylinder</v>
      </c>
      <c r="M257" s="44" t="str">
        <f>INDEX(CLEANED_MotorPH_Products_List_2!F:F,MATCH(MotorPHSales[[#This Row],[Product]],CLEANED_MotorPH_Products_List_2!$B:$B,0))</f>
        <v>liquid-cooled</v>
      </c>
      <c r="N257" s="44" t="str">
        <f>INDEX(CLEANED_MotorPH_Products_List_2!G:G,MATCH(MotorPHSales[[#This Row],[Product]],CLEANED_MotorPH_Products_List_2!$B:$B,0))</f>
        <v>155cc</v>
      </c>
      <c r="O257" s="44" t="str">
        <f>INDEX(CLEANED_MotorPH_Products_List_2!K:K,MATCH(MotorPHSales[[#This Row],[Product]],CLEANED_MotorPH_Products_List_2!B:B,0))</f>
        <v>Entry-level</v>
      </c>
      <c r="P257" s="45">
        <f>IF(MotorPHSales[[#This Row],[Segment]]="Entry-level",MotorPHSales[[#This Row],[UnitPrice]]/(1+30%),IF(MotorPHSales[[#This Row],[Segment]]="Mid-range",MotorPHSales[[#This Row],[UnitPrice]]/(1+35%),MotorPHSales[[#This Row],[UnitPrice]]/(1+40%)))*MotorPHSales[[#This Row],[Quantity]]</f>
        <v>1986384.6153846153</v>
      </c>
      <c r="Q257" s="44" t="str">
        <f>INDEX(CLEANED_MotorPH_Products_List_2!H:H,MATCH(MotorPHSales[[#This Row],[Product]],CLEANED_MotorPH_Products_List_2!$B:$B,0))</f>
        <v>CVT</v>
      </c>
    </row>
    <row r="258" spans="1:17" ht="15.75" x14ac:dyDescent="0.3">
      <c r="A258" s="43">
        <v>45831</v>
      </c>
      <c r="B258" s="44" t="str">
        <f>TEXT(MotorPHSales[[#This Row],[Date]],"mmmm")</f>
        <v>June</v>
      </c>
      <c r="C258" s="44">
        <f>DAY(MotorPHSales[[#This Row],[Date]])</f>
        <v>23</v>
      </c>
      <c r="D258" s="44">
        <f>YEAR(MotorPHSales[[#This Row],[Date]])</f>
        <v>2025</v>
      </c>
      <c r="E258" s="44" t="s">
        <v>194</v>
      </c>
      <c r="F258" s="44" t="s">
        <v>30</v>
      </c>
      <c r="G258" s="45">
        <v>79900</v>
      </c>
      <c r="H258" s="44">
        <v>19</v>
      </c>
      <c r="I258" s="45">
        <v>1518100</v>
      </c>
      <c r="J258" s="44" t="s">
        <v>195</v>
      </c>
      <c r="K258" s="44" t="str">
        <f>INDEX(CLEANED_MotorPH_Products_List_2!C:C,MATCH(MotorPHSales[[#This Row],[Product]],CLEANED_MotorPH_Products_List_2!$B:$B,0))</f>
        <v>Scooter</v>
      </c>
      <c r="L258" s="44" t="str">
        <f>INDEX(CLEANED_MotorPH_Products_List_2!E:E,MATCH(MotorPHSales[[#This Row],[Product]],CLEANED_MotorPH_Products_List_2!$B:$B,0))</f>
        <v>Single cylinder</v>
      </c>
      <c r="M258" s="44" t="str">
        <f>INDEX(CLEANED_MotorPH_Products_List_2!F:F,MATCH(MotorPHSales[[#This Row],[Product]],CLEANED_MotorPH_Products_List_2!$B:$B,0))</f>
        <v>air-cooled</v>
      </c>
      <c r="N258" s="44" t="str">
        <f>INDEX(CLEANED_MotorPH_Products_List_2!G:G,MATCH(MotorPHSales[[#This Row],[Product]],CLEANED_MotorPH_Products_List_2!$B:$B,0))</f>
        <v>124cc</v>
      </c>
      <c r="O258" s="44" t="str">
        <f>INDEX(CLEANED_MotorPH_Products_List_2!K:K,MATCH(MotorPHSales[[#This Row],[Product]],CLEANED_MotorPH_Products_List_2!B:B,0))</f>
        <v>Entry-level</v>
      </c>
      <c r="P258" s="45">
        <f>IF(MotorPHSales[[#This Row],[Segment]]="Entry-level",MotorPHSales[[#This Row],[UnitPrice]]/(1+30%),IF(MotorPHSales[[#This Row],[Segment]]="Mid-range",MotorPHSales[[#This Row],[UnitPrice]]/(1+35%),MotorPHSales[[#This Row],[UnitPrice]]/(1+40%)))*MotorPHSales[[#This Row],[Quantity]]</f>
        <v>1167769.2307692308</v>
      </c>
      <c r="Q258" s="44" t="str">
        <f>INDEX(CLEANED_MotorPH_Products_List_2!H:H,MATCH(MotorPHSales[[#This Row],[Product]],CLEANED_MotorPH_Products_List_2!$B:$B,0))</f>
        <v>CVT</v>
      </c>
    </row>
    <row r="259" spans="1:17" ht="15.75" x14ac:dyDescent="0.3">
      <c r="A259" s="43">
        <v>45839</v>
      </c>
      <c r="B259" s="44" t="str">
        <f>TEXT(MotorPHSales[[#This Row],[Date]],"mmmm")</f>
        <v>July</v>
      </c>
      <c r="C259" s="44">
        <f>DAY(MotorPHSales[[#This Row],[Date]])</f>
        <v>1</v>
      </c>
      <c r="D259" s="44">
        <f>YEAR(MotorPHSales[[#This Row],[Date]])</f>
        <v>2025</v>
      </c>
      <c r="E259" s="44" t="s">
        <v>194</v>
      </c>
      <c r="F259" s="44" t="s">
        <v>51</v>
      </c>
      <c r="G259" s="45">
        <v>78900</v>
      </c>
      <c r="H259" s="44">
        <v>19</v>
      </c>
      <c r="I259" s="45">
        <v>1499100</v>
      </c>
      <c r="J259" s="44" t="s">
        <v>198</v>
      </c>
      <c r="K259" s="44" t="str">
        <f>INDEX(CLEANED_MotorPH_Products_List_2!C:C,MATCH(MotorPHSales[[#This Row],[Product]],CLEANED_MotorPH_Products_List_2!$B:$B,0))</f>
        <v>Adventure</v>
      </c>
      <c r="L259" s="44" t="str">
        <f>INDEX(CLEANED_MotorPH_Products_List_2!E:E,MATCH(MotorPHSales[[#This Row],[Product]],CLEANED_MotorPH_Products_List_2!$B:$B,0))</f>
        <v>Single cylinder</v>
      </c>
      <c r="M259" s="44" t="str">
        <f>INDEX(CLEANED_MotorPH_Products_List_2!F:F,MATCH(MotorPHSales[[#This Row],[Product]],CLEANED_MotorPH_Products_List_2!$B:$B,0))</f>
        <v>oil-cooled</v>
      </c>
      <c r="N259" s="44" t="str">
        <f>INDEX(CLEANED_MotorPH_Products_List_2!G:G,MATCH(MotorPHSales[[#This Row],[Product]],CLEANED_MotorPH_Products_List_2!$B:$B,0))</f>
        <v>223cc</v>
      </c>
      <c r="O259" s="44" t="str">
        <f>INDEX(CLEANED_MotorPH_Products_List_2!K:K,MATCH(MotorPHSales[[#This Row],[Product]],CLEANED_MotorPH_Products_List_2!B:B,0))</f>
        <v>Mid-range</v>
      </c>
      <c r="P259" s="45">
        <f>IF(MotorPHSales[[#This Row],[Segment]]="Entry-level",MotorPHSales[[#This Row],[UnitPrice]]/(1+30%),IF(MotorPHSales[[#This Row],[Segment]]="Mid-range",MotorPHSales[[#This Row],[UnitPrice]]/(1+35%),MotorPHSales[[#This Row],[UnitPrice]]/(1+40%)))*MotorPHSales[[#This Row],[Quantity]]</f>
        <v>1110444.4444444443</v>
      </c>
      <c r="Q259" s="44" t="str">
        <f>INDEX(CLEANED_MotorPH_Products_List_2!H:H,MATCH(MotorPHSales[[#This Row],[Product]],CLEANED_MotorPH_Products_List_2!$B:$B,0))</f>
        <v>6-speed</v>
      </c>
    </row>
    <row r="260" spans="1:17" ht="15.75" x14ac:dyDescent="0.3">
      <c r="A260" s="43">
        <v>45850</v>
      </c>
      <c r="B260" s="44" t="str">
        <f>TEXT(MotorPHSales[[#This Row],[Date]],"mmmm")</f>
        <v>July</v>
      </c>
      <c r="C260" s="44">
        <f>DAY(MotorPHSales[[#This Row],[Date]])</f>
        <v>12</v>
      </c>
      <c r="D260" s="44">
        <f>YEAR(MotorPHSales[[#This Row],[Date]])</f>
        <v>2025</v>
      </c>
      <c r="E260" s="44" t="s">
        <v>196</v>
      </c>
      <c r="F260" s="44" t="s">
        <v>53</v>
      </c>
      <c r="G260" s="45">
        <v>345000</v>
      </c>
      <c r="H260" s="44">
        <v>33</v>
      </c>
      <c r="I260" s="45">
        <v>11385000</v>
      </c>
      <c r="J260" s="44" t="s">
        <v>197</v>
      </c>
      <c r="K260" s="44" t="str">
        <f>INDEX(CLEANED_MotorPH_Products_List_2!C:C,MATCH(MotorPHSales[[#This Row],[Product]],CLEANED_MotorPH_Products_List_2!$B:$B,0))</f>
        <v>Touring</v>
      </c>
      <c r="L260" s="44" t="str">
        <f>INDEX(CLEANED_MotorPH_Products_List_2!E:E,MATCH(MotorPHSales[[#This Row],[Product]],CLEANED_MotorPH_Products_List_2!$B:$B,0))</f>
        <v>Parallel-twin</v>
      </c>
      <c r="M260" s="44" t="str">
        <f>INDEX(CLEANED_MotorPH_Products_List_2!F:F,MATCH(MotorPHSales[[#This Row],[Product]],CLEANED_MotorPH_Products_List_2!$B:$B,0))</f>
        <v>liquid-cooled</v>
      </c>
      <c r="N260" s="44" t="str">
        <f>INDEX(CLEANED_MotorPH_Products_List_2!G:G,MATCH(MotorPHSales[[#This Row],[Product]],CLEANED_MotorPH_Products_List_2!$B:$B,0))</f>
        <v>649cc</v>
      </c>
      <c r="O260" s="44" t="str">
        <f>INDEX(CLEANED_MotorPH_Products_List_2!K:K,MATCH(MotorPHSales[[#This Row],[Product]],CLEANED_MotorPH_Products_List_2!B:B,0))</f>
        <v>Premium</v>
      </c>
      <c r="P260" s="45">
        <f>IF(MotorPHSales[[#This Row],[Segment]]="Entry-level",MotorPHSales[[#This Row],[UnitPrice]]/(1+30%),IF(MotorPHSales[[#This Row],[Segment]]="Mid-range",MotorPHSales[[#This Row],[UnitPrice]]/(1+35%),MotorPHSales[[#This Row],[UnitPrice]]/(1+40%)))*MotorPHSales[[#This Row],[Quantity]]</f>
        <v>8132142.8571428582</v>
      </c>
      <c r="Q260" s="44" t="str">
        <f>INDEX(CLEANED_MotorPH_Products_List_2!H:H,MATCH(MotorPHSales[[#This Row],[Product]],CLEANED_MotorPH_Products_List_2!$B:$B,0))</f>
        <v>6-speed</v>
      </c>
    </row>
    <row r="261" spans="1:17" ht="15.75" x14ac:dyDescent="0.3">
      <c r="A261" s="43">
        <v>45815</v>
      </c>
      <c r="B261" s="44" t="str">
        <f>TEXT(MotorPHSales[[#This Row],[Date]],"mmmm")</f>
        <v>June</v>
      </c>
      <c r="C261" s="44">
        <f>DAY(MotorPHSales[[#This Row],[Date]])</f>
        <v>7</v>
      </c>
      <c r="D261" s="44">
        <f>YEAR(MotorPHSales[[#This Row],[Date]])</f>
        <v>2025</v>
      </c>
      <c r="E261" s="44" t="s">
        <v>194</v>
      </c>
      <c r="F261" s="44" t="s">
        <v>10</v>
      </c>
      <c r="G261" s="45">
        <v>340000</v>
      </c>
      <c r="H261" s="44">
        <v>5</v>
      </c>
      <c r="I261" s="45">
        <v>1700000</v>
      </c>
      <c r="J261" s="44" t="s">
        <v>197</v>
      </c>
      <c r="K261" s="44" t="str">
        <f>INDEX(CLEANED_MotorPH_Products_List_2!C:C,MATCH(MotorPHSales[[#This Row],[Product]],CLEANED_MotorPH_Products_List_2!$B:$B,0))</f>
        <v>Sport</v>
      </c>
      <c r="L261" s="44" t="str">
        <f>INDEX(CLEANED_MotorPH_Products_List_2!E:E,MATCH(MotorPHSales[[#This Row],[Product]],CLEANED_MotorPH_Products_List_2!$B:$B,0))</f>
        <v>Parallel-twin</v>
      </c>
      <c r="M261" s="44" t="str">
        <f>INDEX(CLEANED_MotorPH_Products_List_2!F:F,MATCH(MotorPHSales[[#This Row],[Product]],CLEANED_MotorPH_Products_List_2!$B:$B,0))</f>
        <v>liquid-cooled</v>
      </c>
      <c r="N261" s="44" t="str">
        <f>INDEX(CLEANED_MotorPH_Products_List_2!G:G,MATCH(MotorPHSales[[#This Row],[Product]],CLEANED_MotorPH_Products_List_2!$B:$B,0))</f>
        <v>399cc</v>
      </c>
      <c r="O261" s="44" t="str">
        <f>INDEX(CLEANED_MotorPH_Products_List_2!K:K,MATCH(MotorPHSales[[#This Row],[Product]],CLEANED_MotorPH_Products_List_2!B:B,0))</f>
        <v>Mid-range</v>
      </c>
      <c r="P261" s="45">
        <f>IF(MotorPHSales[[#This Row],[Segment]]="Entry-level",MotorPHSales[[#This Row],[UnitPrice]]/(1+30%),IF(MotorPHSales[[#This Row],[Segment]]="Mid-range",MotorPHSales[[#This Row],[UnitPrice]]/(1+35%),MotorPHSales[[#This Row],[UnitPrice]]/(1+40%)))*MotorPHSales[[#This Row],[Quantity]]</f>
        <v>1259259.2592592591</v>
      </c>
      <c r="Q261" s="44" t="str">
        <f>INDEX(CLEANED_MotorPH_Products_List_2!H:H,MATCH(MotorPHSales[[#This Row],[Product]],CLEANED_MotorPH_Products_List_2!$B:$B,0))</f>
        <v>6-speed</v>
      </c>
    </row>
    <row r="262" spans="1:17" ht="15.75" x14ac:dyDescent="0.3">
      <c r="A262" s="43">
        <v>45824</v>
      </c>
      <c r="B262" s="44" t="str">
        <f>TEXT(MotorPHSales[[#This Row],[Date]],"mmmm")</f>
        <v>June</v>
      </c>
      <c r="C262" s="44">
        <f>DAY(MotorPHSales[[#This Row],[Date]])</f>
        <v>16</v>
      </c>
      <c r="D262" s="44">
        <f>YEAR(MotorPHSales[[#This Row],[Date]])</f>
        <v>2025</v>
      </c>
      <c r="E262" s="44" t="s">
        <v>194</v>
      </c>
      <c r="F262" s="44" t="s">
        <v>51</v>
      </c>
      <c r="G262" s="45">
        <v>78900</v>
      </c>
      <c r="H262" s="44">
        <v>5</v>
      </c>
      <c r="I262" s="45">
        <v>394500</v>
      </c>
      <c r="J262" s="44" t="s">
        <v>198</v>
      </c>
      <c r="K262" s="44" t="str">
        <f>INDEX(CLEANED_MotorPH_Products_List_2!C:C,MATCH(MotorPHSales[[#This Row],[Product]],CLEANED_MotorPH_Products_List_2!$B:$B,0))</f>
        <v>Adventure</v>
      </c>
      <c r="L262" s="44" t="str">
        <f>INDEX(CLEANED_MotorPH_Products_List_2!E:E,MATCH(MotorPHSales[[#This Row],[Product]],CLEANED_MotorPH_Products_List_2!$B:$B,0))</f>
        <v>Single cylinder</v>
      </c>
      <c r="M262" s="44" t="str">
        <f>INDEX(CLEANED_MotorPH_Products_List_2!F:F,MATCH(MotorPHSales[[#This Row],[Product]],CLEANED_MotorPH_Products_List_2!$B:$B,0))</f>
        <v>oil-cooled</v>
      </c>
      <c r="N262" s="44" t="str">
        <f>INDEX(CLEANED_MotorPH_Products_List_2!G:G,MATCH(MotorPHSales[[#This Row],[Product]],CLEANED_MotorPH_Products_List_2!$B:$B,0))</f>
        <v>223cc</v>
      </c>
      <c r="O262" s="44" t="str">
        <f>INDEX(CLEANED_MotorPH_Products_List_2!K:K,MATCH(MotorPHSales[[#This Row],[Product]],CLEANED_MotorPH_Products_List_2!B:B,0))</f>
        <v>Mid-range</v>
      </c>
      <c r="P262" s="45">
        <f>IF(MotorPHSales[[#This Row],[Segment]]="Entry-level",MotorPHSales[[#This Row],[UnitPrice]]/(1+30%),IF(MotorPHSales[[#This Row],[Segment]]="Mid-range",MotorPHSales[[#This Row],[UnitPrice]]/(1+35%),MotorPHSales[[#This Row],[UnitPrice]]/(1+40%)))*MotorPHSales[[#This Row],[Quantity]]</f>
        <v>292222.22222222219</v>
      </c>
      <c r="Q262" s="44" t="str">
        <f>INDEX(CLEANED_MotorPH_Products_List_2!H:H,MATCH(MotorPHSales[[#This Row],[Product]],CLEANED_MotorPH_Products_List_2!$B:$B,0))</f>
        <v>6-speed</v>
      </c>
    </row>
    <row r="263" spans="1:17" ht="15.75" x14ac:dyDescent="0.3">
      <c r="A263" s="43">
        <v>45898</v>
      </c>
      <c r="B263" s="44" t="str">
        <f>TEXT(MotorPHSales[[#This Row],[Date]],"mmmm")</f>
        <v>August</v>
      </c>
      <c r="C263" s="44">
        <f>DAY(MotorPHSales[[#This Row],[Date]])</f>
        <v>29</v>
      </c>
      <c r="D263" s="44">
        <f>YEAR(MotorPHSales[[#This Row],[Date]])</f>
        <v>2025</v>
      </c>
      <c r="E263" s="44" t="s">
        <v>196</v>
      </c>
      <c r="F263" s="44" t="s">
        <v>70</v>
      </c>
      <c r="G263" s="45">
        <v>219000</v>
      </c>
      <c r="H263" s="44">
        <v>46</v>
      </c>
      <c r="I263" s="45">
        <v>10074000</v>
      </c>
      <c r="J263" s="44" t="s">
        <v>197</v>
      </c>
      <c r="K263" s="44" t="str">
        <f>INDEX(CLEANED_MotorPH_Products_List_2!C:C,MATCH(MotorPHSales[[#This Row],[Product]],CLEANED_MotorPH_Products_List_2!$B:$B,0))</f>
        <v>Scooter</v>
      </c>
      <c r="L263" s="44" t="str">
        <f>INDEX(CLEANED_MotorPH_Products_List_2!E:E,MATCH(MotorPHSales[[#This Row],[Product]],CLEANED_MotorPH_Products_List_2!$B:$B,0))</f>
        <v>Single cylinder</v>
      </c>
      <c r="M263" s="44" t="str">
        <f>INDEX(CLEANED_MotorPH_Products_List_2!F:F,MATCH(MotorPHSales[[#This Row],[Product]],CLEANED_MotorPH_Products_List_2!$B:$B,0))</f>
        <v>liquid-cooled</v>
      </c>
      <c r="N263" s="44" t="str">
        <f>INDEX(CLEANED_MotorPH_Products_List_2!G:G,MATCH(MotorPHSales[[#This Row],[Product]],CLEANED_MotorPH_Products_List_2!$B:$B,0))</f>
        <v>174cc</v>
      </c>
      <c r="O263" s="44" t="str">
        <f>INDEX(CLEANED_MotorPH_Products_List_2!K:K,MATCH(MotorPHSales[[#This Row],[Product]],CLEANED_MotorPH_Products_List_2!B:B,0))</f>
        <v>Entry-level</v>
      </c>
      <c r="P263" s="45">
        <f>IF(MotorPHSales[[#This Row],[Segment]]="Entry-level",MotorPHSales[[#This Row],[UnitPrice]]/(1+30%),IF(MotorPHSales[[#This Row],[Segment]]="Mid-range",MotorPHSales[[#This Row],[UnitPrice]]/(1+35%),MotorPHSales[[#This Row],[UnitPrice]]/(1+40%)))*MotorPHSales[[#This Row],[Quantity]]</f>
        <v>7749230.7692307699</v>
      </c>
      <c r="Q263" s="44" t="str">
        <f>INDEX(CLEANED_MotorPH_Products_List_2!H:H,MATCH(MotorPHSales[[#This Row],[Product]],CLEANED_MotorPH_Products_List_2!$B:$B,0))</f>
        <v>CVT</v>
      </c>
    </row>
    <row r="264" spans="1:17" ht="15.75" x14ac:dyDescent="0.3">
      <c r="A264" s="43">
        <v>45868</v>
      </c>
      <c r="B264" s="44" t="str">
        <f>TEXT(MotorPHSales[[#This Row],[Date]],"mmmm")</f>
        <v>July</v>
      </c>
      <c r="C264" s="44">
        <f>DAY(MotorPHSales[[#This Row],[Date]])</f>
        <v>30</v>
      </c>
      <c r="D264" s="44">
        <f>YEAR(MotorPHSales[[#This Row],[Date]])</f>
        <v>2025</v>
      </c>
      <c r="E264" s="44" t="s">
        <v>196</v>
      </c>
      <c r="F264" s="44" t="s">
        <v>72</v>
      </c>
      <c r="G264" s="45">
        <v>319000</v>
      </c>
      <c r="H264" s="44">
        <v>18</v>
      </c>
      <c r="I264" s="45">
        <v>5742000</v>
      </c>
      <c r="J264" s="44" t="s">
        <v>195</v>
      </c>
      <c r="K264" s="44" t="str">
        <f>INDEX(CLEANED_MotorPH_Products_List_2!C:C,MATCH(MotorPHSales[[#This Row],[Product]],CLEANED_MotorPH_Products_List_2!$B:$B,0))</f>
        <v>Scooter</v>
      </c>
      <c r="L264" s="44" t="str">
        <f>INDEX(CLEANED_MotorPH_Products_List_2!E:E,MATCH(MotorPHSales[[#This Row],[Product]],CLEANED_MotorPH_Products_List_2!$B:$B,0))</f>
        <v>Single cylinder</v>
      </c>
      <c r="M264" s="44" t="str">
        <f>INDEX(CLEANED_MotorPH_Products_List_2!F:F,MATCH(MotorPHSales[[#This Row],[Product]],CLEANED_MotorPH_Products_List_2!$B:$B,0))</f>
        <v>liquid-cooled</v>
      </c>
      <c r="N264" s="44" t="str">
        <f>INDEX(CLEANED_MotorPH_Products_List_2!G:G,MATCH(MotorPHSales[[#This Row],[Product]],CLEANED_MotorPH_Products_List_2!$B:$B,0))</f>
        <v>292cc</v>
      </c>
      <c r="O264" s="44" t="str">
        <f>INDEX(CLEANED_MotorPH_Products_List_2!K:K,MATCH(MotorPHSales[[#This Row],[Product]],CLEANED_MotorPH_Products_List_2!B:B,0))</f>
        <v>Mid-range</v>
      </c>
      <c r="P264" s="45">
        <f>IF(MotorPHSales[[#This Row],[Segment]]="Entry-level",MotorPHSales[[#This Row],[UnitPrice]]/(1+30%),IF(MotorPHSales[[#This Row],[Segment]]="Mid-range",MotorPHSales[[#This Row],[UnitPrice]]/(1+35%),MotorPHSales[[#This Row],[UnitPrice]]/(1+40%)))*MotorPHSales[[#This Row],[Quantity]]</f>
        <v>4253333.333333333</v>
      </c>
      <c r="Q264" s="44" t="str">
        <f>INDEX(CLEANED_MotorPH_Products_List_2!H:H,MATCH(MotorPHSales[[#This Row],[Product]],CLEANED_MotorPH_Products_List_2!$B:$B,0))</f>
        <v>CVT</v>
      </c>
    </row>
    <row r="265" spans="1:17" ht="15.75" x14ac:dyDescent="0.3">
      <c r="A265" s="43">
        <v>45810</v>
      </c>
      <c r="B265" s="44" t="str">
        <f>TEXT(MotorPHSales[[#This Row],[Date]],"mmmm")</f>
        <v>June</v>
      </c>
      <c r="C265" s="44">
        <f>DAY(MotorPHSales[[#This Row],[Date]])</f>
        <v>2</v>
      </c>
      <c r="D265" s="44">
        <f>YEAR(MotorPHSales[[#This Row],[Date]])</f>
        <v>2025</v>
      </c>
      <c r="E265" s="44" t="s">
        <v>196</v>
      </c>
      <c r="F265" s="44" t="s">
        <v>97</v>
      </c>
      <c r="G265" s="45">
        <v>269000</v>
      </c>
      <c r="H265" s="44">
        <v>11</v>
      </c>
      <c r="I265" s="45">
        <v>2959000</v>
      </c>
      <c r="J265" s="44" t="s">
        <v>195</v>
      </c>
      <c r="K265" s="44" t="str">
        <f>INDEX(CLEANED_MotorPH_Products_List_2!C:C,MATCH(MotorPHSales[[#This Row],[Product]],CLEANED_MotorPH_Products_List_2!$B:$B,0))</f>
        <v>Cafe racer</v>
      </c>
      <c r="L265" s="44" t="str">
        <f>INDEX(CLEANED_MotorPH_Products_List_2!E:E,MATCH(MotorPHSales[[#This Row],[Product]],CLEANED_MotorPH_Products_List_2!$B:$B,0))</f>
        <v>Single cylinder</v>
      </c>
      <c r="M265" s="44" t="str">
        <f>INDEX(CLEANED_MotorPH_Products_List_2!F:F,MATCH(MotorPHSales[[#This Row],[Product]],CLEANED_MotorPH_Products_List_2!$B:$B,0))</f>
        <v>liquid-cooled</v>
      </c>
      <c r="N265" s="44" t="str">
        <f>INDEX(CLEANED_MotorPH_Products_List_2!G:G,MATCH(MotorPHSales[[#This Row],[Product]],CLEANED_MotorPH_Products_List_2!$B:$B,0))</f>
        <v>348cc</v>
      </c>
      <c r="O265" s="44" t="str">
        <f>INDEX(CLEANED_MotorPH_Products_List_2!K:K,MATCH(MotorPHSales[[#This Row],[Product]],CLEANED_MotorPH_Products_List_2!B:B,0))</f>
        <v>Mid-range</v>
      </c>
      <c r="P265" s="45">
        <f>IF(MotorPHSales[[#This Row],[Segment]]="Entry-level",MotorPHSales[[#This Row],[UnitPrice]]/(1+30%),IF(MotorPHSales[[#This Row],[Segment]]="Mid-range",MotorPHSales[[#This Row],[UnitPrice]]/(1+35%),MotorPHSales[[#This Row],[UnitPrice]]/(1+40%)))*MotorPHSales[[#This Row],[Quantity]]</f>
        <v>2191851.8518518517</v>
      </c>
      <c r="Q265" s="44" t="str">
        <f>INDEX(CLEANED_MotorPH_Products_List_2!H:H,MATCH(MotorPHSales[[#This Row],[Product]],CLEANED_MotorPH_Products_List_2!$B:$B,0))</f>
        <v>6-speed</v>
      </c>
    </row>
    <row r="266" spans="1:17" ht="15.75" x14ac:dyDescent="0.3">
      <c r="A266" s="43">
        <v>45809</v>
      </c>
      <c r="B266" s="44" t="str">
        <f>TEXT(MotorPHSales[[#This Row],[Date]],"mmmm")</f>
        <v>June</v>
      </c>
      <c r="C266" s="44">
        <f>DAY(MotorPHSales[[#This Row],[Date]])</f>
        <v>1</v>
      </c>
      <c r="D266" s="44">
        <f>YEAR(MotorPHSales[[#This Row],[Date]])</f>
        <v>2025</v>
      </c>
      <c r="E266" s="44" t="s">
        <v>196</v>
      </c>
      <c r="F266" s="44" t="s">
        <v>49</v>
      </c>
      <c r="G266" s="45">
        <v>68900</v>
      </c>
      <c r="H266" s="44">
        <v>12</v>
      </c>
      <c r="I266" s="45">
        <v>826800</v>
      </c>
      <c r="J266" s="44" t="s">
        <v>198</v>
      </c>
      <c r="K266" s="44" t="str">
        <f>INDEX(CLEANED_MotorPH_Products_List_2!C:C,MATCH(MotorPHSales[[#This Row],[Product]],CLEANED_MotorPH_Products_List_2!$B:$B,0))</f>
        <v>Standard</v>
      </c>
      <c r="L266" s="44" t="str">
        <f>INDEX(CLEANED_MotorPH_Products_List_2!E:E,MATCH(MotorPHSales[[#This Row],[Product]],CLEANED_MotorPH_Products_List_2!$B:$B,0))</f>
        <v>Single cylinder</v>
      </c>
      <c r="M266" s="44" t="str">
        <f>INDEX(CLEANED_MotorPH_Products_List_2!F:F,MATCH(MotorPHSales[[#This Row],[Product]],CLEANED_MotorPH_Products_List_2!$B:$B,0))</f>
        <v>air-cooled</v>
      </c>
      <c r="N266" s="44" t="str">
        <f>INDEX(CLEANED_MotorPH_Products_List_2!G:G,MATCH(MotorPHSales[[#This Row],[Product]],CLEANED_MotorPH_Products_List_2!$B:$B,0))</f>
        <v>149cc</v>
      </c>
      <c r="O266" s="44" t="str">
        <f>INDEX(CLEANED_MotorPH_Products_List_2!K:K,MATCH(MotorPHSales[[#This Row],[Product]],CLEANED_MotorPH_Products_List_2!B:B,0))</f>
        <v>Entry-level</v>
      </c>
      <c r="P266" s="45">
        <f>IF(MotorPHSales[[#This Row],[Segment]]="Entry-level",MotorPHSales[[#This Row],[UnitPrice]]/(1+30%),IF(MotorPHSales[[#This Row],[Segment]]="Mid-range",MotorPHSales[[#This Row],[UnitPrice]]/(1+35%),MotorPHSales[[#This Row],[UnitPrice]]/(1+40%)))*MotorPHSales[[#This Row],[Quantity]]</f>
        <v>636000</v>
      </c>
      <c r="Q266" s="44" t="str">
        <f>INDEX(CLEANED_MotorPH_Products_List_2!H:H,MATCH(MotorPHSales[[#This Row],[Product]],CLEANED_MotorPH_Products_List_2!$B:$B,0))</f>
        <v>5-speed</v>
      </c>
    </row>
    <row r="267" spans="1:17" ht="15.75" x14ac:dyDescent="0.3">
      <c r="A267" s="43">
        <v>45856</v>
      </c>
      <c r="B267" s="44" t="str">
        <f>TEXT(MotorPHSales[[#This Row],[Date]],"mmmm")</f>
        <v>July</v>
      </c>
      <c r="C267" s="44">
        <f>DAY(MotorPHSales[[#This Row],[Date]])</f>
        <v>18</v>
      </c>
      <c r="D267" s="44">
        <f>YEAR(MotorPHSales[[#This Row],[Date]])</f>
        <v>2025</v>
      </c>
      <c r="E267" s="44" t="s">
        <v>194</v>
      </c>
      <c r="F267" s="44" t="s">
        <v>16</v>
      </c>
      <c r="G267" s="45">
        <v>165000</v>
      </c>
      <c r="H267" s="44">
        <v>12</v>
      </c>
      <c r="I267" s="45">
        <v>1980000</v>
      </c>
      <c r="J267" s="44" t="s">
        <v>197</v>
      </c>
      <c r="K267" s="44" t="str">
        <f>INDEX(CLEANED_MotorPH_Products_List_2!C:C,MATCH(MotorPHSales[[#This Row],[Product]],CLEANED_MotorPH_Products_List_2!$B:$B,0))</f>
        <v>Naked bike</v>
      </c>
      <c r="L267" s="44" t="str">
        <f>INDEX(CLEANED_MotorPH_Products_List_2!E:E,MATCH(MotorPHSales[[#This Row],[Product]],CLEANED_MotorPH_Products_List_2!$B:$B,0))</f>
        <v>Single cylinder</v>
      </c>
      <c r="M267" s="44" t="str">
        <f>INDEX(CLEANED_MotorPH_Products_List_2!F:F,MATCH(MotorPHSales[[#This Row],[Product]],CLEANED_MotorPH_Products_List_2!$B:$B,0))</f>
        <v>liquid-cooled</v>
      </c>
      <c r="N267" s="44" t="str">
        <f>INDEX(CLEANED_MotorPH_Products_List_2!G:G,MATCH(MotorPHSales[[#This Row],[Product]],CLEANED_MotorPH_Products_List_2!$B:$B,0))</f>
        <v>292cc</v>
      </c>
      <c r="O267" s="44" t="str">
        <f>INDEX(CLEANED_MotorPH_Products_List_2!K:K,MATCH(MotorPHSales[[#This Row],[Product]],CLEANED_MotorPH_Products_List_2!B:B,0))</f>
        <v>Mid-range</v>
      </c>
      <c r="P267" s="45">
        <f>IF(MotorPHSales[[#This Row],[Segment]]="Entry-level",MotorPHSales[[#This Row],[UnitPrice]]/(1+30%),IF(MotorPHSales[[#This Row],[Segment]]="Mid-range",MotorPHSales[[#This Row],[UnitPrice]]/(1+35%),MotorPHSales[[#This Row],[UnitPrice]]/(1+40%)))*MotorPHSales[[#This Row],[Quantity]]</f>
        <v>1466666.6666666665</v>
      </c>
      <c r="Q267" s="44" t="str">
        <f>INDEX(CLEANED_MotorPH_Products_List_2!H:H,MATCH(MotorPHSales[[#This Row],[Product]],CLEANED_MotorPH_Products_List_2!$B:$B,0))</f>
        <v>6-speed</v>
      </c>
    </row>
    <row r="268" spans="1:17" ht="15.75" x14ac:dyDescent="0.3">
      <c r="A268" s="43">
        <v>45820</v>
      </c>
      <c r="B268" s="44" t="str">
        <f>TEXT(MotorPHSales[[#This Row],[Date]],"mmmm")</f>
        <v>June</v>
      </c>
      <c r="C268" s="44">
        <f>DAY(MotorPHSales[[#This Row],[Date]])</f>
        <v>12</v>
      </c>
      <c r="D268" s="44">
        <f>YEAR(MotorPHSales[[#This Row],[Date]])</f>
        <v>2025</v>
      </c>
      <c r="E268" s="44" t="s">
        <v>194</v>
      </c>
      <c r="F268" s="44" t="s">
        <v>16</v>
      </c>
      <c r="G268" s="45">
        <v>165000</v>
      </c>
      <c r="H268" s="44">
        <v>43</v>
      </c>
      <c r="I268" s="45">
        <v>7095000</v>
      </c>
      <c r="J268" s="44" t="s">
        <v>195</v>
      </c>
      <c r="K268" s="44" t="str">
        <f>INDEX(CLEANED_MotorPH_Products_List_2!C:C,MATCH(MotorPHSales[[#This Row],[Product]],CLEANED_MotorPH_Products_List_2!$B:$B,0))</f>
        <v>Naked bike</v>
      </c>
      <c r="L268" s="44" t="str">
        <f>INDEX(CLEANED_MotorPH_Products_List_2!E:E,MATCH(MotorPHSales[[#This Row],[Product]],CLEANED_MotorPH_Products_List_2!$B:$B,0))</f>
        <v>Single cylinder</v>
      </c>
      <c r="M268" s="44" t="str">
        <f>INDEX(CLEANED_MotorPH_Products_List_2!F:F,MATCH(MotorPHSales[[#This Row],[Product]],CLEANED_MotorPH_Products_List_2!$B:$B,0))</f>
        <v>liquid-cooled</v>
      </c>
      <c r="N268" s="44" t="str">
        <f>INDEX(CLEANED_MotorPH_Products_List_2!G:G,MATCH(MotorPHSales[[#This Row],[Product]],CLEANED_MotorPH_Products_List_2!$B:$B,0))</f>
        <v>292cc</v>
      </c>
      <c r="O268" s="44" t="str">
        <f>INDEX(CLEANED_MotorPH_Products_List_2!K:K,MATCH(MotorPHSales[[#This Row],[Product]],CLEANED_MotorPH_Products_List_2!B:B,0))</f>
        <v>Mid-range</v>
      </c>
      <c r="P268" s="45">
        <f>IF(MotorPHSales[[#This Row],[Segment]]="Entry-level",MotorPHSales[[#This Row],[UnitPrice]]/(1+30%),IF(MotorPHSales[[#This Row],[Segment]]="Mid-range",MotorPHSales[[#This Row],[UnitPrice]]/(1+35%),MotorPHSales[[#This Row],[UnitPrice]]/(1+40%)))*MotorPHSales[[#This Row],[Quantity]]</f>
        <v>5255555.555555555</v>
      </c>
      <c r="Q268" s="44" t="str">
        <f>INDEX(CLEANED_MotorPH_Products_List_2!H:H,MATCH(MotorPHSales[[#This Row],[Product]],CLEANED_MotorPH_Products_List_2!$B:$B,0))</f>
        <v>6-speed</v>
      </c>
    </row>
    <row r="269" spans="1:17" ht="15.75" x14ac:dyDescent="0.3">
      <c r="A269" s="43">
        <v>45877</v>
      </c>
      <c r="B269" s="44" t="str">
        <f>TEXT(MotorPHSales[[#This Row],[Date]],"mmmm")</f>
        <v>August</v>
      </c>
      <c r="C269" s="44">
        <f>DAY(MotorPHSales[[#This Row],[Date]])</f>
        <v>8</v>
      </c>
      <c r="D269" s="44">
        <f>YEAR(MotorPHSales[[#This Row],[Date]])</f>
        <v>2025</v>
      </c>
      <c r="E269" s="44" t="s">
        <v>194</v>
      </c>
      <c r="F269" s="44" t="s">
        <v>90</v>
      </c>
      <c r="G269" s="45">
        <v>165000</v>
      </c>
      <c r="H269" s="44">
        <v>8</v>
      </c>
      <c r="I269" s="45">
        <v>1320000</v>
      </c>
      <c r="J269" s="44" t="s">
        <v>198</v>
      </c>
      <c r="K269" s="44" t="str">
        <f>INDEX(CLEANED_MotorPH_Products_List_2!C:C,MATCH(MotorPHSales[[#This Row],[Product]],CLEANED_MotorPH_Products_List_2!$B:$B,0))</f>
        <v>Sport</v>
      </c>
      <c r="L269" s="44" t="str">
        <f>INDEX(CLEANED_MotorPH_Products_List_2!E:E,MATCH(MotorPHSales[[#This Row],[Product]],CLEANED_MotorPH_Products_List_2!$B:$B,0))</f>
        <v>Single cylinder</v>
      </c>
      <c r="M269" s="44" t="str">
        <f>INDEX(CLEANED_MotorPH_Products_List_2!F:F,MATCH(MotorPHSales[[#This Row],[Product]],CLEANED_MotorPH_Products_List_2!$B:$B,0))</f>
        <v>liquid-cooled</v>
      </c>
      <c r="N269" s="44" t="str">
        <f>INDEX(CLEANED_MotorPH_Products_List_2!G:G,MATCH(MotorPHSales[[#This Row],[Product]],CLEANED_MotorPH_Products_List_2!$B:$B,0))</f>
        <v>292cc</v>
      </c>
      <c r="O269" s="44" t="str">
        <f>INDEX(CLEANED_MotorPH_Products_List_2!K:K,MATCH(MotorPHSales[[#This Row],[Product]],CLEANED_MotorPH_Products_List_2!B:B,0))</f>
        <v>Mid-range</v>
      </c>
      <c r="P269" s="45">
        <f>IF(MotorPHSales[[#This Row],[Segment]]="Entry-level",MotorPHSales[[#This Row],[UnitPrice]]/(1+30%),IF(MotorPHSales[[#This Row],[Segment]]="Mid-range",MotorPHSales[[#This Row],[UnitPrice]]/(1+35%),MotorPHSales[[#This Row],[UnitPrice]]/(1+40%)))*MotorPHSales[[#This Row],[Quantity]]</f>
        <v>977777.77777777775</v>
      </c>
      <c r="Q269" s="44" t="str">
        <f>INDEX(CLEANED_MotorPH_Products_List_2!H:H,MATCH(MotorPHSales[[#This Row],[Product]],CLEANED_MotorPH_Products_List_2!$B:$B,0))</f>
        <v>6-speed</v>
      </c>
    </row>
    <row r="270" spans="1:17" ht="15.75" x14ac:dyDescent="0.3">
      <c r="A270" s="43">
        <v>45845</v>
      </c>
      <c r="B270" s="44" t="str">
        <f>TEXT(MotorPHSales[[#This Row],[Date]],"mmmm")</f>
        <v>July</v>
      </c>
      <c r="C270" s="44">
        <f>DAY(MotorPHSales[[#This Row],[Date]])</f>
        <v>7</v>
      </c>
      <c r="D270" s="44">
        <f>YEAR(MotorPHSales[[#This Row],[Date]])</f>
        <v>2025</v>
      </c>
      <c r="E270" s="44" t="s">
        <v>194</v>
      </c>
      <c r="F270" s="44" t="s">
        <v>59</v>
      </c>
      <c r="G270" s="45">
        <v>67900</v>
      </c>
      <c r="H270" s="44">
        <v>1</v>
      </c>
      <c r="I270" s="45">
        <v>67900</v>
      </c>
      <c r="J270" s="44" t="s">
        <v>197</v>
      </c>
      <c r="K270" s="44" t="str">
        <f>INDEX(CLEANED_MotorPH_Products_List_2!C:C,MATCH(MotorPHSales[[#This Row],[Product]],CLEANED_MotorPH_Products_List_2!$B:$B,0))</f>
        <v>Commuter</v>
      </c>
      <c r="L270" s="44" t="str">
        <f>INDEX(CLEANED_MotorPH_Products_List_2!E:E,MATCH(MotorPHSales[[#This Row],[Product]],CLEANED_MotorPH_Products_List_2!$B:$B,0))</f>
        <v>Single cylinder</v>
      </c>
      <c r="M270" s="44" t="str">
        <f>INDEX(CLEANED_MotorPH_Products_List_2!F:F,MATCH(MotorPHSales[[#This Row],[Product]],CLEANED_MotorPH_Products_List_2!$B:$B,0))</f>
        <v>air-cooled</v>
      </c>
      <c r="N270" s="44" t="str">
        <f>INDEX(CLEANED_MotorPH_Products_List_2!G:G,MATCH(MotorPHSales[[#This Row],[Product]],CLEANED_MotorPH_Products_List_2!$B:$B,0))</f>
        <v>125cc</v>
      </c>
      <c r="O270" s="44" t="str">
        <f>INDEX(CLEANED_MotorPH_Products_List_2!K:K,MATCH(MotorPHSales[[#This Row],[Product]],CLEANED_MotorPH_Products_List_2!B:B,0))</f>
        <v>Entry-level</v>
      </c>
      <c r="P270" s="45">
        <f>IF(MotorPHSales[[#This Row],[Segment]]="Entry-level",MotorPHSales[[#This Row],[UnitPrice]]/(1+30%),IF(MotorPHSales[[#This Row],[Segment]]="Mid-range",MotorPHSales[[#This Row],[UnitPrice]]/(1+35%),MotorPHSales[[#This Row],[UnitPrice]]/(1+40%)))*MotorPHSales[[#This Row],[Quantity]]</f>
        <v>52230.769230769227</v>
      </c>
      <c r="Q270" s="44" t="str">
        <f>INDEX(CLEANED_MotorPH_Products_List_2!H:H,MATCH(MotorPHSales[[#This Row],[Product]],CLEANED_MotorPH_Products_List_2!$B:$B,0))</f>
        <v>4-speed</v>
      </c>
    </row>
    <row r="271" spans="1:17" ht="15.75" x14ac:dyDescent="0.3">
      <c r="A271" s="43">
        <v>45840</v>
      </c>
      <c r="B271" s="44" t="str">
        <f>TEXT(MotorPHSales[[#This Row],[Date]],"mmmm")</f>
        <v>July</v>
      </c>
      <c r="C271" s="44">
        <f>DAY(MotorPHSales[[#This Row],[Date]])</f>
        <v>2</v>
      </c>
      <c r="D271" s="44">
        <f>YEAR(MotorPHSales[[#This Row],[Date]])</f>
        <v>2025</v>
      </c>
      <c r="E271" s="44" t="s">
        <v>194</v>
      </c>
      <c r="F271" s="44" t="s">
        <v>70</v>
      </c>
      <c r="G271" s="45">
        <v>219000</v>
      </c>
      <c r="H271" s="44">
        <v>3</v>
      </c>
      <c r="I271" s="45">
        <v>657000</v>
      </c>
      <c r="J271" s="44" t="s">
        <v>198</v>
      </c>
      <c r="K271" s="44" t="str">
        <f>INDEX(CLEANED_MotorPH_Products_List_2!C:C,MATCH(MotorPHSales[[#This Row],[Product]],CLEANED_MotorPH_Products_List_2!$B:$B,0))</f>
        <v>Scooter</v>
      </c>
      <c r="L271" s="44" t="str">
        <f>INDEX(CLEANED_MotorPH_Products_List_2!E:E,MATCH(MotorPHSales[[#This Row],[Product]],CLEANED_MotorPH_Products_List_2!$B:$B,0))</f>
        <v>Single cylinder</v>
      </c>
      <c r="M271" s="44" t="str">
        <f>INDEX(CLEANED_MotorPH_Products_List_2!F:F,MATCH(MotorPHSales[[#This Row],[Product]],CLEANED_MotorPH_Products_List_2!$B:$B,0))</f>
        <v>liquid-cooled</v>
      </c>
      <c r="N271" s="44" t="str">
        <f>INDEX(CLEANED_MotorPH_Products_List_2!G:G,MATCH(MotorPHSales[[#This Row],[Product]],CLEANED_MotorPH_Products_List_2!$B:$B,0))</f>
        <v>174cc</v>
      </c>
      <c r="O271" s="44" t="str">
        <f>INDEX(CLEANED_MotorPH_Products_List_2!K:K,MATCH(MotorPHSales[[#This Row],[Product]],CLEANED_MotorPH_Products_List_2!B:B,0))</f>
        <v>Entry-level</v>
      </c>
      <c r="P271" s="45">
        <f>IF(MotorPHSales[[#This Row],[Segment]]="Entry-level",MotorPHSales[[#This Row],[UnitPrice]]/(1+30%),IF(MotorPHSales[[#This Row],[Segment]]="Mid-range",MotorPHSales[[#This Row],[UnitPrice]]/(1+35%),MotorPHSales[[#This Row],[UnitPrice]]/(1+40%)))*MotorPHSales[[#This Row],[Quantity]]</f>
        <v>505384.61538461538</v>
      </c>
      <c r="Q271" s="44" t="str">
        <f>INDEX(CLEANED_MotorPH_Products_List_2!H:H,MATCH(MotorPHSales[[#This Row],[Product]],CLEANED_MotorPH_Products_List_2!$B:$B,0))</f>
        <v>CVT</v>
      </c>
    </row>
    <row r="272" spans="1:17" ht="15.75" x14ac:dyDescent="0.3">
      <c r="A272" s="43">
        <v>45817</v>
      </c>
      <c r="B272" s="44" t="str">
        <f>TEXT(MotorPHSales[[#This Row],[Date]],"mmmm")</f>
        <v>June</v>
      </c>
      <c r="C272" s="44">
        <f>DAY(MotorPHSales[[#This Row],[Date]])</f>
        <v>9</v>
      </c>
      <c r="D272" s="44">
        <f>YEAR(MotorPHSales[[#This Row],[Date]])</f>
        <v>2025</v>
      </c>
      <c r="E272" s="44" t="s">
        <v>194</v>
      </c>
      <c r="F272" s="44" t="s">
        <v>6</v>
      </c>
      <c r="G272" s="45">
        <v>389000</v>
      </c>
      <c r="H272" s="44">
        <v>21</v>
      </c>
      <c r="I272" s="45">
        <v>8169000</v>
      </c>
      <c r="J272" s="44" t="s">
        <v>195</v>
      </c>
      <c r="K272" s="44" t="str">
        <f>INDEX(CLEANED_MotorPH_Products_List_2!C:C,MATCH(MotorPHSales[[#This Row],[Product]],CLEANED_MotorPH_Products_List_2!$B:$B,0))</f>
        <v>Sport</v>
      </c>
      <c r="L272" s="44" t="str">
        <f>INDEX(CLEANED_MotorPH_Products_List_2!E:E,MATCH(MotorPHSales[[#This Row],[Product]],CLEANED_MotorPH_Products_List_2!$B:$B,0))</f>
        <v>Parallel-twin</v>
      </c>
      <c r="M272" s="44" t="str">
        <f>INDEX(CLEANED_MotorPH_Products_List_2!F:F,MATCH(MotorPHSales[[#This Row],[Product]],CLEANED_MotorPH_Products_List_2!$B:$B,0))</f>
        <v>liquid-cooled</v>
      </c>
      <c r="N272" s="44" t="str">
        <f>INDEX(CLEANED_MotorPH_Products_List_2!G:G,MATCH(MotorPHSales[[#This Row],[Product]],CLEANED_MotorPH_Products_List_2!$B:$B,0))</f>
        <v>471cc</v>
      </c>
      <c r="O272" s="44" t="str">
        <f>INDEX(CLEANED_MotorPH_Products_List_2!K:K,MATCH(MotorPHSales[[#This Row],[Product]],CLEANED_MotorPH_Products_List_2!B:B,0))</f>
        <v>Mid-range</v>
      </c>
      <c r="P272" s="45">
        <f>IF(MotorPHSales[[#This Row],[Segment]]="Entry-level",MotorPHSales[[#This Row],[UnitPrice]]/(1+30%),IF(MotorPHSales[[#This Row],[Segment]]="Mid-range",MotorPHSales[[#This Row],[UnitPrice]]/(1+35%),MotorPHSales[[#This Row],[UnitPrice]]/(1+40%)))*MotorPHSales[[#This Row],[Quantity]]</f>
        <v>6051111.111111111</v>
      </c>
      <c r="Q272" s="44" t="str">
        <f>INDEX(CLEANED_MotorPH_Products_List_2!H:H,MATCH(MotorPHSales[[#This Row],[Product]],CLEANED_MotorPH_Products_List_2!$B:$B,0))</f>
        <v>6-speed</v>
      </c>
    </row>
    <row r="273" spans="1:17" ht="15.75" x14ac:dyDescent="0.3">
      <c r="A273" s="43">
        <v>45827</v>
      </c>
      <c r="B273" s="44" t="str">
        <f>TEXT(MotorPHSales[[#This Row],[Date]],"mmmm")</f>
        <v>June</v>
      </c>
      <c r="C273" s="44">
        <f>DAY(MotorPHSales[[#This Row],[Date]])</f>
        <v>19</v>
      </c>
      <c r="D273" s="44">
        <f>YEAR(MotorPHSales[[#This Row],[Date]])</f>
        <v>2025</v>
      </c>
      <c r="E273" s="44" t="s">
        <v>196</v>
      </c>
      <c r="F273" s="44" t="s">
        <v>46</v>
      </c>
      <c r="G273" s="45">
        <v>124000</v>
      </c>
      <c r="H273" s="44">
        <v>11</v>
      </c>
      <c r="I273" s="45">
        <v>1364000</v>
      </c>
      <c r="J273" s="44" t="s">
        <v>197</v>
      </c>
      <c r="K273" s="44" t="str">
        <f>INDEX(CLEANED_MotorPH_Products_List_2!C:C,MATCH(MotorPHSales[[#This Row],[Product]],CLEANED_MotorPH_Products_List_2!$B:$B,0))</f>
        <v>Scooter</v>
      </c>
      <c r="L273" s="44" t="str">
        <f>INDEX(CLEANED_MotorPH_Products_List_2!E:E,MATCH(MotorPHSales[[#This Row],[Product]],CLEANED_MotorPH_Products_List_2!$B:$B,0))</f>
        <v>Single cylinder</v>
      </c>
      <c r="M273" s="44" t="str">
        <f>INDEX(CLEANED_MotorPH_Products_List_2!F:F,MATCH(MotorPHSales[[#This Row],[Product]],CLEANED_MotorPH_Products_List_2!$B:$B,0))</f>
        <v>liquid-cooled</v>
      </c>
      <c r="N273" s="44" t="str">
        <f>INDEX(CLEANED_MotorPH_Products_List_2!G:G,MATCH(MotorPHSales[[#This Row],[Product]],CLEANED_MotorPH_Products_List_2!$B:$B,0))</f>
        <v>155cc</v>
      </c>
      <c r="O273" s="44" t="str">
        <f>INDEX(CLEANED_MotorPH_Products_List_2!K:K,MATCH(MotorPHSales[[#This Row],[Product]],CLEANED_MotorPH_Products_List_2!B:B,0))</f>
        <v>Entry-level</v>
      </c>
      <c r="P273" s="45">
        <f>IF(MotorPHSales[[#This Row],[Segment]]="Entry-level",MotorPHSales[[#This Row],[UnitPrice]]/(1+30%),IF(MotorPHSales[[#This Row],[Segment]]="Mid-range",MotorPHSales[[#This Row],[UnitPrice]]/(1+35%),MotorPHSales[[#This Row],[UnitPrice]]/(1+40%)))*MotorPHSales[[#This Row],[Quantity]]</f>
        <v>1049230.769230769</v>
      </c>
      <c r="Q273" s="44" t="str">
        <f>INDEX(CLEANED_MotorPH_Products_List_2!H:H,MATCH(MotorPHSales[[#This Row],[Product]],CLEANED_MotorPH_Products_List_2!$B:$B,0))</f>
        <v>CVT</v>
      </c>
    </row>
    <row r="274" spans="1:17" ht="15.75" x14ac:dyDescent="0.3">
      <c r="A274" s="43">
        <v>45856</v>
      </c>
      <c r="B274" s="44" t="str">
        <f>TEXT(MotorPHSales[[#This Row],[Date]],"mmmm")</f>
        <v>July</v>
      </c>
      <c r="C274" s="44">
        <f>DAY(MotorPHSales[[#This Row],[Date]])</f>
        <v>18</v>
      </c>
      <c r="D274" s="44">
        <f>YEAR(MotorPHSales[[#This Row],[Date]])</f>
        <v>2025</v>
      </c>
      <c r="E274" s="44" t="s">
        <v>196</v>
      </c>
      <c r="F274" s="44" t="s">
        <v>8</v>
      </c>
      <c r="G274" s="45">
        <v>178000</v>
      </c>
      <c r="H274" s="44">
        <v>14</v>
      </c>
      <c r="I274" s="45">
        <v>2492000</v>
      </c>
      <c r="J274" s="44" t="s">
        <v>195</v>
      </c>
      <c r="K274" s="44" t="str">
        <f>INDEX(CLEANED_MotorPH_Products_List_2!C:C,MATCH(MotorPHSales[[#This Row],[Product]],CLEANED_MotorPH_Products_List_2!$B:$B,0))</f>
        <v>Naked bike</v>
      </c>
      <c r="L274" s="44" t="str">
        <f>INDEX(CLEANED_MotorPH_Products_List_2!E:E,MATCH(MotorPHSales[[#This Row],[Product]],CLEANED_MotorPH_Products_List_2!$B:$B,0))</f>
        <v>Single cylinder</v>
      </c>
      <c r="M274" s="44" t="str">
        <f>INDEX(CLEANED_MotorPH_Products_List_2!F:F,MATCH(MotorPHSales[[#This Row],[Product]],CLEANED_MotorPH_Products_List_2!$B:$B,0))</f>
        <v>liquid-cooled</v>
      </c>
      <c r="N274" s="44" t="str">
        <f>INDEX(CLEANED_MotorPH_Products_List_2!G:G,MATCH(MotorPHSales[[#This Row],[Product]],CLEANED_MotorPH_Products_List_2!$B:$B,0))</f>
        <v>155cc</v>
      </c>
      <c r="O274" s="44" t="str">
        <f>INDEX(CLEANED_MotorPH_Products_List_2!K:K,MATCH(MotorPHSales[[#This Row],[Product]],CLEANED_MotorPH_Products_List_2!B:B,0))</f>
        <v>Entry-level</v>
      </c>
      <c r="P274" s="45">
        <f>IF(MotorPHSales[[#This Row],[Segment]]="Entry-level",MotorPHSales[[#This Row],[UnitPrice]]/(1+30%),IF(MotorPHSales[[#This Row],[Segment]]="Mid-range",MotorPHSales[[#This Row],[UnitPrice]]/(1+35%),MotorPHSales[[#This Row],[UnitPrice]]/(1+40%)))*MotorPHSales[[#This Row],[Quantity]]</f>
        <v>1916923.0769230768</v>
      </c>
      <c r="Q274" s="44" t="str">
        <f>INDEX(CLEANED_MotorPH_Products_List_2!H:H,MATCH(MotorPHSales[[#This Row],[Product]],CLEANED_MotorPH_Products_List_2!$B:$B,0))</f>
        <v>6-speed</v>
      </c>
    </row>
    <row r="275" spans="1:17" ht="15.75" x14ac:dyDescent="0.3">
      <c r="A275" s="43">
        <v>45888</v>
      </c>
      <c r="B275" s="44" t="str">
        <f>TEXT(MotorPHSales[[#This Row],[Date]],"mmmm")</f>
        <v>August</v>
      </c>
      <c r="C275" s="44">
        <f>DAY(MotorPHSales[[#This Row],[Date]])</f>
        <v>19</v>
      </c>
      <c r="D275" s="44">
        <f>YEAR(MotorPHSales[[#This Row],[Date]])</f>
        <v>2025</v>
      </c>
      <c r="E275" s="44" t="s">
        <v>196</v>
      </c>
      <c r="F275" s="44" t="s">
        <v>14</v>
      </c>
      <c r="G275" s="45">
        <v>250000</v>
      </c>
      <c r="H275" s="44">
        <v>2</v>
      </c>
      <c r="I275" s="45">
        <v>500000</v>
      </c>
      <c r="J275" s="44" t="s">
        <v>198</v>
      </c>
      <c r="K275" s="44" t="str">
        <f>INDEX(CLEANED_MotorPH_Products_List_2!C:C,MATCH(MotorPHSales[[#This Row],[Product]],CLEANED_MotorPH_Products_List_2!$B:$B,0))</f>
        <v>Classic</v>
      </c>
      <c r="L275" s="44" t="str">
        <f>INDEX(CLEANED_MotorPH_Products_List_2!E:E,MATCH(MotorPHSales[[#This Row],[Product]],CLEANED_MotorPH_Products_List_2!$B:$B,0))</f>
        <v>Single cylinder</v>
      </c>
      <c r="M275" s="44" t="str">
        <f>INDEX(CLEANED_MotorPH_Products_List_2!F:F,MATCH(MotorPHSales[[#This Row],[Product]],CLEANED_MotorPH_Products_List_2!$B:$B,0))</f>
        <v>air-cooled</v>
      </c>
      <c r="N275" s="44" t="str">
        <f>INDEX(CLEANED_MotorPH_Products_List_2!G:G,MATCH(MotorPHSales[[#This Row],[Product]],CLEANED_MotorPH_Products_List_2!$B:$B,0))</f>
        <v>349cc</v>
      </c>
      <c r="O275" s="44" t="str">
        <f>INDEX(CLEANED_MotorPH_Products_List_2!K:K,MATCH(MotorPHSales[[#This Row],[Product]],CLEANED_MotorPH_Products_List_2!B:B,0))</f>
        <v>Mid-range</v>
      </c>
      <c r="P275" s="45">
        <f>IF(MotorPHSales[[#This Row],[Segment]]="Entry-level",MotorPHSales[[#This Row],[UnitPrice]]/(1+30%),IF(MotorPHSales[[#This Row],[Segment]]="Mid-range",MotorPHSales[[#This Row],[UnitPrice]]/(1+35%),MotorPHSales[[#This Row],[UnitPrice]]/(1+40%)))*MotorPHSales[[#This Row],[Quantity]]</f>
        <v>370370.37037037034</v>
      </c>
      <c r="Q275" s="44" t="str">
        <f>INDEX(CLEANED_MotorPH_Products_List_2!H:H,MATCH(MotorPHSales[[#This Row],[Product]],CLEANED_MotorPH_Products_List_2!$B:$B,0))</f>
        <v>5-speed</v>
      </c>
    </row>
    <row r="276" spans="1:17" ht="15.75" x14ac:dyDescent="0.3">
      <c r="A276" s="43">
        <v>45811</v>
      </c>
      <c r="B276" s="44" t="str">
        <f>TEXT(MotorPHSales[[#This Row],[Date]],"mmmm")</f>
        <v>June</v>
      </c>
      <c r="C276" s="44">
        <f>DAY(MotorPHSales[[#This Row],[Date]])</f>
        <v>3</v>
      </c>
      <c r="D276" s="44">
        <f>YEAR(MotorPHSales[[#This Row],[Date]])</f>
        <v>2025</v>
      </c>
      <c r="E276" s="44" t="s">
        <v>194</v>
      </c>
      <c r="F276" s="44" t="s">
        <v>57</v>
      </c>
      <c r="G276" s="45">
        <v>125900</v>
      </c>
      <c r="H276" s="44">
        <v>17</v>
      </c>
      <c r="I276" s="45">
        <v>2140300</v>
      </c>
      <c r="J276" s="44" t="s">
        <v>195</v>
      </c>
      <c r="K276" s="44" t="str">
        <f>INDEX(CLEANED_MotorPH_Products_List_2!C:C,MATCH(MotorPHSales[[#This Row],[Product]],CLEANED_MotorPH_Products_List_2!$B:$B,0))</f>
        <v>Underbone</v>
      </c>
      <c r="L276" s="44" t="str">
        <f>INDEX(CLEANED_MotorPH_Products_List_2!E:E,MATCH(MotorPHSales[[#This Row],[Product]],CLEANED_MotorPH_Products_List_2!$B:$B,0))</f>
        <v>Single cylinder</v>
      </c>
      <c r="M276" s="44" t="str">
        <f>INDEX(CLEANED_MotorPH_Products_List_2!F:F,MATCH(MotorPHSales[[#This Row],[Product]],CLEANED_MotorPH_Products_List_2!$B:$B,0))</f>
        <v>liquid-cooled</v>
      </c>
      <c r="N276" s="44" t="str">
        <f>INDEX(CLEANED_MotorPH_Products_List_2!G:G,MATCH(MotorPHSales[[#This Row],[Product]],CLEANED_MotorPH_Products_List_2!$B:$B,0))</f>
        <v>155cc</v>
      </c>
      <c r="O276" s="44" t="str">
        <f>INDEX(CLEANED_MotorPH_Products_List_2!K:K,MATCH(MotorPHSales[[#This Row],[Product]],CLEANED_MotorPH_Products_List_2!B:B,0))</f>
        <v>Entry-level</v>
      </c>
      <c r="P276" s="45">
        <f>IF(MotorPHSales[[#This Row],[Segment]]="Entry-level",MotorPHSales[[#This Row],[UnitPrice]]/(1+30%),IF(MotorPHSales[[#This Row],[Segment]]="Mid-range",MotorPHSales[[#This Row],[UnitPrice]]/(1+35%),MotorPHSales[[#This Row],[UnitPrice]]/(1+40%)))*MotorPHSales[[#This Row],[Quantity]]</f>
        <v>1646384.6153846153</v>
      </c>
      <c r="Q276" s="44" t="str">
        <f>INDEX(CLEANED_MotorPH_Products_List_2!H:H,MATCH(MotorPHSales[[#This Row],[Product]],CLEANED_MotorPH_Products_List_2!$B:$B,0))</f>
        <v>6-speed</v>
      </c>
    </row>
    <row r="277" spans="1:17" ht="15.75" x14ac:dyDescent="0.3">
      <c r="A277" s="43">
        <v>45828</v>
      </c>
      <c r="B277" s="44" t="str">
        <f>TEXT(MotorPHSales[[#This Row],[Date]],"mmmm")</f>
        <v>June</v>
      </c>
      <c r="C277" s="44">
        <f>DAY(MotorPHSales[[#This Row],[Date]])</f>
        <v>20</v>
      </c>
      <c r="D277" s="44">
        <f>YEAR(MotorPHSales[[#This Row],[Date]])</f>
        <v>2025</v>
      </c>
      <c r="E277" s="44" t="s">
        <v>194</v>
      </c>
      <c r="F277" s="44" t="s">
        <v>78</v>
      </c>
      <c r="G277" s="45">
        <v>99900</v>
      </c>
      <c r="H277" s="44">
        <v>35</v>
      </c>
      <c r="I277" s="45">
        <v>3496500</v>
      </c>
      <c r="J277" s="44" t="s">
        <v>195</v>
      </c>
      <c r="K277" s="44" t="str">
        <f>INDEX(CLEANED_MotorPH_Products_List_2!C:C,MATCH(MotorPHSales[[#This Row],[Product]],CLEANED_MotorPH_Products_List_2!$B:$B,0))</f>
        <v>Street</v>
      </c>
      <c r="L277" s="44" t="str">
        <f>INDEX(CLEANED_MotorPH_Products_List_2!E:E,MATCH(MotorPHSales[[#This Row],[Product]],CLEANED_MotorPH_Products_List_2!$B:$B,0))</f>
        <v>Single cylinder</v>
      </c>
      <c r="M277" s="44" t="str">
        <f>INDEX(CLEANED_MotorPH_Products_List_2!F:F,MATCH(MotorPHSales[[#This Row],[Product]],CLEANED_MotorPH_Products_List_2!$B:$B,0))</f>
        <v>air-cooled</v>
      </c>
      <c r="N277" s="44" t="str">
        <f>INDEX(CLEANED_MotorPH_Products_List_2!G:G,MATCH(MotorPHSales[[#This Row],[Product]],CLEANED_MotorPH_Products_List_2!$B:$B,0))</f>
        <v>149cc</v>
      </c>
      <c r="O277" s="44" t="str">
        <f>INDEX(CLEANED_MotorPH_Products_List_2!K:K,MATCH(MotorPHSales[[#This Row],[Product]],CLEANED_MotorPH_Products_List_2!B:B,0))</f>
        <v>Entry-level</v>
      </c>
      <c r="P277" s="45">
        <f>IF(MotorPHSales[[#This Row],[Segment]]="Entry-level",MotorPHSales[[#This Row],[UnitPrice]]/(1+30%),IF(MotorPHSales[[#This Row],[Segment]]="Mid-range",MotorPHSales[[#This Row],[UnitPrice]]/(1+35%),MotorPHSales[[#This Row],[UnitPrice]]/(1+40%)))*MotorPHSales[[#This Row],[Quantity]]</f>
        <v>2689615.3846153845</v>
      </c>
      <c r="Q277" s="44" t="str">
        <f>INDEX(CLEANED_MotorPH_Products_List_2!H:H,MATCH(MotorPHSales[[#This Row],[Product]],CLEANED_MotorPH_Products_List_2!$B:$B,0))</f>
        <v>5-speed</v>
      </c>
    </row>
    <row r="278" spans="1:17" ht="15.75" x14ac:dyDescent="0.3">
      <c r="A278" s="43">
        <v>45832</v>
      </c>
      <c r="B278" s="44" t="str">
        <f>TEXT(MotorPHSales[[#This Row],[Date]],"mmmm")</f>
        <v>June</v>
      </c>
      <c r="C278" s="44">
        <f>DAY(MotorPHSales[[#This Row],[Date]])</f>
        <v>24</v>
      </c>
      <c r="D278" s="44">
        <f>YEAR(MotorPHSales[[#This Row],[Date]])</f>
        <v>2025</v>
      </c>
      <c r="E278" s="44" t="s">
        <v>194</v>
      </c>
      <c r="F278" s="44" t="s">
        <v>51</v>
      </c>
      <c r="G278" s="45">
        <v>78900</v>
      </c>
      <c r="H278" s="44">
        <v>17</v>
      </c>
      <c r="I278" s="45">
        <v>1341300</v>
      </c>
      <c r="J278" s="44" t="s">
        <v>197</v>
      </c>
      <c r="K278" s="44" t="str">
        <f>INDEX(CLEANED_MotorPH_Products_List_2!C:C,MATCH(MotorPHSales[[#This Row],[Product]],CLEANED_MotorPH_Products_List_2!$B:$B,0))</f>
        <v>Adventure</v>
      </c>
      <c r="L278" s="44" t="str">
        <f>INDEX(CLEANED_MotorPH_Products_List_2!E:E,MATCH(MotorPHSales[[#This Row],[Product]],CLEANED_MotorPH_Products_List_2!$B:$B,0))</f>
        <v>Single cylinder</v>
      </c>
      <c r="M278" s="44" t="str">
        <f>INDEX(CLEANED_MotorPH_Products_List_2!F:F,MATCH(MotorPHSales[[#This Row],[Product]],CLEANED_MotorPH_Products_List_2!$B:$B,0))</f>
        <v>oil-cooled</v>
      </c>
      <c r="N278" s="44" t="str">
        <f>INDEX(CLEANED_MotorPH_Products_List_2!G:G,MATCH(MotorPHSales[[#This Row],[Product]],CLEANED_MotorPH_Products_List_2!$B:$B,0))</f>
        <v>223cc</v>
      </c>
      <c r="O278" s="44" t="str">
        <f>INDEX(CLEANED_MotorPH_Products_List_2!K:K,MATCH(MotorPHSales[[#This Row],[Product]],CLEANED_MotorPH_Products_List_2!B:B,0))</f>
        <v>Mid-range</v>
      </c>
      <c r="P278" s="45">
        <f>IF(MotorPHSales[[#This Row],[Segment]]="Entry-level",MotorPHSales[[#This Row],[UnitPrice]]/(1+30%),IF(MotorPHSales[[#This Row],[Segment]]="Mid-range",MotorPHSales[[#This Row],[UnitPrice]]/(1+35%),MotorPHSales[[#This Row],[UnitPrice]]/(1+40%)))*MotorPHSales[[#This Row],[Quantity]]</f>
        <v>993555.5555555555</v>
      </c>
      <c r="Q278" s="44" t="str">
        <f>INDEX(CLEANED_MotorPH_Products_List_2!H:H,MATCH(MotorPHSales[[#This Row],[Product]],CLEANED_MotorPH_Products_List_2!$B:$B,0))</f>
        <v>6-speed</v>
      </c>
    </row>
    <row r="279" spans="1:17" ht="15.75" x14ac:dyDescent="0.3">
      <c r="A279" s="43">
        <v>45862</v>
      </c>
      <c r="B279" s="44" t="str">
        <f>TEXT(MotorPHSales[[#This Row],[Date]],"mmmm")</f>
        <v>July</v>
      </c>
      <c r="C279" s="44">
        <f>DAY(MotorPHSales[[#This Row],[Date]])</f>
        <v>24</v>
      </c>
      <c r="D279" s="44">
        <f>YEAR(MotorPHSales[[#This Row],[Date]])</f>
        <v>2025</v>
      </c>
      <c r="E279" s="44" t="s">
        <v>196</v>
      </c>
      <c r="F279" s="44" t="s">
        <v>8</v>
      </c>
      <c r="G279" s="45">
        <v>178000</v>
      </c>
      <c r="H279" s="44">
        <v>24</v>
      </c>
      <c r="I279" s="45">
        <v>4272000</v>
      </c>
      <c r="J279" s="44" t="s">
        <v>198</v>
      </c>
      <c r="K279" s="44" t="str">
        <f>INDEX(CLEANED_MotorPH_Products_List_2!C:C,MATCH(MotorPHSales[[#This Row],[Product]],CLEANED_MotorPH_Products_List_2!$B:$B,0))</f>
        <v>Naked bike</v>
      </c>
      <c r="L279" s="44" t="str">
        <f>INDEX(CLEANED_MotorPH_Products_List_2!E:E,MATCH(MotorPHSales[[#This Row],[Product]],CLEANED_MotorPH_Products_List_2!$B:$B,0))</f>
        <v>Single cylinder</v>
      </c>
      <c r="M279" s="44" t="str">
        <f>INDEX(CLEANED_MotorPH_Products_List_2!F:F,MATCH(MotorPHSales[[#This Row],[Product]],CLEANED_MotorPH_Products_List_2!$B:$B,0))</f>
        <v>liquid-cooled</v>
      </c>
      <c r="N279" s="44" t="str">
        <f>INDEX(CLEANED_MotorPH_Products_List_2!G:G,MATCH(MotorPHSales[[#This Row],[Product]],CLEANED_MotorPH_Products_List_2!$B:$B,0))</f>
        <v>155cc</v>
      </c>
      <c r="O279" s="44" t="str">
        <f>INDEX(CLEANED_MotorPH_Products_List_2!K:K,MATCH(MotorPHSales[[#This Row],[Product]],CLEANED_MotorPH_Products_List_2!B:B,0))</f>
        <v>Entry-level</v>
      </c>
      <c r="P279" s="45">
        <f>IF(MotorPHSales[[#This Row],[Segment]]="Entry-level",MotorPHSales[[#This Row],[UnitPrice]]/(1+30%),IF(MotorPHSales[[#This Row],[Segment]]="Mid-range",MotorPHSales[[#This Row],[UnitPrice]]/(1+35%),MotorPHSales[[#This Row],[UnitPrice]]/(1+40%)))*MotorPHSales[[#This Row],[Quantity]]</f>
        <v>3286153.846153846</v>
      </c>
      <c r="Q279" s="44" t="str">
        <f>INDEX(CLEANED_MotorPH_Products_List_2!H:H,MATCH(MotorPHSales[[#This Row],[Product]],CLEANED_MotorPH_Products_List_2!$B:$B,0))</f>
        <v>6-speed</v>
      </c>
    </row>
    <row r="280" spans="1:17" ht="15.75" x14ac:dyDescent="0.3">
      <c r="A280" s="43">
        <v>45841</v>
      </c>
      <c r="B280" s="44" t="str">
        <f>TEXT(MotorPHSales[[#This Row],[Date]],"mmmm")</f>
        <v>July</v>
      </c>
      <c r="C280" s="44">
        <f>DAY(MotorPHSales[[#This Row],[Date]])</f>
        <v>3</v>
      </c>
      <c r="D280" s="44">
        <f>YEAR(MotorPHSales[[#This Row],[Date]])</f>
        <v>2025</v>
      </c>
      <c r="E280" s="44" t="s">
        <v>194</v>
      </c>
      <c r="F280" s="44" t="s">
        <v>68</v>
      </c>
      <c r="G280" s="45">
        <v>248000</v>
      </c>
      <c r="H280" s="44">
        <v>6</v>
      </c>
      <c r="I280" s="45">
        <v>1488000</v>
      </c>
      <c r="J280" s="44" t="s">
        <v>198</v>
      </c>
      <c r="K280" s="44" t="str">
        <f>INDEX(CLEANED_MotorPH_Products_List_2!C:C,MATCH(MotorPHSales[[#This Row],[Product]],CLEANED_MotorPH_Products_List_2!$B:$B,0))</f>
        <v>Adventure</v>
      </c>
      <c r="L280" s="44" t="str">
        <f>INDEX(CLEANED_MotorPH_Products_List_2!E:E,MATCH(MotorPHSales[[#This Row],[Product]],CLEANED_MotorPH_Products_List_2!$B:$B,0))</f>
        <v>Single cylinder</v>
      </c>
      <c r="M280" s="44" t="str">
        <f>INDEX(CLEANED_MotorPH_Products_List_2!F:F,MATCH(MotorPHSales[[#This Row],[Product]],CLEANED_MotorPH_Products_List_2!$B:$B,0))</f>
        <v>liquid-cooled</v>
      </c>
      <c r="N280" s="44" t="str">
        <f>INDEX(CLEANED_MotorPH_Products_List_2!G:G,MATCH(MotorPHSales[[#This Row],[Product]],CLEANED_MotorPH_Products_List_2!$B:$B,0))</f>
        <v>312cc</v>
      </c>
      <c r="O280" s="44" t="str">
        <f>INDEX(CLEANED_MotorPH_Products_List_2!K:K,MATCH(MotorPHSales[[#This Row],[Product]],CLEANED_MotorPH_Products_List_2!B:B,0))</f>
        <v>Mid-range</v>
      </c>
      <c r="P280" s="45">
        <f>IF(MotorPHSales[[#This Row],[Segment]]="Entry-level",MotorPHSales[[#This Row],[UnitPrice]]/(1+30%),IF(MotorPHSales[[#This Row],[Segment]]="Mid-range",MotorPHSales[[#This Row],[UnitPrice]]/(1+35%),MotorPHSales[[#This Row],[UnitPrice]]/(1+40%)))*MotorPHSales[[#This Row],[Quantity]]</f>
        <v>1102222.222222222</v>
      </c>
      <c r="Q280" s="44" t="str">
        <f>INDEX(CLEANED_MotorPH_Products_List_2!H:H,MATCH(MotorPHSales[[#This Row],[Product]],CLEANED_MotorPH_Products_List_2!$B:$B,0))</f>
        <v>6-speed</v>
      </c>
    </row>
    <row r="281" spans="1:17" ht="15.75" x14ac:dyDescent="0.3">
      <c r="A281" s="43">
        <v>45832</v>
      </c>
      <c r="B281" s="44" t="str">
        <f>TEXT(MotorPHSales[[#This Row],[Date]],"mmmm")</f>
        <v>June</v>
      </c>
      <c r="C281" s="44">
        <f>DAY(MotorPHSales[[#This Row],[Date]])</f>
        <v>24</v>
      </c>
      <c r="D281" s="44">
        <f>YEAR(MotorPHSales[[#This Row],[Date]])</f>
        <v>2025</v>
      </c>
      <c r="E281" s="44" t="s">
        <v>194</v>
      </c>
      <c r="F281" s="44" t="s">
        <v>20</v>
      </c>
      <c r="G281" s="45">
        <v>178000</v>
      </c>
      <c r="H281" s="44">
        <v>12</v>
      </c>
      <c r="I281" s="45">
        <v>2136000</v>
      </c>
      <c r="J281" s="44" t="s">
        <v>198</v>
      </c>
      <c r="K281" s="44" t="str">
        <f>INDEX(CLEANED_MotorPH_Products_List_2!C:C,MATCH(MotorPHSales[[#This Row],[Product]],CLEANED_MotorPH_Products_List_2!$B:$B,0))</f>
        <v>Naked bike</v>
      </c>
      <c r="L281" s="44" t="str">
        <f>INDEX(CLEANED_MotorPH_Products_List_2!E:E,MATCH(MotorPHSales[[#This Row],[Product]],CLEANED_MotorPH_Products_List_2!$B:$B,0))</f>
        <v>Single cylinder</v>
      </c>
      <c r="M281" s="44" t="str">
        <f>INDEX(CLEANED_MotorPH_Products_List_2!F:F,MATCH(MotorPHSales[[#This Row],[Product]],CLEANED_MotorPH_Products_List_2!$B:$B,0))</f>
        <v>liquid-cooled</v>
      </c>
      <c r="N281" s="44" t="str">
        <f>INDEX(CLEANED_MotorPH_Products_List_2!G:G,MATCH(MotorPHSales[[#This Row],[Product]],CLEANED_MotorPH_Products_List_2!$B:$B,0))</f>
        <v>199cc</v>
      </c>
      <c r="O281" s="44" t="str">
        <f>INDEX(CLEANED_MotorPH_Products_List_2!K:K,MATCH(MotorPHSales[[#This Row],[Product]],CLEANED_MotorPH_Products_List_2!B:B,0))</f>
        <v>Entry-level</v>
      </c>
      <c r="P281" s="45">
        <f>IF(MotorPHSales[[#This Row],[Segment]]="Entry-level",MotorPHSales[[#This Row],[UnitPrice]]/(1+30%),IF(MotorPHSales[[#This Row],[Segment]]="Mid-range",MotorPHSales[[#This Row],[UnitPrice]]/(1+35%),MotorPHSales[[#This Row],[UnitPrice]]/(1+40%)))*MotorPHSales[[#This Row],[Quantity]]</f>
        <v>1643076.923076923</v>
      </c>
      <c r="Q281" s="44" t="str">
        <f>INDEX(CLEANED_MotorPH_Products_List_2!H:H,MATCH(MotorPHSales[[#This Row],[Product]],CLEANED_MotorPH_Products_List_2!$B:$B,0))</f>
        <v>6-speed</v>
      </c>
    </row>
    <row r="282" spans="1:17" ht="15.75" x14ac:dyDescent="0.3">
      <c r="A282" s="43">
        <v>45883</v>
      </c>
      <c r="B282" s="44" t="str">
        <f>TEXT(MotorPHSales[[#This Row],[Date]],"mmmm")</f>
        <v>August</v>
      </c>
      <c r="C282" s="44">
        <f>DAY(MotorPHSales[[#This Row],[Date]])</f>
        <v>14</v>
      </c>
      <c r="D282" s="44">
        <f>YEAR(MotorPHSales[[#This Row],[Date]])</f>
        <v>2025</v>
      </c>
      <c r="E282" s="44" t="s">
        <v>194</v>
      </c>
      <c r="F282" s="44" t="s">
        <v>14</v>
      </c>
      <c r="G282" s="45">
        <v>250000</v>
      </c>
      <c r="H282" s="44">
        <v>34</v>
      </c>
      <c r="I282" s="45">
        <v>8500000</v>
      </c>
      <c r="J282" s="44" t="s">
        <v>198</v>
      </c>
      <c r="K282" s="44" t="str">
        <f>INDEX(CLEANED_MotorPH_Products_List_2!C:C,MATCH(MotorPHSales[[#This Row],[Product]],CLEANED_MotorPH_Products_List_2!$B:$B,0))</f>
        <v>Classic</v>
      </c>
      <c r="L282" s="44" t="str">
        <f>INDEX(CLEANED_MotorPH_Products_List_2!E:E,MATCH(MotorPHSales[[#This Row],[Product]],CLEANED_MotorPH_Products_List_2!$B:$B,0))</f>
        <v>Single cylinder</v>
      </c>
      <c r="M282" s="44" t="str">
        <f>INDEX(CLEANED_MotorPH_Products_List_2!F:F,MATCH(MotorPHSales[[#This Row],[Product]],CLEANED_MotorPH_Products_List_2!$B:$B,0))</f>
        <v>air-cooled</v>
      </c>
      <c r="N282" s="44" t="str">
        <f>INDEX(CLEANED_MotorPH_Products_List_2!G:G,MATCH(MotorPHSales[[#This Row],[Product]],CLEANED_MotorPH_Products_List_2!$B:$B,0))</f>
        <v>349cc</v>
      </c>
      <c r="O282" s="44" t="str">
        <f>INDEX(CLEANED_MotorPH_Products_List_2!K:K,MATCH(MotorPHSales[[#This Row],[Product]],CLEANED_MotorPH_Products_List_2!B:B,0))</f>
        <v>Mid-range</v>
      </c>
      <c r="P282" s="45">
        <f>IF(MotorPHSales[[#This Row],[Segment]]="Entry-level",MotorPHSales[[#This Row],[UnitPrice]]/(1+30%),IF(MotorPHSales[[#This Row],[Segment]]="Mid-range",MotorPHSales[[#This Row],[UnitPrice]]/(1+35%),MotorPHSales[[#This Row],[UnitPrice]]/(1+40%)))*MotorPHSales[[#This Row],[Quantity]]</f>
        <v>6296296.2962962957</v>
      </c>
      <c r="Q282" s="44" t="str">
        <f>INDEX(CLEANED_MotorPH_Products_List_2!H:H,MATCH(MotorPHSales[[#This Row],[Product]],CLEANED_MotorPH_Products_List_2!$B:$B,0))</f>
        <v>5-speed</v>
      </c>
    </row>
    <row r="283" spans="1:17" ht="15.75" x14ac:dyDescent="0.3">
      <c r="A283" s="43">
        <v>45880</v>
      </c>
      <c r="B283" s="44" t="str">
        <f>TEXT(MotorPHSales[[#This Row],[Date]],"mmmm")</f>
        <v>August</v>
      </c>
      <c r="C283" s="44">
        <f>DAY(MotorPHSales[[#This Row],[Date]])</f>
        <v>11</v>
      </c>
      <c r="D283" s="44">
        <f>YEAR(MotorPHSales[[#This Row],[Date]])</f>
        <v>2025</v>
      </c>
      <c r="E283" s="44" t="s">
        <v>196</v>
      </c>
      <c r="F283" s="44" t="s">
        <v>86</v>
      </c>
      <c r="G283" s="45">
        <v>650000</v>
      </c>
      <c r="H283" s="44">
        <v>10</v>
      </c>
      <c r="I283" s="45">
        <v>6500000</v>
      </c>
      <c r="J283" s="44" t="s">
        <v>195</v>
      </c>
      <c r="K283" s="44" t="str">
        <f>INDEX(CLEANED_MotorPH_Products_List_2!C:C,MATCH(MotorPHSales[[#This Row],[Product]],CLEANED_MotorPH_Products_List_2!$B:$B,0))</f>
        <v>Cruiser</v>
      </c>
      <c r="L283" s="44" t="str">
        <f>INDEX(CLEANED_MotorPH_Products_List_2!E:E,MATCH(MotorPHSales[[#This Row],[Product]],CLEANED_MotorPH_Products_List_2!$B:$B,0))</f>
        <v>Parallel-twin</v>
      </c>
      <c r="M283" s="44" t="str">
        <f>INDEX(CLEANED_MotorPH_Products_List_2!F:F,MATCH(MotorPHSales[[#This Row],[Product]],CLEANED_MotorPH_Products_List_2!$B:$B,0))</f>
        <v>liquid-cooled</v>
      </c>
      <c r="N283" s="44" t="str">
        <f>INDEX(CLEANED_MotorPH_Products_List_2!G:G,MATCH(MotorPHSales[[#This Row],[Product]],CLEANED_MotorPH_Products_List_2!$B:$B,0))</f>
        <v>1084cc</v>
      </c>
      <c r="O283" s="44" t="str">
        <f>INDEX(CLEANED_MotorPH_Products_List_2!K:K,MATCH(MotorPHSales[[#This Row],[Product]],CLEANED_MotorPH_Products_List_2!B:B,0))</f>
        <v>Premium</v>
      </c>
      <c r="P283" s="45">
        <f>IF(MotorPHSales[[#This Row],[Segment]]="Entry-level",MotorPHSales[[#This Row],[UnitPrice]]/(1+30%),IF(MotorPHSales[[#This Row],[Segment]]="Mid-range",MotorPHSales[[#This Row],[UnitPrice]]/(1+35%),MotorPHSales[[#This Row],[UnitPrice]]/(1+40%)))*MotorPHSales[[#This Row],[Quantity]]</f>
        <v>4642857.1428571437</v>
      </c>
      <c r="Q283" s="44" t="str">
        <f>INDEX(CLEANED_MotorPH_Products_List_2!H:H,MATCH(MotorPHSales[[#This Row],[Product]],CLEANED_MotorPH_Products_List_2!$B:$B,0))</f>
        <v>6-speed</v>
      </c>
    </row>
    <row r="284" spans="1:17" ht="15.75" x14ac:dyDescent="0.3">
      <c r="A284" s="43">
        <v>45844</v>
      </c>
      <c r="B284" s="44" t="str">
        <f>TEXT(MotorPHSales[[#This Row],[Date]],"mmmm")</f>
        <v>July</v>
      </c>
      <c r="C284" s="44">
        <f>DAY(MotorPHSales[[#This Row],[Date]])</f>
        <v>6</v>
      </c>
      <c r="D284" s="44">
        <f>YEAR(MotorPHSales[[#This Row],[Date]])</f>
        <v>2025</v>
      </c>
      <c r="E284" s="44" t="s">
        <v>196</v>
      </c>
      <c r="F284" s="44" t="s">
        <v>46</v>
      </c>
      <c r="G284" s="45">
        <v>124000</v>
      </c>
      <c r="H284" s="44">
        <v>9</v>
      </c>
      <c r="I284" s="45">
        <v>1116000</v>
      </c>
      <c r="J284" s="44" t="s">
        <v>195</v>
      </c>
      <c r="K284" s="44" t="str">
        <f>INDEX(CLEANED_MotorPH_Products_List_2!C:C,MATCH(MotorPHSales[[#This Row],[Product]],CLEANED_MotorPH_Products_List_2!$B:$B,0))</f>
        <v>Scooter</v>
      </c>
      <c r="L284" s="44" t="str">
        <f>INDEX(CLEANED_MotorPH_Products_List_2!E:E,MATCH(MotorPHSales[[#This Row],[Product]],CLEANED_MotorPH_Products_List_2!$B:$B,0))</f>
        <v>Single cylinder</v>
      </c>
      <c r="M284" s="44" t="str">
        <f>INDEX(CLEANED_MotorPH_Products_List_2!F:F,MATCH(MotorPHSales[[#This Row],[Product]],CLEANED_MotorPH_Products_List_2!$B:$B,0))</f>
        <v>liquid-cooled</v>
      </c>
      <c r="N284" s="44" t="str">
        <f>INDEX(CLEANED_MotorPH_Products_List_2!G:G,MATCH(MotorPHSales[[#This Row],[Product]],CLEANED_MotorPH_Products_List_2!$B:$B,0))</f>
        <v>155cc</v>
      </c>
      <c r="O284" s="44" t="str">
        <f>INDEX(CLEANED_MotorPH_Products_List_2!K:K,MATCH(MotorPHSales[[#This Row],[Product]],CLEANED_MotorPH_Products_List_2!B:B,0))</f>
        <v>Entry-level</v>
      </c>
      <c r="P284" s="45">
        <f>IF(MotorPHSales[[#This Row],[Segment]]="Entry-level",MotorPHSales[[#This Row],[UnitPrice]]/(1+30%),IF(MotorPHSales[[#This Row],[Segment]]="Mid-range",MotorPHSales[[#This Row],[UnitPrice]]/(1+35%),MotorPHSales[[#This Row],[UnitPrice]]/(1+40%)))*MotorPHSales[[#This Row],[Quantity]]</f>
        <v>858461.53846153838</v>
      </c>
      <c r="Q284" s="44" t="str">
        <f>INDEX(CLEANED_MotorPH_Products_List_2!H:H,MATCH(MotorPHSales[[#This Row],[Product]],CLEANED_MotorPH_Products_List_2!$B:$B,0))</f>
        <v>CVT</v>
      </c>
    </row>
    <row r="285" spans="1:17" ht="15.75" x14ac:dyDescent="0.3">
      <c r="A285" s="43">
        <v>45846</v>
      </c>
      <c r="B285" s="44" t="str">
        <f>TEXT(MotorPHSales[[#This Row],[Date]],"mmmm")</f>
        <v>July</v>
      </c>
      <c r="C285" s="44">
        <f>DAY(MotorPHSales[[#This Row],[Date]])</f>
        <v>8</v>
      </c>
      <c r="D285" s="44">
        <f>YEAR(MotorPHSales[[#This Row],[Date]])</f>
        <v>2025</v>
      </c>
      <c r="E285" s="44" t="s">
        <v>196</v>
      </c>
      <c r="F285" s="44" t="s">
        <v>28</v>
      </c>
      <c r="G285" s="45">
        <v>164900</v>
      </c>
      <c r="H285" s="44">
        <v>43</v>
      </c>
      <c r="I285" s="45">
        <v>7090700</v>
      </c>
      <c r="J285" s="44" t="s">
        <v>195</v>
      </c>
      <c r="K285" s="44" t="str">
        <f>INDEX(CLEANED_MotorPH_Products_List_2!C:C,MATCH(MotorPHSales[[#This Row],[Product]],CLEANED_MotorPH_Products_List_2!$B:$B,0))</f>
        <v>Scooter</v>
      </c>
      <c r="L285" s="44" t="str">
        <f>INDEX(CLEANED_MotorPH_Products_List_2!E:E,MATCH(MotorPHSales[[#This Row],[Product]],CLEANED_MotorPH_Products_List_2!$B:$B,0))</f>
        <v>Single cylinder</v>
      </c>
      <c r="M285" s="44" t="str">
        <f>INDEX(CLEANED_MotorPH_Products_List_2!F:F,MATCH(MotorPHSales[[#This Row],[Product]],CLEANED_MotorPH_Products_List_2!$B:$B,0))</f>
        <v>liquid-cooled</v>
      </c>
      <c r="N285" s="44" t="str">
        <f>INDEX(CLEANED_MotorPH_Products_List_2!G:G,MATCH(MotorPHSales[[#This Row],[Product]],CLEANED_MotorPH_Products_List_2!$B:$B,0))</f>
        <v>157cc</v>
      </c>
      <c r="O285" s="44" t="str">
        <f>INDEX(CLEANED_MotorPH_Products_List_2!K:K,MATCH(MotorPHSales[[#This Row],[Product]],CLEANED_MotorPH_Products_List_2!B:B,0))</f>
        <v>Entry-level</v>
      </c>
      <c r="P285" s="45">
        <f>IF(MotorPHSales[[#This Row],[Segment]]="Entry-level",MotorPHSales[[#This Row],[UnitPrice]]/(1+30%),IF(MotorPHSales[[#This Row],[Segment]]="Mid-range",MotorPHSales[[#This Row],[UnitPrice]]/(1+35%),MotorPHSales[[#This Row],[UnitPrice]]/(1+40%)))*MotorPHSales[[#This Row],[Quantity]]</f>
        <v>5454384.615384615</v>
      </c>
      <c r="Q285" s="44" t="str">
        <f>INDEX(CLEANED_MotorPH_Products_List_2!H:H,MATCH(MotorPHSales[[#This Row],[Product]],CLEANED_MotorPH_Products_List_2!$B:$B,0))</f>
        <v>CVT</v>
      </c>
    </row>
    <row r="286" spans="1:17" ht="15.75" x14ac:dyDescent="0.3">
      <c r="A286" s="43">
        <v>45892</v>
      </c>
      <c r="B286" s="44" t="str">
        <f>TEXT(MotorPHSales[[#This Row],[Date]],"mmmm")</f>
        <v>August</v>
      </c>
      <c r="C286" s="44">
        <f>DAY(MotorPHSales[[#This Row],[Date]])</f>
        <v>23</v>
      </c>
      <c r="D286" s="44">
        <f>YEAR(MotorPHSales[[#This Row],[Date]])</f>
        <v>2025</v>
      </c>
      <c r="E286" s="44" t="s">
        <v>194</v>
      </c>
      <c r="F286" s="44" t="s">
        <v>99</v>
      </c>
      <c r="G286" s="45">
        <v>689000</v>
      </c>
      <c r="H286" s="44">
        <v>10</v>
      </c>
      <c r="I286" s="45">
        <v>6890000</v>
      </c>
      <c r="J286" s="44" t="s">
        <v>195</v>
      </c>
      <c r="K286" s="44" t="str">
        <f>INDEX(CLEANED_MotorPH_Products_List_2!C:C,MATCH(MotorPHSales[[#This Row],[Product]],CLEANED_MotorPH_Products_List_2!$B:$B,0))</f>
        <v>Heritage</v>
      </c>
      <c r="L286" s="44" t="str">
        <f>INDEX(CLEANED_MotorPH_Products_List_2!E:E,MATCH(MotorPHSales[[#This Row],[Product]],CLEANED_MotorPH_Products_List_2!$B:$B,0))</f>
        <v>V-twin</v>
      </c>
      <c r="M286" s="44" t="str">
        <f>INDEX(CLEANED_MotorPH_Products_List_2!F:F,MATCH(MotorPHSales[[#This Row],[Product]],CLEANED_MotorPH_Products_List_2!$B:$B,0))</f>
        <v>air-cooled</v>
      </c>
      <c r="N286" s="44" t="str">
        <f>INDEX(CLEANED_MotorPH_Products_List_2!G:G,MATCH(MotorPHSales[[#This Row],[Product]],CLEANED_MotorPH_Products_List_2!$B:$B,0))</f>
        <v>853cc</v>
      </c>
      <c r="O286" s="44" t="str">
        <f>INDEX(CLEANED_MotorPH_Products_List_2!K:K,MATCH(MotorPHSales[[#This Row],[Product]],CLEANED_MotorPH_Products_List_2!B:B,0))</f>
        <v>Premium</v>
      </c>
      <c r="P286" s="45">
        <f>IF(MotorPHSales[[#This Row],[Segment]]="Entry-level",MotorPHSales[[#This Row],[UnitPrice]]/(1+30%),IF(MotorPHSales[[#This Row],[Segment]]="Mid-range",MotorPHSales[[#This Row],[UnitPrice]]/(1+35%),MotorPHSales[[#This Row],[UnitPrice]]/(1+40%)))*MotorPHSales[[#This Row],[Quantity]]</f>
        <v>4921428.5714285718</v>
      </c>
      <c r="Q286" s="44" t="str">
        <f>INDEX(CLEANED_MotorPH_Products_List_2!H:H,MATCH(MotorPHSales[[#This Row],[Product]],CLEANED_MotorPH_Products_List_2!$B:$B,0))</f>
        <v>6-speed</v>
      </c>
    </row>
    <row r="287" spans="1:17" ht="15.75" x14ac:dyDescent="0.3">
      <c r="A287" s="43">
        <v>45897</v>
      </c>
      <c r="B287" s="44" t="str">
        <f>TEXT(MotorPHSales[[#This Row],[Date]],"mmmm")</f>
        <v>August</v>
      </c>
      <c r="C287" s="44">
        <f>DAY(MotorPHSales[[#This Row],[Date]])</f>
        <v>28</v>
      </c>
      <c r="D287" s="44">
        <f>YEAR(MotorPHSales[[#This Row],[Date]])</f>
        <v>2025</v>
      </c>
      <c r="E287" s="44" t="s">
        <v>194</v>
      </c>
      <c r="F287" s="44" t="s">
        <v>84</v>
      </c>
      <c r="G287" s="45">
        <v>995000</v>
      </c>
      <c r="H287" s="44">
        <v>8</v>
      </c>
      <c r="I287" s="45">
        <v>7960000</v>
      </c>
      <c r="J287" s="44" t="s">
        <v>197</v>
      </c>
      <c r="K287" s="44" t="str">
        <f>INDEX(CLEANED_MotorPH_Products_List_2!C:C,MATCH(MotorPHSales[[#This Row],[Product]],CLEANED_MotorPH_Products_List_2!$B:$B,0))</f>
        <v>Heritage</v>
      </c>
      <c r="L287" s="44" t="str">
        <f>INDEX(CLEANED_MotorPH_Products_List_2!E:E,MATCH(MotorPHSales[[#This Row],[Product]],CLEANED_MotorPH_Products_List_2!$B:$B,0))</f>
        <v>Flat twin</v>
      </c>
      <c r="M287" s="44" t="str">
        <f>INDEX(CLEANED_MotorPH_Products_List_2!F:F,MATCH(MotorPHSales[[#This Row],[Product]],CLEANED_MotorPH_Products_List_2!$B:$B,0))</f>
        <v>air</v>
      </c>
      <c r="N287" s="44">
        <f>INDEX(CLEANED_MotorPH_Products_List_2!G:G,MATCH(MotorPHSales[[#This Row],[Product]],CLEANED_MotorPH_Products_List_2!$B:$B,0))</f>
        <v>0</v>
      </c>
      <c r="O287" s="44" t="str">
        <f>INDEX(CLEANED_MotorPH_Products_List_2!K:K,MATCH(MotorPHSales[[#This Row],[Product]],CLEANED_MotorPH_Products_List_2!B:B,0))</f>
        <v>Premium</v>
      </c>
      <c r="P287" s="45">
        <f>IF(MotorPHSales[[#This Row],[Segment]]="Entry-level",MotorPHSales[[#This Row],[UnitPrice]]/(1+30%),IF(MotorPHSales[[#This Row],[Segment]]="Mid-range",MotorPHSales[[#This Row],[UnitPrice]]/(1+35%),MotorPHSales[[#This Row],[UnitPrice]]/(1+40%)))*MotorPHSales[[#This Row],[Quantity]]</f>
        <v>5685714.2857142864</v>
      </c>
      <c r="Q287" s="44">
        <f>INDEX(CLEANED_MotorPH_Products_List_2!H:H,MATCH(MotorPHSales[[#This Row],[Product]],CLEANED_MotorPH_Products_List_2!$B:$B,0))</f>
        <v>0</v>
      </c>
    </row>
    <row r="288" spans="1:17" ht="15.75" x14ac:dyDescent="0.3">
      <c r="A288" s="43">
        <v>45833</v>
      </c>
      <c r="B288" s="44" t="str">
        <f>TEXT(MotorPHSales[[#This Row],[Date]],"mmmm")</f>
        <v>June</v>
      </c>
      <c r="C288" s="44">
        <f>DAY(MotorPHSales[[#This Row],[Date]])</f>
        <v>25</v>
      </c>
      <c r="D288" s="44">
        <f>YEAR(MotorPHSales[[#This Row],[Date]])</f>
        <v>2025</v>
      </c>
      <c r="E288" s="44" t="s">
        <v>194</v>
      </c>
      <c r="F288" s="44" t="s">
        <v>88</v>
      </c>
      <c r="G288" s="45">
        <v>599000</v>
      </c>
      <c r="H288" s="44">
        <v>33</v>
      </c>
      <c r="I288" s="45">
        <v>19767000</v>
      </c>
      <c r="J288" s="44" t="s">
        <v>195</v>
      </c>
      <c r="K288" s="44" t="str">
        <f>INDEX(CLEANED_MotorPH_Products_List_2!C:C,MATCH(MotorPHSales[[#This Row],[Product]],CLEANED_MotorPH_Products_List_2!$B:$B,0))</f>
        <v>Naked bike</v>
      </c>
      <c r="L288" s="44" t="str">
        <f>INDEX(CLEANED_MotorPH_Products_List_2!E:E,MATCH(MotorPHSales[[#This Row],[Product]],CLEANED_MotorPH_Products_List_2!$B:$B,0))</f>
        <v>Parallel-twin</v>
      </c>
      <c r="M288" s="44" t="str">
        <f>INDEX(CLEANED_MotorPH_Products_List_2!F:F,MATCH(MotorPHSales[[#This Row],[Product]],CLEANED_MotorPH_Products_List_2!$B:$B,0))</f>
        <v>liquid-cooled</v>
      </c>
      <c r="N288" s="44" t="str">
        <f>INDEX(CLEANED_MotorPH_Products_List_2!G:G,MATCH(MotorPHSales[[#This Row],[Product]],CLEANED_MotorPH_Products_List_2!$B:$B,0))</f>
        <v>799cc</v>
      </c>
      <c r="O288" s="44" t="str">
        <f>INDEX(CLEANED_MotorPH_Products_List_2!K:K,MATCH(MotorPHSales[[#This Row],[Product]],CLEANED_MotorPH_Products_List_2!B:B,0))</f>
        <v>Premium</v>
      </c>
      <c r="P288" s="45">
        <f>IF(MotorPHSales[[#This Row],[Segment]]="Entry-level",MotorPHSales[[#This Row],[UnitPrice]]/(1+30%),IF(MotorPHSales[[#This Row],[Segment]]="Mid-range",MotorPHSales[[#This Row],[UnitPrice]]/(1+35%),MotorPHSales[[#This Row],[UnitPrice]]/(1+40%)))*MotorPHSales[[#This Row],[Quantity]]</f>
        <v>14119285.714285716</v>
      </c>
      <c r="Q288" s="44" t="str">
        <f>INDEX(CLEANED_MotorPH_Products_List_2!H:H,MATCH(MotorPHSales[[#This Row],[Product]],CLEANED_MotorPH_Products_List_2!$B:$B,0))</f>
        <v>6-speed</v>
      </c>
    </row>
    <row r="289" spans="1:17" ht="15.75" x14ac:dyDescent="0.3">
      <c r="A289" s="43">
        <v>45826</v>
      </c>
      <c r="B289" s="44" t="str">
        <f>TEXT(MotorPHSales[[#This Row],[Date]],"mmmm")</f>
        <v>June</v>
      </c>
      <c r="C289" s="44">
        <f>DAY(MotorPHSales[[#This Row],[Date]])</f>
        <v>18</v>
      </c>
      <c r="D289" s="44">
        <f>YEAR(MotorPHSales[[#This Row],[Date]])</f>
        <v>2025</v>
      </c>
      <c r="E289" s="44" t="s">
        <v>194</v>
      </c>
      <c r="F289" s="44" t="s">
        <v>14</v>
      </c>
      <c r="G289" s="45">
        <v>250000</v>
      </c>
      <c r="H289" s="44">
        <v>11</v>
      </c>
      <c r="I289" s="45">
        <v>2750000</v>
      </c>
      <c r="J289" s="44" t="s">
        <v>197</v>
      </c>
      <c r="K289" s="44" t="str">
        <f>INDEX(CLEANED_MotorPH_Products_List_2!C:C,MATCH(MotorPHSales[[#This Row],[Product]],CLEANED_MotorPH_Products_List_2!$B:$B,0))</f>
        <v>Classic</v>
      </c>
      <c r="L289" s="44" t="str">
        <f>INDEX(CLEANED_MotorPH_Products_List_2!E:E,MATCH(MotorPHSales[[#This Row],[Product]],CLEANED_MotorPH_Products_List_2!$B:$B,0))</f>
        <v>Single cylinder</v>
      </c>
      <c r="M289" s="44" t="str">
        <f>INDEX(CLEANED_MotorPH_Products_List_2!F:F,MATCH(MotorPHSales[[#This Row],[Product]],CLEANED_MotorPH_Products_List_2!$B:$B,0))</f>
        <v>air-cooled</v>
      </c>
      <c r="N289" s="44" t="str">
        <f>INDEX(CLEANED_MotorPH_Products_List_2!G:G,MATCH(MotorPHSales[[#This Row],[Product]],CLEANED_MotorPH_Products_List_2!$B:$B,0))</f>
        <v>349cc</v>
      </c>
      <c r="O289" s="44" t="str">
        <f>INDEX(CLEANED_MotorPH_Products_List_2!K:K,MATCH(MotorPHSales[[#This Row],[Product]],CLEANED_MotorPH_Products_List_2!B:B,0))</f>
        <v>Mid-range</v>
      </c>
      <c r="P289" s="45">
        <f>IF(MotorPHSales[[#This Row],[Segment]]="Entry-level",MotorPHSales[[#This Row],[UnitPrice]]/(1+30%),IF(MotorPHSales[[#This Row],[Segment]]="Mid-range",MotorPHSales[[#This Row],[UnitPrice]]/(1+35%),MotorPHSales[[#This Row],[UnitPrice]]/(1+40%)))*MotorPHSales[[#This Row],[Quantity]]</f>
        <v>2037037.0370370368</v>
      </c>
      <c r="Q289" s="44" t="str">
        <f>INDEX(CLEANED_MotorPH_Products_List_2!H:H,MATCH(MotorPHSales[[#This Row],[Product]],CLEANED_MotorPH_Products_List_2!$B:$B,0))</f>
        <v>5-speed</v>
      </c>
    </row>
    <row r="290" spans="1:17" ht="15.75" x14ac:dyDescent="0.3">
      <c r="A290" s="43">
        <v>45890</v>
      </c>
      <c r="B290" s="44" t="str">
        <f>TEXT(MotorPHSales[[#This Row],[Date]],"mmmm")</f>
        <v>August</v>
      </c>
      <c r="C290" s="44">
        <f>DAY(MotorPHSales[[#This Row],[Date]])</f>
        <v>21</v>
      </c>
      <c r="D290" s="44">
        <f>YEAR(MotorPHSales[[#This Row],[Date]])</f>
        <v>2025</v>
      </c>
      <c r="E290" s="44" t="s">
        <v>196</v>
      </c>
      <c r="F290" s="44" t="s">
        <v>24</v>
      </c>
      <c r="G290" s="45">
        <v>199900</v>
      </c>
      <c r="H290" s="44">
        <v>5</v>
      </c>
      <c r="I290" s="45">
        <v>999500</v>
      </c>
      <c r="J290" s="44" t="s">
        <v>198</v>
      </c>
      <c r="K290" s="44" t="str">
        <f>INDEX(CLEANED_MotorPH_Products_List_2!C:C,MATCH(MotorPHSales[[#This Row],[Product]],CLEANED_MotorPH_Products_List_2!$B:$B,0))</f>
        <v>Sport touring</v>
      </c>
      <c r="L290" s="44" t="str">
        <f>INDEX(CLEANED_MotorPH_Products_List_2!E:E,MATCH(MotorPHSales[[#This Row],[Product]],CLEANED_MotorPH_Products_List_2!$B:$B,0))</f>
        <v>Single cylinder</v>
      </c>
      <c r="M290" s="44" t="str">
        <f>INDEX(CLEANED_MotorPH_Products_List_2!F:F,MATCH(MotorPHSales[[#This Row],[Product]],CLEANED_MotorPH_Products_List_2!$B:$B,0))</f>
        <v>liquid-cooled</v>
      </c>
      <c r="N290" s="44" t="str">
        <f>INDEX(CLEANED_MotorPH_Products_List_2!G:G,MATCH(MotorPHSales[[#This Row],[Product]],CLEANED_MotorPH_Products_List_2!$B:$B,0))</f>
        <v>373cc</v>
      </c>
      <c r="O290" s="44" t="str">
        <f>INDEX(CLEANED_MotorPH_Products_List_2!K:K,MATCH(MotorPHSales[[#This Row],[Product]],CLEANED_MotorPH_Products_List_2!B:B,0))</f>
        <v>Mid-range</v>
      </c>
      <c r="P290" s="45">
        <f>IF(MotorPHSales[[#This Row],[Segment]]="Entry-level",MotorPHSales[[#This Row],[UnitPrice]]/(1+30%),IF(MotorPHSales[[#This Row],[Segment]]="Mid-range",MotorPHSales[[#This Row],[UnitPrice]]/(1+35%),MotorPHSales[[#This Row],[UnitPrice]]/(1+40%)))*MotorPHSales[[#This Row],[Quantity]]</f>
        <v>740370.37037037034</v>
      </c>
      <c r="Q290" s="44" t="str">
        <f>INDEX(CLEANED_MotorPH_Products_List_2!H:H,MATCH(MotorPHSales[[#This Row],[Product]],CLEANED_MotorPH_Products_List_2!$B:$B,0))</f>
        <v>6-speed</v>
      </c>
    </row>
    <row r="291" spans="1:17" ht="15.75" x14ac:dyDescent="0.3">
      <c r="A291" s="43">
        <v>45874</v>
      </c>
      <c r="B291" s="44" t="str">
        <f>TEXT(MotorPHSales[[#This Row],[Date]],"mmmm")</f>
        <v>August</v>
      </c>
      <c r="C291" s="44">
        <f>DAY(MotorPHSales[[#This Row],[Date]])</f>
        <v>5</v>
      </c>
      <c r="D291" s="44">
        <f>YEAR(MotorPHSales[[#This Row],[Date]])</f>
        <v>2025</v>
      </c>
      <c r="E291" s="44" t="s">
        <v>196</v>
      </c>
      <c r="F291" s="44" t="s">
        <v>86</v>
      </c>
      <c r="G291" s="45">
        <v>650000</v>
      </c>
      <c r="H291" s="44">
        <v>3</v>
      </c>
      <c r="I291" s="45">
        <v>1950000</v>
      </c>
      <c r="J291" s="44" t="s">
        <v>197</v>
      </c>
      <c r="K291" s="44" t="str">
        <f>INDEX(CLEANED_MotorPH_Products_List_2!C:C,MATCH(MotorPHSales[[#This Row],[Product]],CLEANED_MotorPH_Products_List_2!$B:$B,0))</f>
        <v>Cruiser</v>
      </c>
      <c r="L291" s="44" t="str">
        <f>INDEX(CLEANED_MotorPH_Products_List_2!E:E,MATCH(MotorPHSales[[#This Row],[Product]],CLEANED_MotorPH_Products_List_2!$B:$B,0))</f>
        <v>Parallel-twin</v>
      </c>
      <c r="M291" s="44" t="str">
        <f>INDEX(CLEANED_MotorPH_Products_List_2!F:F,MATCH(MotorPHSales[[#This Row],[Product]],CLEANED_MotorPH_Products_List_2!$B:$B,0))</f>
        <v>liquid-cooled</v>
      </c>
      <c r="N291" s="44" t="str">
        <f>INDEX(CLEANED_MotorPH_Products_List_2!G:G,MATCH(MotorPHSales[[#This Row],[Product]],CLEANED_MotorPH_Products_List_2!$B:$B,0))</f>
        <v>1084cc</v>
      </c>
      <c r="O291" s="44" t="str">
        <f>INDEX(CLEANED_MotorPH_Products_List_2!K:K,MATCH(MotorPHSales[[#This Row],[Product]],CLEANED_MotorPH_Products_List_2!B:B,0))</f>
        <v>Premium</v>
      </c>
      <c r="P291" s="45">
        <f>IF(MotorPHSales[[#This Row],[Segment]]="Entry-level",MotorPHSales[[#This Row],[UnitPrice]]/(1+30%),IF(MotorPHSales[[#This Row],[Segment]]="Mid-range",MotorPHSales[[#This Row],[UnitPrice]]/(1+35%),MotorPHSales[[#This Row],[UnitPrice]]/(1+40%)))*MotorPHSales[[#This Row],[Quantity]]</f>
        <v>1392857.142857143</v>
      </c>
      <c r="Q291" s="44" t="str">
        <f>INDEX(CLEANED_MotorPH_Products_List_2!H:H,MATCH(MotorPHSales[[#This Row],[Product]],CLEANED_MotorPH_Products_List_2!$B:$B,0))</f>
        <v>6-speed</v>
      </c>
    </row>
    <row r="292" spans="1:17" ht="15.75" x14ac:dyDescent="0.3">
      <c r="A292" s="43">
        <v>45862</v>
      </c>
      <c r="B292" s="44" t="str">
        <f>TEXT(MotorPHSales[[#This Row],[Date]],"mmmm")</f>
        <v>July</v>
      </c>
      <c r="C292" s="44">
        <f>DAY(MotorPHSales[[#This Row],[Date]])</f>
        <v>24</v>
      </c>
      <c r="D292" s="44">
        <f>YEAR(MotorPHSales[[#This Row],[Date]])</f>
        <v>2025</v>
      </c>
      <c r="E292" s="44" t="s">
        <v>194</v>
      </c>
      <c r="F292" s="44" t="s">
        <v>51</v>
      </c>
      <c r="G292" s="45">
        <v>78900</v>
      </c>
      <c r="H292" s="44">
        <v>12</v>
      </c>
      <c r="I292" s="45">
        <v>946800</v>
      </c>
      <c r="J292" s="44" t="s">
        <v>197</v>
      </c>
      <c r="K292" s="44" t="str">
        <f>INDEX(CLEANED_MotorPH_Products_List_2!C:C,MATCH(MotorPHSales[[#This Row],[Product]],CLEANED_MotorPH_Products_List_2!$B:$B,0))</f>
        <v>Adventure</v>
      </c>
      <c r="L292" s="44" t="str">
        <f>INDEX(CLEANED_MotorPH_Products_List_2!E:E,MATCH(MotorPHSales[[#This Row],[Product]],CLEANED_MotorPH_Products_List_2!$B:$B,0))</f>
        <v>Single cylinder</v>
      </c>
      <c r="M292" s="44" t="str">
        <f>INDEX(CLEANED_MotorPH_Products_List_2!F:F,MATCH(MotorPHSales[[#This Row],[Product]],CLEANED_MotorPH_Products_List_2!$B:$B,0))</f>
        <v>oil-cooled</v>
      </c>
      <c r="N292" s="44" t="str">
        <f>INDEX(CLEANED_MotorPH_Products_List_2!G:G,MATCH(MotorPHSales[[#This Row],[Product]],CLEANED_MotorPH_Products_List_2!$B:$B,0))</f>
        <v>223cc</v>
      </c>
      <c r="O292" s="44" t="str">
        <f>INDEX(CLEANED_MotorPH_Products_List_2!K:K,MATCH(MotorPHSales[[#This Row],[Product]],CLEANED_MotorPH_Products_List_2!B:B,0))</f>
        <v>Mid-range</v>
      </c>
      <c r="P292" s="45">
        <f>IF(MotorPHSales[[#This Row],[Segment]]="Entry-level",MotorPHSales[[#This Row],[UnitPrice]]/(1+30%),IF(MotorPHSales[[#This Row],[Segment]]="Mid-range",MotorPHSales[[#This Row],[UnitPrice]]/(1+35%),MotorPHSales[[#This Row],[UnitPrice]]/(1+40%)))*MotorPHSales[[#This Row],[Quantity]]</f>
        <v>701333.33333333326</v>
      </c>
      <c r="Q292" s="44" t="str">
        <f>INDEX(CLEANED_MotorPH_Products_List_2!H:H,MATCH(MotorPHSales[[#This Row],[Product]],CLEANED_MotorPH_Products_List_2!$B:$B,0))</f>
        <v>6-speed</v>
      </c>
    </row>
    <row r="293" spans="1:17" ht="15.75" x14ac:dyDescent="0.3">
      <c r="A293" s="43">
        <v>45843</v>
      </c>
      <c r="B293" s="44" t="str">
        <f>TEXT(MotorPHSales[[#This Row],[Date]],"mmmm")</f>
        <v>July</v>
      </c>
      <c r="C293" s="44">
        <f>DAY(MotorPHSales[[#This Row],[Date]])</f>
        <v>5</v>
      </c>
      <c r="D293" s="44">
        <f>YEAR(MotorPHSales[[#This Row],[Date]])</f>
        <v>2025</v>
      </c>
      <c r="E293" s="44" t="s">
        <v>196</v>
      </c>
      <c r="F293" s="44" t="s">
        <v>42</v>
      </c>
      <c r="G293" s="45">
        <v>125000</v>
      </c>
      <c r="H293" s="44">
        <v>42</v>
      </c>
      <c r="I293" s="45">
        <v>5250000</v>
      </c>
      <c r="J293" s="44" t="s">
        <v>197</v>
      </c>
      <c r="K293" s="44" t="str">
        <f>INDEX(CLEANED_MotorPH_Products_List_2!C:C,MATCH(MotorPHSales[[#This Row],[Product]],CLEANED_MotorPH_Products_List_2!$B:$B,0))</f>
        <v>Naked bike</v>
      </c>
      <c r="L293" s="44" t="str">
        <f>INDEX(CLEANED_MotorPH_Products_List_2!E:E,MATCH(MotorPHSales[[#This Row],[Product]],CLEANED_MotorPH_Products_List_2!$B:$B,0))</f>
        <v>Single cylinder</v>
      </c>
      <c r="M293" s="44" t="str">
        <f>INDEX(CLEANED_MotorPH_Products_List_2!F:F,MATCH(MotorPHSales[[#This Row],[Product]],CLEANED_MotorPH_Products_List_2!$B:$B,0))</f>
        <v>liquid-cooled</v>
      </c>
      <c r="N293" s="44" t="str">
        <f>INDEX(CLEANED_MotorPH_Products_List_2!G:G,MATCH(MotorPHSales[[#This Row],[Product]],CLEANED_MotorPH_Products_List_2!$B:$B,0))</f>
        <v>147cc</v>
      </c>
      <c r="O293" s="44" t="str">
        <f>INDEX(CLEANED_MotorPH_Products_List_2!K:K,MATCH(MotorPHSales[[#This Row],[Product]],CLEANED_MotorPH_Products_List_2!B:B,0))</f>
        <v>Entry-level</v>
      </c>
      <c r="P293" s="45">
        <f>IF(MotorPHSales[[#This Row],[Segment]]="Entry-level",MotorPHSales[[#This Row],[UnitPrice]]/(1+30%),IF(MotorPHSales[[#This Row],[Segment]]="Mid-range",MotorPHSales[[#This Row],[UnitPrice]]/(1+35%),MotorPHSales[[#This Row],[UnitPrice]]/(1+40%)))*MotorPHSales[[#This Row],[Quantity]]</f>
        <v>4038461.5384615385</v>
      </c>
      <c r="Q293" s="44" t="str">
        <f>INDEX(CLEANED_MotorPH_Products_List_2!H:H,MATCH(MotorPHSales[[#This Row],[Product]],CLEANED_MotorPH_Products_List_2!$B:$B,0))</f>
        <v>6-speed</v>
      </c>
    </row>
    <row r="294" spans="1:17" ht="15.75" x14ac:dyDescent="0.3">
      <c r="A294" s="43">
        <v>45888</v>
      </c>
      <c r="B294" s="44" t="str">
        <f>TEXT(MotorPHSales[[#This Row],[Date]],"mmmm")</f>
        <v>August</v>
      </c>
      <c r="C294" s="44">
        <f>DAY(MotorPHSales[[#This Row],[Date]])</f>
        <v>19</v>
      </c>
      <c r="D294" s="44">
        <f>YEAR(MotorPHSales[[#This Row],[Date]])</f>
        <v>2025</v>
      </c>
      <c r="E294" s="44" t="s">
        <v>194</v>
      </c>
      <c r="F294" s="44" t="s">
        <v>96</v>
      </c>
      <c r="G294" s="45">
        <v>80900</v>
      </c>
      <c r="H294" s="44">
        <v>37</v>
      </c>
      <c r="I294" s="45">
        <v>2993300</v>
      </c>
      <c r="J294" s="44" t="s">
        <v>197</v>
      </c>
      <c r="K294" s="44" t="str">
        <f>INDEX(CLEANED_MotorPH_Products_List_2!C:C,MATCH(MotorPHSales[[#This Row],[Product]],CLEANED_MotorPH_Products_List_2!$B:$B,0))</f>
        <v>Scooter</v>
      </c>
      <c r="L294" s="44" t="str">
        <f>INDEX(CLEANED_MotorPH_Products_List_2!E:E,MATCH(MotorPHSales[[#This Row],[Product]],CLEANED_MotorPH_Products_List_2!$B:$B,0))</f>
        <v>Single cylinder</v>
      </c>
      <c r="M294" s="44" t="str">
        <f>INDEX(CLEANED_MotorPH_Products_List_2!F:F,MATCH(MotorPHSales[[#This Row],[Product]],CLEANED_MotorPH_Products_List_2!$B:$B,0))</f>
        <v>air-cooled</v>
      </c>
      <c r="N294" s="44" t="str">
        <f>INDEX(CLEANED_MotorPH_Products_List_2!G:G,MATCH(MotorPHSales[[#This Row],[Product]],CLEANED_MotorPH_Products_List_2!$B:$B,0))</f>
        <v>124cc</v>
      </c>
      <c r="O294" s="44" t="str">
        <f>INDEX(CLEANED_MotorPH_Products_List_2!K:K,MATCH(MotorPHSales[[#This Row],[Product]],CLEANED_MotorPH_Products_List_2!B:B,0))</f>
        <v>Entry-level</v>
      </c>
      <c r="P294" s="45">
        <f>IF(MotorPHSales[[#This Row],[Segment]]="Entry-level",MotorPHSales[[#This Row],[UnitPrice]]/(1+30%),IF(MotorPHSales[[#This Row],[Segment]]="Mid-range",MotorPHSales[[#This Row],[UnitPrice]]/(1+35%),MotorPHSales[[#This Row],[UnitPrice]]/(1+40%)))*MotorPHSales[[#This Row],[Quantity]]</f>
        <v>2302538.4615384615</v>
      </c>
      <c r="Q294" s="44" t="str">
        <f>INDEX(CLEANED_MotorPH_Products_List_2!H:H,MATCH(MotorPHSales[[#This Row],[Product]],CLEANED_MotorPH_Products_List_2!$B:$B,0))</f>
        <v>CVT</v>
      </c>
    </row>
    <row r="295" spans="1:17" ht="15.75" x14ac:dyDescent="0.3">
      <c r="A295" s="43">
        <v>45869</v>
      </c>
      <c r="B295" s="44" t="str">
        <f>TEXT(MotorPHSales[[#This Row],[Date]],"mmmm")</f>
        <v>July</v>
      </c>
      <c r="C295" s="44">
        <f>DAY(MotorPHSales[[#This Row],[Date]])</f>
        <v>31</v>
      </c>
      <c r="D295" s="44">
        <f>YEAR(MotorPHSales[[#This Row],[Date]])</f>
        <v>2025</v>
      </c>
      <c r="E295" s="44" t="s">
        <v>194</v>
      </c>
      <c r="F295" s="44" t="s">
        <v>24</v>
      </c>
      <c r="G295" s="45">
        <v>199900</v>
      </c>
      <c r="H295" s="44">
        <v>17</v>
      </c>
      <c r="I295" s="45">
        <v>3398300</v>
      </c>
      <c r="J295" s="44" t="s">
        <v>195</v>
      </c>
      <c r="K295" s="44" t="str">
        <f>INDEX(CLEANED_MotorPH_Products_List_2!C:C,MATCH(MotorPHSales[[#This Row],[Product]],CLEANED_MotorPH_Products_List_2!$B:$B,0))</f>
        <v>Sport touring</v>
      </c>
      <c r="L295" s="44" t="str">
        <f>INDEX(CLEANED_MotorPH_Products_List_2!E:E,MATCH(MotorPHSales[[#This Row],[Product]],CLEANED_MotorPH_Products_List_2!$B:$B,0))</f>
        <v>Single cylinder</v>
      </c>
      <c r="M295" s="44" t="str">
        <f>INDEX(CLEANED_MotorPH_Products_List_2!F:F,MATCH(MotorPHSales[[#This Row],[Product]],CLEANED_MotorPH_Products_List_2!$B:$B,0))</f>
        <v>liquid-cooled</v>
      </c>
      <c r="N295" s="44" t="str">
        <f>INDEX(CLEANED_MotorPH_Products_List_2!G:G,MATCH(MotorPHSales[[#This Row],[Product]],CLEANED_MotorPH_Products_List_2!$B:$B,0))</f>
        <v>373cc</v>
      </c>
      <c r="O295" s="44" t="str">
        <f>INDEX(CLEANED_MotorPH_Products_List_2!K:K,MATCH(MotorPHSales[[#This Row],[Product]],CLEANED_MotorPH_Products_List_2!B:B,0))</f>
        <v>Mid-range</v>
      </c>
      <c r="P295" s="45">
        <f>IF(MotorPHSales[[#This Row],[Segment]]="Entry-level",MotorPHSales[[#This Row],[UnitPrice]]/(1+30%),IF(MotorPHSales[[#This Row],[Segment]]="Mid-range",MotorPHSales[[#This Row],[UnitPrice]]/(1+35%),MotorPHSales[[#This Row],[UnitPrice]]/(1+40%)))*MotorPHSales[[#This Row],[Quantity]]</f>
        <v>2517259.2592592593</v>
      </c>
      <c r="Q295" s="44" t="str">
        <f>INDEX(CLEANED_MotorPH_Products_List_2!H:H,MATCH(MotorPHSales[[#This Row],[Product]],CLEANED_MotorPH_Products_List_2!$B:$B,0))</f>
        <v>6-speed</v>
      </c>
    </row>
    <row r="296" spans="1:17" ht="15.75" x14ac:dyDescent="0.3">
      <c r="A296" s="43">
        <v>45849</v>
      </c>
      <c r="B296" s="44" t="str">
        <f>TEXT(MotorPHSales[[#This Row],[Date]],"mmmm")</f>
        <v>July</v>
      </c>
      <c r="C296" s="44">
        <f>DAY(MotorPHSales[[#This Row],[Date]])</f>
        <v>11</v>
      </c>
      <c r="D296" s="44">
        <f>YEAR(MotorPHSales[[#This Row],[Date]])</f>
        <v>2025</v>
      </c>
      <c r="E296" s="44" t="s">
        <v>196</v>
      </c>
      <c r="F296" s="44" t="s">
        <v>94</v>
      </c>
      <c r="G296" s="45">
        <v>299000</v>
      </c>
      <c r="H296" s="44">
        <v>27</v>
      </c>
      <c r="I296" s="45">
        <v>8073000</v>
      </c>
      <c r="J296" s="44" t="s">
        <v>195</v>
      </c>
      <c r="K296" s="44" t="str">
        <f>INDEX(CLEANED_MotorPH_Products_List_2!C:C,MATCH(MotorPHSales[[#This Row],[Product]],CLEANED_MotorPH_Products_List_2!$B:$B,0))</f>
        <v>Dual-sport</v>
      </c>
      <c r="L296" s="44" t="str">
        <f>INDEX(CLEANED_MotorPH_Products_List_2!E:E,MATCH(MotorPHSales[[#This Row],[Product]],CLEANED_MotorPH_Products_List_2!$B:$B,0))</f>
        <v>Single cylinder</v>
      </c>
      <c r="M296" s="44" t="str">
        <f>INDEX(CLEANED_MotorPH_Products_List_2!F:F,MATCH(MotorPHSales[[#This Row],[Product]],CLEANED_MotorPH_Products_List_2!$B:$B,0))</f>
        <v>air-cooled</v>
      </c>
      <c r="N296" s="44" t="str">
        <f>INDEX(CLEANED_MotorPH_Products_List_2!G:G,MATCH(MotorPHSales[[#This Row],[Product]],CLEANED_MotorPH_Products_List_2!$B:$B,0))</f>
        <v>249cc</v>
      </c>
      <c r="O296" s="44" t="str">
        <f>INDEX(CLEANED_MotorPH_Products_List_2!K:K,MATCH(MotorPHSales[[#This Row],[Product]],CLEANED_MotorPH_Products_List_2!B:B,0))</f>
        <v>Mid-range</v>
      </c>
      <c r="P296" s="45">
        <f>IF(MotorPHSales[[#This Row],[Segment]]="Entry-level",MotorPHSales[[#This Row],[UnitPrice]]/(1+30%),IF(MotorPHSales[[#This Row],[Segment]]="Mid-range",MotorPHSales[[#This Row],[UnitPrice]]/(1+35%),MotorPHSales[[#This Row],[UnitPrice]]/(1+40%)))*MotorPHSales[[#This Row],[Quantity]]</f>
        <v>5979999.9999999991</v>
      </c>
      <c r="Q296" s="44" t="str">
        <f>INDEX(CLEANED_MotorPH_Products_List_2!H:H,MATCH(MotorPHSales[[#This Row],[Product]],CLEANED_MotorPH_Products_List_2!$B:$B,0))</f>
        <v>5-speed</v>
      </c>
    </row>
    <row r="297" spans="1:17" ht="15.75" x14ac:dyDescent="0.3">
      <c r="A297" s="43">
        <v>45841</v>
      </c>
      <c r="B297" s="44" t="str">
        <f>TEXT(MotorPHSales[[#This Row],[Date]],"mmmm")</f>
        <v>July</v>
      </c>
      <c r="C297" s="44">
        <f>DAY(MotorPHSales[[#This Row],[Date]])</f>
        <v>3</v>
      </c>
      <c r="D297" s="44">
        <f>YEAR(MotorPHSales[[#This Row],[Date]])</f>
        <v>2025</v>
      </c>
      <c r="E297" s="44" t="s">
        <v>196</v>
      </c>
      <c r="F297" s="44" t="s">
        <v>76</v>
      </c>
      <c r="G297" s="45">
        <v>369000</v>
      </c>
      <c r="H297" s="44">
        <v>19</v>
      </c>
      <c r="I297" s="45">
        <v>7011000</v>
      </c>
      <c r="J297" s="44" t="s">
        <v>198</v>
      </c>
      <c r="K297" s="44" t="str">
        <f>INDEX(CLEANED_MotorPH_Products_List_2!C:C,MATCH(MotorPHSales[[#This Row],[Product]],CLEANED_MotorPH_Products_List_2!$B:$B,0))</f>
        <v>Adventure</v>
      </c>
      <c r="L297" s="44" t="str">
        <f>INDEX(CLEANED_MotorPH_Products_List_2!E:E,MATCH(MotorPHSales[[#This Row],[Product]],CLEANED_MotorPH_Products_List_2!$B:$B,0))</f>
        <v>Parallel-twin</v>
      </c>
      <c r="M297" s="44" t="str">
        <f>INDEX(CLEANED_MotorPH_Products_List_2!F:F,MATCH(MotorPHSales[[#This Row],[Product]],CLEANED_MotorPH_Products_List_2!$B:$B,0))</f>
        <v>liquid-cooled</v>
      </c>
      <c r="N297" s="44" t="str">
        <f>INDEX(CLEANED_MotorPH_Products_List_2!G:G,MATCH(MotorPHSales[[#This Row],[Product]],CLEANED_MotorPH_Products_List_2!$B:$B,0))</f>
        <v>649cc</v>
      </c>
      <c r="O297" s="44" t="str">
        <f>INDEX(CLEANED_MotorPH_Products_List_2!K:K,MATCH(MotorPHSales[[#This Row],[Product]],CLEANED_MotorPH_Products_List_2!B:B,0))</f>
        <v>Premium</v>
      </c>
      <c r="P297" s="45">
        <f>IF(MotorPHSales[[#This Row],[Segment]]="Entry-level",MotorPHSales[[#This Row],[UnitPrice]]/(1+30%),IF(MotorPHSales[[#This Row],[Segment]]="Mid-range",MotorPHSales[[#This Row],[UnitPrice]]/(1+35%),MotorPHSales[[#This Row],[UnitPrice]]/(1+40%)))*MotorPHSales[[#This Row],[Quantity]]</f>
        <v>5007857.1428571427</v>
      </c>
      <c r="Q297" s="44" t="str">
        <f>INDEX(CLEANED_MotorPH_Products_List_2!H:H,MATCH(MotorPHSales[[#This Row],[Product]],CLEANED_MotorPH_Products_List_2!$B:$B,0))</f>
        <v>6-speed</v>
      </c>
    </row>
    <row r="298" spans="1:17" ht="15.75" x14ac:dyDescent="0.3">
      <c r="A298" s="43">
        <v>45876</v>
      </c>
      <c r="B298" s="44" t="str">
        <f>TEXT(MotorPHSales[[#This Row],[Date]],"mmmm")</f>
        <v>August</v>
      </c>
      <c r="C298" s="44">
        <f>DAY(MotorPHSales[[#This Row],[Date]])</f>
        <v>7</v>
      </c>
      <c r="D298" s="44">
        <f>YEAR(MotorPHSales[[#This Row],[Date]])</f>
        <v>2025</v>
      </c>
      <c r="E298" s="44" t="s">
        <v>194</v>
      </c>
      <c r="F298" s="44" t="s">
        <v>99</v>
      </c>
      <c r="G298" s="45">
        <v>689000</v>
      </c>
      <c r="H298" s="44">
        <v>3</v>
      </c>
      <c r="I298" s="45">
        <v>2067000</v>
      </c>
      <c r="J298" s="44" t="s">
        <v>197</v>
      </c>
      <c r="K298" s="44" t="str">
        <f>INDEX(CLEANED_MotorPH_Products_List_2!C:C,MATCH(MotorPHSales[[#This Row],[Product]],CLEANED_MotorPH_Products_List_2!$B:$B,0))</f>
        <v>Heritage</v>
      </c>
      <c r="L298" s="44" t="str">
        <f>INDEX(CLEANED_MotorPH_Products_List_2!E:E,MATCH(MotorPHSales[[#This Row],[Product]],CLEANED_MotorPH_Products_List_2!$B:$B,0))</f>
        <v>V-twin</v>
      </c>
      <c r="M298" s="44" t="str">
        <f>INDEX(CLEANED_MotorPH_Products_List_2!F:F,MATCH(MotorPHSales[[#This Row],[Product]],CLEANED_MotorPH_Products_List_2!$B:$B,0))</f>
        <v>air-cooled</v>
      </c>
      <c r="N298" s="44" t="str">
        <f>INDEX(CLEANED_MotorPH_Products_List_2!G:G,MATCH(MotorPHSales[[#This Row],[Product]],CLEANED_MotorPH_Products_List_2!$B:$B,0))</f>
        <v>853cc</v>
      </c>
      <c r="O298" s="44" t="str">
        <f>INDEX(CLEANED_MotorPH_Products_List_2!K:K,MATCH(MotorPHSales[[#This Row],[Product]],CLEANED_MotorPH_Products_List_2!B:B,0))</f>
        <v>Premium</v>
      </c>
      <c r="P298" s="45">
        <f>IF(MotorPHSales[[#This Row],[Segment]]="Entry-level",MotorPHSales[[#This Row],[UnitPrice]]/(1+30%),IF(MotorPHSales[[#This Row],[Segment]]="Mid-range",MotorPHSales[[#This Row],[UnitPrice]]/(1+35%),MotorPHSales[[#This Row],[UnitPrice]]/(1+40%)))*MotorPHSales[[#This Row],[Quantity]]</f>
        <v>1476428.5714285714</v>
      </c>
      <c r="Q298" s="44" t="str">
        <f>INDEX(CLEANED_MotorPH_Products_List_2!H:H,MATCH(MotorPHSales[[#This Row],[Product]],CLEANED_MotorPH_Products_List_2!$B:$B,0))</f>
        <v>6-speed</v>
      </c>
    </row>
    <row r="299" spans="1:17" ht="15.75" x14ac:dyDescent="0.3">
      <c r="A299" s="43">
        <v>45841</v>
      </c>
      <c r="B299" s="44" t="str">
        <f>TEXT(MotorPHSales[[#This Row],[Date]],"mmmm")</f>
        <v>July</v>
      </c>
      <c r="C299" s="44">
        <f>DAY(MotorPHSales[[#This Row],[Date]])</f>
        <v>3</v>
      </c>
      <c r="D299" s="44">
        <f>YEAR(MotorPHSales[[#This Row],[Date]])</f>
        <v>2025</v>
      </c>
      <c r="E299" s="44" t="s">
        <v>196</v>
      </c>
      <c r="F299" s="44" t="s">
        <v>94</v>
      </c>
      <c r="G299" s="45">
        <v>299000</v>
      </c>
      <c r="H299" s="44">
        <v>17</v>
      </c>
      <c r="I299" s="45">
        <v>5083000</v>
      </c>
      <c r="J299" s="44" t="s">
        <v>197</v>
      </c>
      <c r="K299" s="44" t="str">
        <f>INDEX(CLEANED_MotorPH_Products_List_2!C:C,MATCH(MotorPHSales[[#This Row],[Product]],CLEANED_MotorPH_Products_List_2!$B:$B,0))</f>
        <v>Dual-sport</v>
      </c>
      <c r="L299" s="44" t="str">
        <f>INDEX(CLEANED_MotorPH_Products_List_2!E:E,MATCH(MotorPHSales[[#This Row],[Product]],CLEANED_MotorPH_Products_List_2!$B:$B,0))</f>
        <v>Single cylinder</v>
      </c>
      <c r="M299" s="44" t="str">
        <f>INDEX(CLEANED_MotorPH_Products_List_2!F:F,MATCH(MotorPHSales[[#This Row],[Product]],CLEANED_MotorPH_Products_List_2!$B:$B,0))</f>
        <v>air-cooled</v>
      </c>
      <c r="N299" s="44" t="str">
        <f>INDEX(CLEANED_MotorPH_Products_List_2!G:G,MATCH(MotorPHSales[[#This Row],[Product]],CLEANED_MotorPH_Products_List_2!$B:$B,0))</f>
        <v>249cc</v>
      </c>
      <c r="O299" s="44" t="str">
        <f>INDEX(CLEANED_MotorPH_Products_List_2!K:K,MATCH(MotorPHSales[[#This Row],[Product]],CLEANED_MotorPH_Products_List_2!B:B,0))</f>
        <v>Mid-range</v>
      </c>
      <c r="P299" s="45">
        <f>IF(MotorPHSales[[#This Row],[Segment]]="Entry-level",MotorPHSales[[#This Row],[UnitPrice]]/(1+30%),IF(MotorPHSales[[#This Row],[Segment]]="Mid-range",MotorPHSales[[#This Row],[UnitPrice]]/(1+35%),MotorPHSales[[#This Row],[UnitPrice]]/(1+40%)))*MotorPHSales[[#This Row],[Quantity]]</f>
        <v>3765185.1851851847</v>
      </c>
      <c r="Q299" s="44" t="str">
        <f>INDEX(CLEANED_MotorPH_Products_List_2!H:H,MATCH(MotorPHSales[[#This Row],[Product]],CLEANED_MotorPH_Products_List_2!$B:$B,0))</f>
        <v>5-speed</v>
      </c>
    </row>
    <row r="300" spans="1:17" ht="15.75" x14ac:dyDescent="0.3">
      <c r="A300" s="43">
        <v>45822</v>
      </c>
      <c r="B300" s="44" t="str">
        <f>TEXT(MotorPHSales[[#This Row],[Date]],"mmmm")</f>
        <v>June</v>
      </c>
      <c r="C300" s="44">
        <f>DAY(MotorPHSales[[#This Row],[Date]])</f>
        <v>14</v>
      </c>
      <c r="D300" s="44">
        <f>YEAR(MotorPHSales[[#This Row],[Date]])</f>
        <v>2025</v>
      </c>
      <c r="E300" s="44" t="s">
        <v>194</v>
      </c>
      <c r="F300" s="44" t="s">
        <v>34</v>
      </c>
      <c r="G300" s="45">
        <v>320000</v>
      </c>
      <c r="H300" s="44">
        <v>16</v>
      </c>
      <c r="I300" s="45">
        <v>5120000</v>
      </c>
      <c r="J300" s="44" t="s">
        <v>197</v>
      </c>
      <c r="K300" s="44" t="str">
        <f>INDEX(CLEANED_MotorPH_Products_List_2!C:C,MATCH(MotorPHSales[[#This Row],[Product]],CLEANED_MotorPH_Products_List_2!$B:$B,0))</f>
        <v>Adventure</v>
      </c>
      <c r="L300" s="44" t="str">
        <f>INDEX(CLEANED_MotorPH_Products_List_2!E:E,MATCH(MotorPHSales[[#This Row],[Product]],CLEANED_MotorPH_Products_List_2!$B:$B,0))</f>
        <v>Single cylinder</v>
      </c>
      <c r="M300" s="44" t="str">
        <f>INDEX(CLEANED_MotorPH_Products_List_2!F:F,MATCH(MotorPHSales[[#This Row],[Product]],CLEANED_MotorPH_Products_List_2!$B:$B,0))</f>
        <v>liquid-cooled</v>
      </c>
      <c r="N300" s="44" t="str">
        <f>INDEX(CLEANED_MotorPH_Products_List_2!G:G,MATCH(MotorPHSales[[#This Row],[Product]],CLEANED_MotorPH_Products_List_2!$B:$B,0))</f>
        <v>313cc</v>
      </c>
      <c r="O300" s="44" t="str">
        <f>INDEX(CLEANED_MotorPH_Products_List_2!K:K,MATCH(MotorPHSales[[#This Row],[Product]],CLEANED_MotorPH_Products_List_2!B:B,0))</f>
        <v>Mid-range</v>
      </c>
      <c r="P300" s="45">
        <f>IF(MotorPHSales[[#This Row],[Segment]]="Entry-level",MotorPHSales[[#This Row],[UnitPrice]]/(1+30%),IF(MotorPHSales[[#This Row],[Segment]]="Mid-range",MotorPHSales[[#This Row],[UnitPrice]]/(1+35%),MotorPHSales[[#This Row],[UnitPrice]]/(1+40%)))*MotorPHSales[[#This Row],[Quantity]]</f>
        <v>3792592.5925925924</v>
      </c>
      <c r="Q300" s="44" t="str">
        <f>INDEX(CLEANED_MotorPH_Products_List_2!H:H,MATCH(MotorPHSales[[#This Row],[Product]],CLEANED_MotorPH_Products_List_2!$B:$B,0))</f>
        <v>6-speed</v>
      </c>
    </row>
    <row r="301" spans="1:17" ht="15.75" x14ac:dyDescent="0.3">
      <c r="A301" s="43">
        <v>45829</v>
      </c>
      <c r="B301" s="44" t="str">
        <f>TEXT(MotorPHSales[[#This Row],[Date]],"mmmm")</f>
        <v>June</v>
      </c>
      <c r="C301" s="44">
        <f>DAY(MotorPHSales[[#This Row],[Date]])</f>
        <v>21</v>
      </c>
      <c r="D301" s="44">
        <f>YEAR(MotorPHSales[[#This Row],[Date]])</f>
        <v>2025</v>
      </c>
      <c r="E301" s="44" t="s">
        <v>194</v>
      </c>
      <c r="F301" s="44" t="s">
        <v>94</v>
      </c>
      <c r="G301" s="45">
        <v>299000</v>
      </c>
      <c r="H301" s="44">
        <v>19</v>
      </c>
      <c r="I301" s="45">
        <v>5681000</v>
      </c>
      <c r="J301" s="44" t="s">
        <v>195</v>
      </c>
      <c r="K301" s="44" t="str">
        <f>INDEX(CLEANED_MotorPH_Products_List_2!C:C,MATCH(MotorPHSales[[#This Row],[Product]],CLEANED_MotorPH_Products_List_2!$B:$B,0))</f>
        <v>Dual-sport</v>
      </c>
      <c r="L301" s="44" t="str">
        <f>INDEX(CLEANED_MotorPH_Products_List_2!E:E,MATCH(MotorPHSales[[#This Row],[Product]],CLEANED_MotorPH_Products_List_2!$B:$B,0))</f>
        <v>Single cylinder</v>
      </c>
      <c r="M301" s="44" t="str">
        <f>INDEX(CLEANED_MotorPH_Products_List_2!F:F,MATCH(MotorPHSales[[#This Row],[Product]],CLEANED_MotorPH_Products_List_2!$B:$B,0))</f>
        <v>air-cooled</v>
      </c>
      <c r="N301" s="44" t="str">
        <f>INDEX(CLEANED_MotorPH_Products_List_2!G:G,MATCH(MotorPHSales[[#This Row],[Product]],CLEANED_MotorPH_Products_List_2!$B:$B,0))</f>
        <v>249cc</v>
      </c>
      <c r="O301" s="44" t="str">
        <f>INDEX(CLEANED_MotorPH_Products_List_2!K:K,MATCH(MotorPHSales[[#This Row],[Product]],CLEANED_MotorPH_Products_List_2!B:B,0))</f>
        <v>Mid-range</v>
      </c>
      <c r="P301" s="45">
        <f>IF(MotorPHSales[[#This Row],[Segment]]="Entry-level",MotorPHSales[[#This Row],[UnitPrice]]/(1+30%),IF(MotorPHSales[[#This Row],[Segment]]="Mid-range",MotorPHSales[[#This Row],[UnitPrice]]/(1+35%),MotorPHSales[[#This Row],[UnitPrice]]/(1+40%)))*MotorPHSales[[#This Row],[Quantity]]</f>
        <v>4208148.1481481474</v>
      </c>
      <c r="Q301" s="44" t="str">
        <f>INDEX(CLEANED_MotorPH_Products_List_2!H:H,MATCH(MotorPHSales[[#This Row],[Product]],CLEANED_MotorPH_Products_List_2!$B:$B,0))</f>
        <v>5-speed</v>
      </c>
    </row>
    <row r="302" spans="1:17" ht="15.75" x14ac:dyDescent="0.3">
      <c r="A302" s="43">
        <v>45856</v>
      </c>
      <c r="B302" s="44" t="str">
        <f>TEXT(MotorPHSales[[#This Row],[Date]],"mmmm")</f>
        <v>July</v>
      </c>
      <c r="C302" s="44">
        <f>DAY(MotorPHSales[[#This Row],[Date]])</f>
        <v>18</v>
      </c>
      <c r="D302" s="44">
        <f>YEAR(MotorPHSales[[#This Row],[Date]])</f>
        <v>2025</v>
      </c>
      <c r="E302" s="44" t="s">
        <v>196</v>
      </c>
      <c r="F302" s="44" t="s">
        <v>84</v>
      </c>
      <c r="G302" s="45">
        <v>995000</v>
      </c>
      <c r="H302" s="44">
        <v>24</v>
      </c>
      <c r="I302" s="45">
        <v>23880000</v>
      </c>
      <c r="J302" s="44" t="s">
        <v>197</v>
      </c>
      <c r="K302" s="44" t="str">
        <f>INDEX(CLEANED_MotorPH_Products_List_2!C:C,MATCH(MotorPHSales[[#This Row],[Product]],CLEANED_MotorPH_Products_List_2!$B:$B,0))</f>
        <v>Heritage</v>
      </c>
      <c r="L302" s="44" t="str">
        <f>INDEX(CLEANED_MotorPH_Products_List_2!E:E,MATCH(MotorPHSales[[#This Row],[Product]],CLEANED_MotorPH_Products_List_2!$B:$B,0))</f>
        <v>Flat twin</v>
      </c>
      <c r="M302" s="44" t="str">
        <f>INDEX(CLEANED_MotorPH_Products_List_2!F:F,MATCH(MotorPHSales[[#This Row],[Product]],CLEANED_MotorPH_Products_List_2!$B:$B,0))</f>
        <v>air</v>
      </c>
      <c r="N302" s="44">
        <f>INDEX(CLEANED_MotorPH_Products_List_2!G:G,MATCH(MotorPHSales[[#This Row],[Product]],CLEANED_MotorPH_Products_List_2!$B:$B,0))</f>
        <v>0</v>
      </c>
      <c r="O302" s="44" t="str">
        <f>INDEX(CLEANED_MotorPH_Products_List_2!K:K,MATCH(MotorPHSales[[#This Row],[Product]],CLEANED_MotorPH_Products_List_2!B:B,0))</f>
        <v>Premium</v>
      </c>
      <c r="P302" s="45">
        <f>IF(MotorPHSales[[#This Row],[Segment]]="Entry-level",MotorPHSales[[#This Row],[UnitPrice]]/(1+30%),IF(MotorPHSales[[#This Row],[Segment]]="Mid-range",MotorPHSales[[#This Row],[UnitPrice]]/(1+35%),MotorPHSales[[#This Row],[UnitPrice]]/(1+40%)))*MotorPHSales[[#This Row],[Quantity]]</f>
        <v>17057142.857142858</v>
      </c>
      <c r="Q302" s="44">
        <f>INDEX(CLEANED_MotorPH_Products_List_2!H:H,MATCH(MotorPHSales[[#This Row],[Product]],CLEANED_MotorPH_Products_List_2!$B:$B,0))</f>
        <v>0</v>
      </c>
    </row>
    <row r="303" spans="1:17" ht="15.75" x14ac:dyDescent="0.3">
      <c r="A303" s="43">
        <v>45828</v>
      </c>
      <c r="B303" s="44" t="str">
        <f>TEXT(MotorPHSales[[#This Row],[Date]],"mmmm")</f>
        <v>June</v>
      </c>
      <c r="C303" s="44">
        <f>DAY(MotorPHSales[[#This Row],[Date]])</f>
        <v>20</v>
      </c>
      <c r="D303" s="44">
        <f>YEAR(MotorPHSales[[#This Row],[Date]])</f>
        <v>2025</v>
      </c>
      <c r="E303" s="44" t="s">
        <v>194</v>
      </c>
      <c r="F303" s="44" t="s">
        <v>32</v>
      </c>
      <c r="G303" s="45">
        <v>198000</v>
      </c>
      <c r="H303" s="44">
        <v>11</v>
      </c>
      <c r="I303" s="45">
        <v>2178000</v>
      </c>
      <c r="J303" s="44" t="s">
        <v>195</v>
      </c>
      <c r="K303" s="44" t="str">
        <f>INDEX(CLEANED_MotorPH_Products_List_2!C:C,MATCH(MotorPHSales[[#This Row],[Product]],CLEANED_MotorPH_Products_List_2!$B:$B,0))</f>
        <v>Sport</v>
      </c>
      <c r="L303" s="44" t="str">
        <f>INDEX(CLEANED_MotorPH_Products_List_2!E:E,MATCH(MotorPHSales[[#This Row],[Product]],CLEANED_MotorPH_Products_List_2!$B:$B,0))</f>
        <v>Single cylinder</v>
      </c>
      <c r="M303" s="44" t="str">
        <f>INDEX(CLEANED_MotorPH_Products_List_2!F:F,MATCH(MotorPHSales[[#This Row],[Product]],CLEANED_MotorPH_Products_List_2!$B:$B,0))</f>
        <v>liquid-cooled</v>
      </c>
      <c r="N303" s="44" t="str">
        <f>INDEX(CLEANED_MotorPH_Products_List_2!G:G,MATCH(MotorPHSales[[#This Row],[Product]],CLEANED_MotorPH_Products_List_2!$B:$B,0))</f>
        <v>199cc</v>
      </c>
      <c r="O303" s="44" t="str">
        <f>INDEX(CLEANED_MotorPH_Products_List_2!K:K,MATCH(MotorPHSales[[#This Row],[Product]],CLEANED_MotorPH_Products_List_2!B:B,0))</f>
        <v>Entry-level</v>
      </c>
      <c r="P303" s="45">
        <f>IF(MotorPHSales[[#This Row],[Segment]]="Entry-level",MotorPHSales[[#This Row],[UnitPrice]]/(1+30%),IF(MotorPHSales[[#This Row],[Segment]]="Mid-range",MotorPHSales[[#This Row],[UnitPrice]]/(1+35%),MotorPHSales[[#This Row],[UnitPrice]]/(1+40%)))*MotorPHSales[[#This Row],[Quantity]]</f>
        <v>1675384.6153846155</v>
      </c>
      <c r="Q303" s="44" t="str">
        <f>INDEX(CLEANED_MotorPH_Products_List_2!H:H,MATCH(MotorPHSales[[#This Row],[Product]],CLEANED_MotorPH_Products_List_2!$B:$B,0))</f>
        <v>6-speed</v>
      </c>
    </row>
    <row r="304" spans="1:17" ht="15.75" x14ac:dyDescent="0.3">
      <c r="A304" s="43">
        <v>45816</v>
      </c>
      <c r="B304" s="44" t="str">
        <f>TEXT(MotorPHSales[[#This Row],[Date]],"mmmm")</f>
        <v>June</v>
      </c>
      <c r="C304" s="44">
        <f>DAY(MotorPHSales[[#This Row],[Date]])</f>
        <v>8</v>
      </c>
      <c r="D304" s="44">
        <f>YEAR(MotorPHSales[[#This Row],[Date]])</f>
        <v>2025</v>
      </c>
      <c r="E304" s="44" t="s">
        <v>194</v>
      </c>
      <c r="F304" s="44" t="s">
        <v>16</v>
      </c>
      <c r="G304" s="45">
        <v>165000</v>
      </c>
      <c r="H304" s="44">
        <v>4</v>
      </c>
      <c r="I304" s="45">
        <v>660000</v>
      </c>
      <c r="J304" s="44" t="s">
        <v>197</v>
      </c>
      <c r="K304" s="44" t="str">
        <f>INDEX(CLEANED_MotorPH_Products_List_2!C:C,MATCH(MotorPHSales[[#This Row],[Product]],CLEANED_MotorPH_Products_List_2!$B:$B,0))</f>
        <v>Naked bike</v>
      </c>
      <c r="L304" s="44" t="str">
        <f>INDEX(CLEANED_MotorPH_Products_List_2!E:E,MATCH(MotorPHSales[[#This Row],[Product]],CLEANED_MotorPH_Products_List_2!$B:$B,0))</f>
        <v>Single cylinder</v>
      </c>
      <c r="M304" s="44" t="str">
        <f>INDEX(CLEANED_MotorPH_Products_List_2!F:F,MATCH(MotorPHSales[[#This Row],[Product]],CLEANED_MotorPH_Products_List_2!$B:$B,0))</f>
        <v>liquid-cooled</v>
      </c>
      <c r="N304" s="44" t="str">
        <f>INDEX(CLEANED_MotorPH_Products_List_2!G:G,MATCH(MotorPHSales[[#This Row],[Product]],CLEANED_MotorPH_Products_List_2!$B:$B,0))</f>
        <v>292cc</v>
      </c>
      <c r="O304" s="44" t="str">
        <f>INDEX(CLEANED_MotorPH_Products_List_2!K:K,MATCH(MotorPHSales[[#This Row],[Product]],CLEANED_MotorPH_Products_List_2!B:B,0))</f>
        <v>Mid-range</v>
      </c>
      <c r="P304" s="45">
        <f>IF(MotorPHSales[[#This Row],[Segment]]="Entry-level",MotorPHSales[[#This Row],[UnitPrice]]/(1+30%),IF(MotorPHSales[[#This Row],[Segment]]="Mid-range",MotorPHSales[[#This Row],[UnitPrice]]/(1+35%),MotorPHSales[[#This Row],[UnitPrice]]/(1+40%)))*MotorPHSales[[#This Row],[Quantity]]</f>
        <v>488888.88888888888</v>
      </c>
      <c r="Q304" s="44" t="str">
        <f>INDEX(CLEANED_MotorPH_Products_List_2!H:H,MATCH(MotorPHSales[[#This Row],[Product]],CLEANED_MotorPH_Products_List_2!$B:$B,0))</f>
        <v>6-speed</v>
      </c>
    </row>
    <row r="305" spans="1:17" ht="15.75" x14ac:dyDescent="0.3">
      <c r="A305" s="43">
        <v>45815</v>
      </c>
      <c r="B305" s="44" t="str">
        <f>TEXT(MotorPHSales[[#This Row],[Date]],"mmmm")</f>
        <v>June</v>
      </c>
      <c r="C305" s="44">
        <f>DAY(MotorPHSales[[#This Row],[Date]])</f>
        <v>7</v>
      </c>
      <c r="D305" s="44">
        <f>YEAR(MotorPHSales[[#This Row],[Date]])</f>
        <v>2025</v>
      </c>
      <c r="E305" s="44" t="s">
        <v>196</v>
      </c>
      <c r="F305" s="44" t="s">
        <v>63</v>
      </c>
      <c r="G305" s="45">
        <v>48000</v>
      </c>
      <c r="H305" s="44">
        <v>5</v>
      </c>
      <c r="I305" s="45">
        <v>240000</v>
      </c>
      <c r="J305" s="44" t="s">
        <v>195</v>
      </c>
      <c r="K305" s="44" t="str">
        <f>INDEX(CLEANED_MotorPH_Products_List_2!C:C,MATCH(MotorPHSales[[#This Row],[Product]],CLEANED_MotorPH_Products_List_2!$B:$B,0))</f>
        <v>Commuter</v>
      </c>
      <c r="L305" s="44" t="str">
        <f>INDEX(CLEANED_MotorPH_Products_List_2!E:E,MATCH(MotorPHSales[[#This Row],[Product]],CLEANED_MotorPH_Products_List_2!$B:$B,0))</f>
        <v>Single cylinder</v>
      </c>
      <c r="M305" s="44" t="str">
        <f>INDEX(CLEANED_MotorPH_Products_List_2!F:F,MATCH(MotorPHSales[[#This Row],[Product]],CLEANED_MotorPH_Products_List_2!$B:$B,0))</f>
        <v>air-cooled</v>
      </c>
      <c r="N305" s="44" t="str">
        <f>INDEX(CLEANED_MotorPH_Products_List_2!G:G,MATCH(MotorPHSales[[#This Row],[Product]],CLEANED_MotorPH_Products_List_2!$B:$B,0))</f>
        <v>125cc</v>
      </c>
      <c r="O305" s="44" t="str">
        <f>INDEX(CLEANED_MotorPH_Products_List_2!K:K,MATCH(MotorPHSales[[#This Row],[Product]],CLEANED_MotorPH_Products_List_2!B:B,0))</f>
        <v>Entry-level</v>
      </c>
      <c r="P305" s="45">
        <f>IF(MotorPHSales[[#This Row],[Segment]]="Entry-level",MotorPHSales[[#This Row],[UnitPrice]]/(1+30%),IF(MotorPHSales[[#This Row],[Segment]]="Mid-range",MotorPHSales[[#This Row],[UnitPrice]]/(1+35%),MotorPHSales[[#This Row],[UnitPrice]]/(1+40%)))*MotorPHSales[[#This Row],[Quantity]]</f>
        <v>184615.38461538462</v>
      </c>
      <c r="Q305" s="44" t="str">
        <f>INDEX(CLEANED_MotorPH_Products_List_2!H:H,MATCH(MotorPHSales[[#This Row],[Product]],CLEANED_MotorPH_Products_List_2!$B:$B,0))</f>
        <v>4-speed</v>
      </c>
    </row>
    <row r="306" spans="1:17" ht="15.75" x14ac:dyDescent="0.3">
      <c r="A306" s="43">
        <v>45875</v>
      </c>
      <c r="B306" s="44" t="str">
        <f>TEXT(MotorPHSales[[#This Row],[Date]],"mmmm")</f>
        <v>August</v>
      </c>
      <c r="C306" s="44">
        <f>DAY(MotorPHSales[[#This Row],[Date]])</f>
        <v>6</v>
      </c>
      <c r="D306" s="44">
        <f>YEAR(MotorPHSales[[#This Row],[Date]])</f>
        <v>2025</v>
      </c>
      <c r="E306" s="44" t="s">
        <v>196</v>
      </c>
      <c r="F306" s="44" t="s">
        <v>36</v>
      </c>
      <c r="G306" s="45">
        <v>129000</v>
      </c>
      <c r="H306" s="44">
        <v>3</v>
      </c>
      <c r="I306" s="45">
        <v>387000</v>
      </c>
      <c r="J306" s="44" t="s">
        <v>197</v>
      </c>
      <c r="K306" s="44" t="str">
        <f>INDEX(CLEANED_MotorPH_Products_List_2!C:C,MATCH(MotorPHSales[[#This Row],[Product]],CLEANED_MotorPH_Products_List_2!$B:$B,0))</f>
        <v>Naked bike</v>
      </c>
      <c r="L306" s="44" t="str">
        <f>INDEX(CLEANED_MotorPH_Products_List_2!E:E,MATCH(MotorPHSales[[#This Row],[Product]],CLEANED_MotorPH_Products_List_2!$B:$B,0))</f>
        <v>Single cylinder</v>
      </c>
      <c r="M306" s="44" t="str">
        <f>INDEX(CLEANED_MotorPH_Products_List_2!F:F,MATCH(MotorPHSales[[#This Row],[Product]],CLEANED_MotorPH_Products_List_2!$B:$B,0))</f>
        <v>oil-cooled</v>
      </c>
      <c r="N306" s="44" t="str">
        <f>INDEX(CLEANED_MotorPH_Products_List_2!G:G,MATCH(MotorPHSales[[#This Row],[Product]],CLEANED_MotorPH_Products_List_2!$B:$B,0))</f>
        <v>197cc</v>
      </c>
      <c r="O306" s="44" t="str">
        <f>INDEX(CLEANED_MotorPH_Products_List_2!K:K,MATCH(MotorPHSales[[#This Row],[Product]],CLEANED_MotorPH_Products_List_2!B:B,0))</f>
        <v>Entry-level</v>
      </c>
      <c r="P306" s="45">
        <f>IF(MotorPHSales[[#This Row],[Segment]]="Entry-level",MotorPHSales[[#This Row],[UnitPrice]]/(1+30%),IF(MotorPHSales[[#This Row],[Segment]]="Mid-range",MotorPHSales[[#This Row],[UnitPrice]]/(1+35%),MotorPHSales[[#This Row],[UnitPrice]]/(1+40%)))*MotorPHSales[[#This Row],[Quantity]]</f>
        <v>297692.30769230769</v>
      </c>
      <c r="Q306" s="44" t="str">
        <f>INDEX(CLEANED_MotorPH_Products_List_2!H:H,MATCH(MotorPHSales[[#This Row],[Product]],CLEANED_MotorPH_Products_List_2!$B:$B,0))</f>
        <v>5-speed</v>
      </c>
    </row>
    <row r="307" spans="1:17" ht="15.75" x14ac:dyDescent="0.3">
      <c r="A307" s="43">
        <v>45825</v>
      </c>
      <c r="B307" s="44" t="str">
        <f>TEXT(MotorPHSales[[#This Row],[Date]],"mmmm")</f>
        <v>June</v>
      </c>
      <c r="C307" s="44">
        <f>DAY(MotorPHSales[[#This Row],[Date]])</f>
        <v>17</v>
      </c>
      <c r="D307" s="44">
        <f>YEAR(MotorPHSales[[#This Row],[Date]])</f>
        <v>2025</v>
      </c>
      <c r="E307" s="44" t="s">
        <v>194</v>
      </c>
      <c r="F307" s="44" t="s">
        <v>97</v>
      </c>
      <c r="G307" s="45">
        <v>269000</v>
      </c>
      <c r="H307" s="44">
        <v>1</v>
      </c>
      <c r="I307" s="45">
        <v>269000</v>
      </c>
      <c r="J307" s="44" t="s">
        <v>198</v>
      </c>
      <c r="K307" s="44" t="str">
        <f>INDEX(CLEANED_MotorPH_Products_List_2!C:C,MATCH(MotorPHSales[[#This Row],[Product]],CLEANED_MotorPH_Products_List_2!$B:$B,0))</f>
        <v>Cafe racer</v>
      </c>
      <c r="L307" s="44" t="str">
        <f>INDEX(CLEANED_MotorPH_Products_List_2!E:E,MATCH(MotorPHSales[[#This Row],[Product]],CLEANED_MotorPH_Products_List_2!$B:$B,0))</f>
        <v>Single cylinder</v>
      </c>
      <c r="M307" s="44" t="str">
        <f>INDEX(CLEANED_MotorPH_Products_List_2!F:F,MATCH(MotorPHSales[[#This Row],[Product]],CLEANED_MotorPH_Products_List_2!$B:$B,0))</f>
        <v>liquid-cooled</v>
      </c>
      <c r="N307" s="44" t="str">
        <f>INDEX(CLEANED_MotorPH_Products_List_2!G:G,MATCH(MotorPHSales[[#This Row],[Product]],CLEANED_MotorPH_Products_List_2!$B:$B,0))</f>
        <v>348cc</v>
      </c>
      <c r="O307" s="44" t="str">
        <f>INDEX(CLEANED_MotorPH_Products_List_2!K:K,MATCH(MotorPHSales[[#This Row],[Product]],CLEANED_MotorPH_Products_List_2!B:B,0))</f>
        <v>Mid-range</v>
      </c>
      <c r="P307" s="45">
        <f>IF(MotorPHSales[[#This Row],[Segment]]="Entry-level",MotorPHSales[[#This Row],[UnitPrice]]/(1+30%),IF(MotorPHSales[[#This Row],[Segment]]="Mid-range",MotorPHSales[[#This Row],[UnitPrice]]/(1+35%),MotorPHSales[[#This Row],[UnitPrice]]/(1+40%)))*MotorPHSales[[#This Row],[Quantity]]</f>
        <v>199259.25925925924</v>
      </c>
      <c r="Q307" s="44" t="str">
        <f>INDEX(CLEANED_MotorPH_Products_List_2!H:H,MATCH(MotorPHSales[[#This Row],[Product]],CLEANED_MotorPH_Products_List_2!$B:$B,0))</f>
        <v>6-speed</v>
      </c>
    </row>
    <row r="308" spans="1:17" ht="15.75" x14ac:dyDescent="0.3">
      <c r="A308" s="43">
        <v>45841</v>
      </c>
      <c r="B308" s="44" t="str">
        <f>TEXT(MotorPHSales[[#This Row],[Date]],"mmmm")</f>
        <v>July</v>
      </c>
      <c r="C308" s="44">
        <f>DAY(MotorPHSales[[#This Row],[Date]])</f>
        <v>3</v>
      </c>
      <c r="D308" s="44">
        <f>YEAR(MotorPHSales[[#This Row],[Date]])</f>
        <v>2025</v>
      </c>
      <c r="E308" s="44" t="s">
        <v>196</v>
      </c>
      <c r="F308" s="44" t="s">
        <v>53</v>
      </c>
      <c r="G308" s="45">
        <v>345000</v>
      </c>
      <c r="H308" s="44">
        <v>3</v>
      </c>
      <c r="I308" s="45">
        <v>1035000</v>
      </c>
      <c r="J308" s="44" t="s">
        <v>198</v>
      </c>
      <c r="K308" s="44" t="str">
        <f>INDEX(CLEANED_MotorPH_Products_List_2!C:C,MATCH(MotorPHSales[[#This Row],[Product]],CLEANED_MotorPH_Products_List_2!$B:$B,0))</f>
        <v>Touring</v>
      </c>
      <c r="L308" s="44" t="str">
        <f>INDEX(CLEANED_MotorPH_Products_List_2!E:E,MATCH(MotorPHSales[[#This Row],[Product]],CLEANED_MotorPH_Products_List_2!$B:$B,0))</f>
        <v>Parallel-twin</v>
      </c>
      <c r="M308" s="44" t="str">
        <f>INDEX(CLEANED_MotorPH_Products_List_2!F:F,MATCH(MotorPHSales[[#This Row],[Product]],CLEANED_MotorPH_Products_List_2!$B:$B,0))</f>
        <v>liquid-cooled</v>
      </c>
      <c r="N308" s="44" t="str">
        <f>INDEX(CLEANED_MotorPH_Products_List_2!G:G,MATCH(MotorPHSales[[#This Row],[Product]],CLEANED_MotorPH_Products_List_2!$B:$B,0))</f>
        <v>649cc</v>
      </c>
      <c r="O308" s="44" t="str">
        <f>INDEX(CLEANED_MotorPH_Products_List_2!K:K,MATCH(MotorPHSales[[#This Row],[Product]],CLEANED_MotorPH_Products_List_2!B:B,0))</f>
        <v>Premium</v>
      </c>
      <c r="P308" s="45">
        <f>IF(MotorPHSales[[#This Row],[Segment]]="Entry-level",MotorPHSales[[#This Row],[UnitPrice]]/(1+30%),IF(MotorPHSales[[#This Row],[Segment]]="Mid-range",MotorPHSales[[#This Row],[UnitPrice]]/(1+35%),MotorPHSales[[#This Row],[UnitPrice]]/(1+40%)))*MotorPHSales[[#This Row],[Quantity]]</f>
        <v>739285.71428571432</v>
      </c>
      <c r="Q308" s="44" t="str">
        <f>INDEX(CLEANED_MotorPH_Products_List_2!H:H,MATCH(MotorPHSales[[#This Row],[Product]],CLEANED_MotorPH_Products_List_2!$B:$B,0))</f>
        <v>6-speed</v>
      </c>
    </row>
    <row r="309" spans="1:17" ht="15.75" x14ac:dyDescent="0.3">
      <c r="A309" s="43">
        <v>45856</v>
      </c>
      <c r="B309" s="44" t="str">
        <f>TEXT(MotorPHSales[[#This Row],[Date]],"mmmm")</f>
        <v>July</v>
      </c>
      <c r="C309" s="44">
        <f>DAY(MotorPHSales[[#This Row],[Date]])</f>
        <v>18</v>
      </c>
      <c r="D309" s="44">
        <f>YEAR(MotorPHSales[[#This Row],[Date]])</f>
        <v>2025</v>
      </c>
      <c r="E309" s="44" t="s">
        <v>194</v>
      </c>
      <c r="F309" s="44" t="s">
        <v>82</v>
      </c>
      <c r="G309" s="45">
        <v>199000</v>
      </c>
      <c r="H309" s="44">
        <v>20</v>
      </c>
      <c r="I309" s="45">
        <v>3980000</v>
      </c>
      <c r="J309" s="44" t="s">
        <v>197</v>
      </c>
      <c r="K309" s="44" t="str">
        <f>INDEX(CLEANED_MotorPH_Products_List_2!C:C,MATCH(MotorPHSales[[#This Row],[Product]],CLEANED_MotorPH_Products_List_2!$B:$B,0))</f>
        <v>Dual-sport</v>
      </c>
      <c r="L309" s="44" t="str">
        <f>INDEX(CLEANED_MotorPH_Products_List_2!E:E,MATCH(MotorPHSales[[#This Row],[Product]],CLEANED_MotorPH_Products_List_2!$B:$B,0))</f>
        <v>Single cylinder</v>
      </c>
      <c r="M309" s="44" t="str">
        <f>INDEX(CLEANED_MotorPH_Products_List_2!F:F,MATCH(MotorPHSales[[#This Row],[Product]],CLEANED_MotorPH_Products_List_2!$B:$B,0))</f>
        <v>air-cooled</v>
      </c>
      <c r="N309" s="44" t="str">
        <f>INDEX(CLEANED_MotorPH_Products_List_2!G:G,MATCH(MotorPHSales[[#This Row],[Product]],CLEANED_MotorPH_Products_List_2!$B:$B,0))</f>
        <v>233cc</v>
      </c>
      <c r="O309" s="44" t="str">
        <f>INDEX(CLEANED_MotorPH_Products_List_2!K:K,MATCH(MotorPHSales[[#This Row],[Product]],CLEANED_MotorPH_Products_List_2!B:B,0))</f>
        <v>Mid-range</v>
      </c>
      <c r="P309" s="45">
        <f>IF(MotorPHSales[[#This Row],[Segment]]="Entry-level",MotorPHSales[[#This Row],[UnitPrice]]/(1+30%),IF(MotorPHSales[[#This Row],[Segment]]="Mid-range",MotorPHSales[[#This Row],[UnitPrice]]/(1+35%),MotorPHSales[[#This Row],[UnitPrice]]/(1+40%)))*MotorPHSales[[#This Row],[Quantity]]</f>
        <v>2948148.1481481479</v>
      </c>
      <c r="Q309" s="44" t="str">
        <f>INDEX(CLEANED_MotorPH_Products_List_2!H:H,MATCH(MotorPHSales[[#This Row],[Product]],CLEANED_MotorPH_Products_List_2!$B:$B,0))</f>
        <v>6-speed</v>
      </c>
    </row>
    <row r="310" spans="1:17" ht="15.75" x14ac:dyDescent="0.3">
      <c r="A310" s="43">
        <v>45884</v>
      </c>
      <c r="B310" s="44" t="str">
        <f>TEXT(MotorPHSales[[#This Row],[Date]],"mmmm")</f>
        <v>August</v>
      </c>
      <c r="C310" s="44">
        <f>DAY(MotorPHSales[[#This Row],[Date]])</f>
        <v>15</v>
      </c>
      <c r="D310" s="44">
        <f>YEAR(MotorPHSales[[#This Row],[Date]])</f>
        <v>2025</v>
      </c>
      <c r="E310" s="44" t="s">
        <v>196</v>
      </c>
      <c r="F310" s="44" t="s">
        <v>34</v>
      </c>
      <c r="G310" s="45">
        <v>320000</v>
      </c>
      <c r="H310" s="44">
        <v>27</v>
      </c>
      <c r="I310" s="45">
        <v>8640000</v>
      </c>
      <c r="J310" s="44" t="s">
        <v>195</v>
      </c>
      <c r="K310" s="44" t="str">
        <f>INDEX(CLEANED_MotorPH_Products_List_2!C:C,MATCH(MotorPHSales[[#This Row],[Product]],CLEANED_MotorPH_Products_List_2!$B:$B,0))</f>
        <v>Adventure</v>
      </c>
      <c r="L310" s="44" t="str">
        <f>INDEX(CLEANED_MotorPH_Products_List_2!E:E,MATCH(MotorPHSales[[#This Row],[Product]],CLEANED_MotorPH_Products_List_2!$B:$B,0))</f>
        <v>Single cylinder</v>
      </c>
      <c r="M310" s="44" t="str">
        <f>INDEX(CLEANED_MotorPH_Products_List_2!F:F,MATCH(MotorPHSales[[#This Row],[Product]],CLEANED_MotorPH_Products_List_2!$B:$B,0))</f>
        <v>liquid-cooled</v>
      </c>
      <c r="N310" s="44" t="str">
        <f>INDEX(CLEANED_MotorPH_Products_List_2!G:G,MATCH(MotorPHSales[[#This Row],[Product]],CLEANED_MotorPH_Products_List_2!$B:$B,0))</f>
        <v>313cc</v>
      </c>
      <c r="O310" s="44" t="str">
        <f>INDEX(CLEANED_MotorPH_Products_List_2!K:K,MATCH(MotorPHSales[[#This Row],[Product]],CLEANED_MotorPH_Products_List_2!B:B,0))</f>
        <v>Mid-range</v>
      </c>
      <c r="P310" s="45">
        <f>IF(MotorPHSales[[#This Row],[Segment]]="Entry-level",MotorPHSales[[#This Row],[UnitPrice]]/(1+30%),IF(MotorPHSales[[#This Row],[Segment]]="Mid-range",MotorPHSales[[#This Row],[UnitPrice]]/(1+35%),MotorPHSales[[#This Row],[UnitPrice]]/(1+40%)))*MotorPHSales[[#This Row],[Quantity]]</f>
        <v>6400000</v>
      </c>
      <c r="Q310" s="44" t="str">
        <f>INDEX(CLEANED_MotorPH_Products_List_2!H:H,MATCH(MotorPHSales[[#This Row],[Product]],CLEANED_MotorPH_Products_List_2!$B:$B,0))</f>
        <v>6-speed</v>
      </c>
    </row>
    <row r="311" spans="1:17" ht="15.75" x14ac:dyDescent="0.3">
      <c r="A311" s="43">
        <v>45867</v>
      </c>
      <c r="B311" s="44" t="str">
        <f>TEXT(MotorPHSales[[#This Row],[Date]],"mmmm")</f>
        <v>July</v>
      </c>
      <c r="C311" s="44">
        <f>DAY(MotorPHSales[[#This Row],[Date]])</f>
        <v>29</v>
      </c>
      <c r="D311" s="44">
        <f>YEAR(MotorPHSales[[#This Row],[Date]])</f>
        <v>2025</v>
      </c>
      <c r="E311" s="44" t="s">
        <v>194</v>
      </c>
      <c r="F311" s="44" t="s">
        <v>61</v>
      </c>
      <c r="G311" s="45">
        <v>284900</v>
      </c>
      <c r="H311" s="44">
        <v>2</v>
      </c>
      <c r="I311" s="45">
        <v>569800</v>
      </c>
      <c r="J311" s="44" t="s">
        <v>197</v>
      </c>
      <c r="K311" s="44" t="str">
        <f>INDEX(CLEANED_MotorPH_Products_List_2!C:C,MATCH(MotorPHSales[[#This Row],[Product]],CLEANED_MotorPH_Products_List_2!$B:$B,0))</f>
        <v>Dual-sport</v>
      </c>
      <c r="L311" s="44" t="str">
        <f>INDEX(CLEANED_MotorPH_Products_List_2!E:E,MATCH(MotorPHSales[[#This Row],[Product]],CLEANED_MotorPH_Products_List_2!$B:$B,0))</f>
        <v>Single cylinder</v>
      </c>
      <c r="M311" s="44" t="str">
        <f>INDEX(CLEANED_MotorPH_Products_List_2!F:F,MATCH(MotorPHSales[[#This Row],[Product]],CLEANED_MotorPH_Products_List_2!$B:$B,0))</f>
        <v>liquid-cooled</v>
      </c>
      <c r="N311" s="44" t="str">
        <f>INDEX(CLEANED_MotorPH_Products_List_2!G:G,MATCH(MotorPHSales[[#This Row],[Product]],CLEANED_MotorPH_Products_List_2!$B:$B,0))</f>
        <v>286cc</v>
      </c>
      <c r="O311" s="44" t="str">
        <f>INDEX(CLEANED_MotorPH_Products_List_2!K:K,MATCH(MotorPHSales[[#This Row],[Product]],CLEANED_MotorPH_Products_List_2!B:B,0))</f>
        <v>Mid-range</v>
      </c>
      <c r="P311" s="45">
        <f>IF(MotorPHSales[[#This Row],[Segment]]="Entry-level",MotorPHSales[[#This Row],[UnitPrice]]/(1+30%),IF(MotorPHSales[[#This Row],[Segment]]="Mid-range",MotorPHSales[[#This Row],[UnitPrice]]/(1+35%),MotorPHSales[[#This Row],[UnitPrice]]/(1+40%)))*MotorPHSales[[#This Row],[Quantity]]</f>
        <v>422074.07407407404</v>
      </c>
      <c r="Q311" s="44" t="str">
        <f>INDEX(CLEANED_MotorPH_Products_List_2!H:H,MATCH(MotorPHSales[[#This Row],[Product]],CLEANED_MotorPH_Products_List_2!$B:$B,0))</f>
        <v>6-speed</v>
      </c>
    </row>
    <row r="312" spans="1:17" ht="15.75" x14ac:dyDescent="0.3">
      <c r="A312" s="43">
        <v>45894</v>
      </c>
      <c r="B312" s="44" t="str">
        <f>TEXT(MotorPHSales[[#This Row],[Date]],"mmmm")</f>
        <v>August</v>
      </c>
      <c r="C312" s="44">
        <f>DAY(MotorPHSales[[#This Row],[Date]])</f>
        <v>25</v>
      </c>
      <c r="D312" s="44">
        <f>YEAR(MotorPHSales[[#This Row],[Date]])</f>
        <v>2025</v>
      </c>
      <c r="E312" s="44" t="s">
        <v>194</v>
      </c>
      <c r="F312" s="44" t="s">
        <v>46</v>
      </c>
      <c r="G312" s="45">
        <v>124000</v>
      </c>
      <c r="H312" s="44">
        <v>9</v>
      </c>
      <c r="I312" s="45">
        <v>1116000</v>
      </c>
      <c r="J312" s="44" t="s">
        <v>195</v>
      </c>
      <c r="K312" s="44" t="str">
        <f>INDEX(CLEANED_MotorPH_Products_List_2!C:C,MATCH(MotorPHSales[[#This Row],[Product]],CLEANED_MotorPH_Products_List_2!$B:$B,0))</f>
        <v>Scooter</v>
      </c>
      <c r="L312" s="44" t="str">
        <f>INDEX(CLEANED_MotorPH_Products_List_2!E:E,MATCH(MotorPHSales[[#This Row],[Product]],CLEANED_MotorPH_Products_List_2!$B:$B,0))</f>
        <v>Single cylinder</v>
      </c>
      <c r="M312" s="44" t="str">
        <f>INDEX(CLEANED_MotorPH_Products_List_2!F:F,MATCH(MotorPHSales[[#This Row],[Product]],CLEANED_MotorPH_Products_List_2!$B:$B,0))</f>
        <v>liquid-cooled</v>
      </c>
      <c r="N312" s="44" t="str">
        <f>INDEX(CLEANED_MotorPH_Products_List_2!G:G,MATCH(MotorPHSales[[#This Row],[Product]],CLEANED_MotorPH_Products_List_2!$B:$B,0))</f>
        <v>155cc</v>
      </c>
      <c r="O312" s="44" t="str">
        <f>INDEX(CLEANED_MotorPH_Products_List_2!K:K,MATCH(MotorPHSales[[#This Row],[Product]],CLEANED_MotorPH_Products_List_2!B:B,0))</f>
        <v>Entry-level</v>
      </c>
      <c r="P312" s="45">
        <f>IF(MotorPHSales[[#This Row],[Segment]]="Entry-level",MotorPHSales[[#This Row],[UnitPrice]]/(1+30%),IF(MotorPHSales[[#This Row],[Segment]]="Mid-range",MotorPHSales[[#This Row],[UnitPrice]]/(1+35%),MotorPHSales[[#This Row],[UnitPrice]]/(1+40%)))*MotorPHSales[[#This Row],[Quantity]]</f>
        <v>858461.53846153838</v>
      </c>
      <c r="Q312" s="44" t="str">
        <f>INDEX(CLEANED_MotorPH_Products_List_2!H:H,MATCH(MotorPHSales[[#This Row],[Product]],CLEANED_MotorPH_Products_List_2!$B:$B,0))</f>
        <v>CVT</v>
      </c>
    </row>
    <row r="313" spans="1:17" ht="15.75" x14ac:dyDescent="0.3">
      <c r="A313" s="43">
        <v>45830</v>
      </c>
      <c r="B313" s="44" t="str">
        <f>TEXT(MotorPHSales[[#This Row],[Date]],"mmmm")</f>
        <v>June</v>
      </c>
      <c r="C313" s="44">
        <f>DAY(MotorPHSales[[#This Row],[Date]])</f>
        <v>22</v>
      </c>
      <c r="D313" s="44">
        <f>YEAR(MotorPHSales[[#This Row],[Date]])</f>
        <v>2025</v>
      </c>
      <c r="E313" s="44" t="s">
        <v>194</v>
      </c>
      <c r="F313" s="44" t="s">
        <v>53</v>
      </c>
      <c r="G313" s="45">
        <v>345000</v>
      </c>
      <c r="H313" s="44">
        <v>49</v>
      </c>
      <c r="I313" s="45">
        <v>16905000</v>
      </c>
      <c r="J313" s="44" t="s">
        <v>195</v>
      </c>
      <c r="K313" s="44" t="str">
        <f>INDEX(CLEANED_MotorPH_Products_List_2!C:C,MATCH(MotorPHSales[[#This Row],[Product]],CLEANED_MotorPH_Products_List_2!$B:$B,0))</f>
        <v>Touring</v>
      </c>
      <c r="L313" s="44" t="str">
        <f>INDEX(CLEANED_MotorPH_Products_List_2!E:E,MATCH(MotorPHSales[[#This Row],[Product]],CLEANED_MotorPH_Products_List_2!$B:$B,0))</f>
        <v>Parallel-twin</v>
      </c>
      <c r="M313" s="44" t="str">
        <f>INDEX(CLEANED_MotorPH_Products_List_2!F:F,MATCH(MotorPHSales[[#This Row],[Product]],CLEANED_MotorPH_Products_List_2!$B:$B,0))</f>
        <v>liquid-cooled</v>
      </c>
      <c r="N313" s="44" t="str">
        <f>INDEX(CLEANED_MotorPH_Products_List_2!G:G,MATCH(MotorPHSales[[#This Row],[Product]],CLEANED_MotorPH_Products_List_2!$B:$B,0))</f>
        <v>649cc</v>
      </c>
      <c r="O313" s="44" t="str">
        <f>INDEX(CLEANED_MotorPH_Products_List_2!K:K,MATCH(MotorPHSales[[#This Row],[Product]],CLEANED_MotorPH_Products_List_2!B:B,0))</f>
        <v>Premium</v>
      </c>
      <c r="P313" s="45">
        <f>IF(MotorPHSales[[#This Row],[Segment]]="Entry-level",MotorPHSales[[#This Row],[UnitPrice]]/(1+30%),IF(MotorPHSales[[#This Row],[Segment]]="Mid-range",MotorPHSales[[#This Row],[UnitPrice]]/(1+35%),MotorPHSales[[#This Row],[UnitPrice]]/(1+40%)))*MotorPHSales[[#This Row],[Quantity]]</f>
        <v>12075000.000000002</v>
      </c>
      <c r="Q313" s="44" t="str">
        <f>INDEX(CLEANED_MotorPH_Products_List_2!H:H,MATCH(MotorPHSales[[#This Row],[Product]],CLEANED_MotorPH_Products_List_2!$B:$B,0))</f>
        <v>6-speed</v>
      </c>
    </row>
    <row r="314" spans="1:17" ht="15.75" x14ac:dyDescent="0.3">
      <c r="A314" s="43">
        <v>45838</v>
      </c>
      <c r="B314" s="44" t="str">
        <f>TEXT(MotorPHSales[[#This Row],[Date]],"mmmm")</f>
        <v>June</v>
      </c>
      <c r="C314" s="44">
        <f>DAY(MotorPHSales[[#This Row],[Date]])</f>
        <v>30</v>
      </c>
      <c r="D314" s="44">
        <f>YEAR(MotorPHSales[[#This Row],[Date]])</f>
        <v>2025</v>
      </c>
      <c r="E314" s="44" t="s">
        <v>196</v>
      </c>
      <c r="F314" s="44" t="s">
        <v>63</v>
      </c>
      <c r="G314" s="45">
        <v>48000</v>
      </c>
      <c r="H314" s="44">
        <v>45</v>
      </c>
      <c r="I314" s="45">
        <v>2160000</v>
      </c>
      <c r="J314" s="44" t="s">
        <v>197</v>
      </c>
      <c r="K314" s="44" t="str">
        <f>INDEX(CLEANED_MotorPH_Products_List_2!C:C,MATCH(MotorPHSales[[#This Row],[Product]],CLEANED_MotorPH_Products_List_2!$B:$B,0))</f>
        <v>Commuter</v>
      </c>
      <c r="L314" s="44" t="str">
        <f>INDEX(CLEANED_MotorPH_Products_List_2!E:E,MATCH(MotorPHSales[[#This Row],[Product]],CLEANED_MotorPH_Products_List_2!$B:$B,0))</f>
        <v>Single cylinder</v>
      </c>
      <c r="M314" s="44" t="str">
        <f>INDEX(CLEANED_MotorPH_Products_List_2!F:F,MATCH(MotorPHSales[[#This Row],[Product]],CLEANED_MotorPH_Products_List_2!$B:$B,0))</f>
        <v>air-cooled</v>
      </c>
      <c r="N314" s="44" t="str">
        <f>INDEX(CLEANED_MotorPH_Products_List_2!G:G,MATCH(MotorPHSales[[#This Row],[Product]],CLEANED_MotorPH_Products_List_2!$B:$B,0))</f>
        <v>125cc</v>
      </c>
      <c r="O314" s="44" t="str">
        <f>INDEX(CLEANED_MotorPH_Products_List_2!K:K,MATCH(MotorPHSales[[#This Row],[Product]],CLEANED_MotorPH_Products_List_2!B:B,0))</f>
        <v>Entry-level</v>
      </c>
      <c r="P314" s="45">
        <f>IF(MotorPHSales[[#This Row],[Segment]]="Entry-level",MotorPHSales[[#This Row],[UnitPrice]]/(1+30%),IF(MotorPHSales[[#This Row],[Segment]]="Mid-range",MotorPHSales[[#This Row],[UnitPrice]]/(1+35%),MotorPHSales[[#This Row],[UnitPrice]]/(1+40%)))*MotorPHSales[[#This Row],[Quantity]]</f>
        <v>1661538.4615384615</v>
      </c>
      <c r="Q314" s="44" t="str">
        <f>INDEX(CLEANED_MotorPH_Products_List_2!H:H,MATCH(MotorPHSales[[#This Row],[Product]],CLEANED_MotorPH_Products_List_2!$B:$B,0))</f>
        <v>4-speed</v>
      </c>
    </row>
    <row r="315" spans="1:17" ht="15.75" x14ac:dyDescent="0.3">
      <c r="A315" s="43">
        <v>45846</v>
      </c>
      <c r="B315" s="44" t="str">
        <f>TEXT(MotorPHSales[[#This Row],[Date]],"mmmm")</f>
        <v>July</v>
      </c>
      <c r="C315" s="44">
        <f>DAY(MotorPHSales[[#This Row],[Date]])</f>
        <v>8</v>
      </c>
      <c r="D315" s="44">
        <f>YEAR(MotorPHSales[[#This Row],[Date]])</f>
        <v>2025</v>
      </c>
      <c r="E315" s="44" t="s">
        <v>196</v>
      </c>
      <c r="F315" s="44" t="s">
        <v>49</v>
      </c>
      <c r="G315" s="45">
        <v>68900</v>
      </c>
      <c r="H315" s="44">
        <v>15</v>
      </c>
      <c r="I315" s="45">
        <v>1033500</v>
      </c>
      <c r="J315" s="44" t="s">
        <v>198</v>
      </c>
      <c r="K315" s="44" t="str">
        <f>INDEX(CLEANED_MotorPH_Products_List_2!C:C,MATCH(MotorPHSales[[#This Row],[Product]],CLEANED_MotorPH_Products_List_2!$B:$B,0))</f>
        <v>Standard</v>
      </c>
      <c r="L315" s="44" t="str">
        <f>INDEX(CLEANED_MotorPH_Products_List_2!E:E,MATCH(MotorPHSales[[#This Row],[Product]],CLEANED_MotorPH_Products_List_2!$B:$B,0))</f>
        <v>Single cylinder</v>
      </c>
      <c r="M315" s="44" t="str">
        <f>INDEX(CLEANED_MotorPH_Products_List_2!F:F,MATCH(MotorPHSales[[#This Row],[Product]],CLEANED_MotorPH_Products_List_2!$B:$B,0))</f>
        <v>air-cooled</v>
      </c>
      <c r="N315" s="44" t="str">
        <f>INDEX(CLEANED_MotorPH_Products_List_2!G:G,MATCH(MotorPHSales[[#This Row],[Product]],CLEANED_MotorPH_Products_List_2!$B:$B,0))</f>
        <v>149cc</v>
      </c>
      <c r="O315" s="44" t="str">
        <f>INDEX(CLEANED_MotorPH_Products_List_2!K:K,MATCH(MotorPHSales[[#This Row],[Product]],CLEANED_MotorPH_Products_List_2!B:B,0))</f>
        <v>Entry-level</v>
      </c>
      <c r="P315" s="45">
        <f>IF(MotorPHSales[[#This Row],[Segment]]="Entry-level",MotorPHSales[[#This Row],[UnitPrice]]/(1+30%),IF(MotorPHSales[[#This Row],[Segment]]="Mid-range",MotorPHSales[[#This Row],[UnitPrice]]/(1+35%),MotorPHSales[[#This Row],[UnitPrice]]/(1+40%)))*MotorPHSales[[#This Row],[Quantity]]</f>
        <v>795000</v>
      </c>
      <c r="Q315" s="44" t="str">
        <f>INDEX(CLEANED_MotorPH_Products_List_2!H:H,MATCH(MotorPHSales[[#This Row],[Product]],CLEANED_MotorPH_Products_List_2!$B:$B,0))</f>
        <v>5-speed</v>
      </c>
    </row>
    <row r="316" spans="1:17" ht="15.75" x14ac:dyDescent="0.3">
      <c r="A316" s="43">
        <v>45859</v>
      </c>
      <c r="B316" s="44" t="str">
        <f>TEXT(MotorPHSales[[#This Row],[Date]],"mmmm")</f>
        <v>July</v>
      </c>
      <c r="C316" s="44">
        <f>DAY(MotorPHSales[[#This Row],[Date]])</f>
        <v>21</v>
      </c>
      <c r="D316" s="44">
        <f>YEAR(MotorPHSales[[#This Row],[Date]])</f>
        <v>2025</v>
      </c>
      <c r="E316" s="44" t="s">
        <v>196</v>
      </c>
      <c r="F316" s="44" t="s">
        <v>92</v>
      </c>
      <c r="G316" s="45">
        <v>289000</v>
      </c>
      <c r="H316" s="44">
        <v>2</v>
      </c>
      <c r="I316" s="45">
        <v>578000</v>
      </c>
      <c r="J316" s="44" t="s">
        <v>198</v>
      </c>
      <c r="K316" s="44" t="str">
        <f>INDEX(CLEANED_MotorPH_Products_List_2!C:C,MATCH(MotorPHSales[[#This Row],[Product]],CLEANED_MotorPH_Products_List_2!$B:$B,0))</f>
        <v>Scooter</v>
      </c>
      <c r="L316" s="44" t="str">
        <f>INDEX(CLEANED_MotorPH_Products_List_2!E:E,MATCH(MotorPHSales[[#This Row],[Product]],CLEANED_MotorPH_Products_List_2!$B:$B,0))</f>
        <v>Single cylinder</v>
      </c>
      <c r="M316" s="44" t="str">
        <f>INDEX(CLEANED_MotorPH_Products_List_2!F:F,MATCH(MotorPHSales[[#This Row],[Product]],CLEANED_MotorPH_Products_List_2!$B:$B,0))</f>
        <v>liquid-cooled</v>
      </c>
      <c r="N316" s="44" t="str">
        <f>INDEX(CLEANED_MotorPH_Products_List_2!G:G,MATCH(MotorPHSales[[#This Row],[Product]],CLEANED_MotorPH_Products_List_2!$B:$B,0))</f>
        <v>181cc</v>
      </c>
      <c r="O316" s="44" t="str">
        <f>INDEX(CLEANED_MotorPH_Products_List_2!K:K,MATCH(MotorPHSales[[#This Row],[Product]],CLEANED_MotorPH_Products_List_2!B:B,0))</f>
        <v>Entry-level</v>
      </c>
      <c r="P316" s="45">
        <f>IF(MotorPHSales[[#This Row],[Segment]]="Entry-level",MotorPHSales[[#This Row],[UnitPrice]]/(1+30%),IF(MotorPHSales[[#This Row],[Segment]]="Mid-range",MotorPHSales[[#This Row],[UnitPrice]]/(1+35%),MotorPHSales[[#This Row],[UnitPrice]]/(1+40%)))*MotorPHSales[[#This Row],[Quantity]]</f>
        <v>444615.38461538462</v>
      </c>
      <c r="Q316" s="44" t="str">
        <f>INDEX(CLEANED_MotorPH_Products_List_2!H:H,MATCH(MotorPHSales[[#This Row],[Product]],CLEANED_MotorPH_Products_List_2!$B:$B,0))</f>
        <v>CVT</v>
      </c>
    </row>
    <row r="317" spans="1:17" ht="15.75" x14ac:dyDescent="0.3">
      <c r="A317" s="43">
        <v>45862</v>
      </c>
      <c r="B317" s="44" t="str">
        <f>TEXT(MotorPHSales[[#This Row],[Date]],"mmmm")</f>
        <v>July</v>
      </c>
      <c r="C317" s="44">
        <f>DAY(MotorPHSales[[#This Row],[Date]])</f>
        <v>24</v>
      </c>
      <c r="D317" s="44">
        <f>YEAR(MotorPHSales[[#This Row],[Date]])</f>
        <v>2025</v>
      </c>
      <c r="E317" s="44" t="s">
        <v>194</v>
      </c>
      <c r="F317" s="44" t="s">
        <v>12</v>
      </c>
      <c r="G317" s="45">
        <v>119900</v>
      </c>
      <c r="H317" s="44">
        <v>9</v>
      </c>
      <c r="I317" s="45">
        <v>1079100</v>
      </c>
      <c r="J317" s="44" t="s">
        <v>198</v>
      </c>
      <c r="K317" s="44" t="str">
        <f>INDEX(CLEANED_MotorPH_Products_List_2!C:C,MATCH(MotorPHSales[[#This Row],[Product]],CLEANED_MotorPH_Products_List_2!$B:$B,0))</f>
        <v>Underbone</v>
      </c>
      <c r="L317" s="44" t="str">
        <f>INDEX(CLEANED_MotorPH_Products_List_2!E:E,MATCH(MotorPHSales[[#This Row],[Product]],CLEANED_MotorPH_Products_List_2!$B:$B,0))</f>
        <v>Single cylinder</v>
      </c>
      <c r="M317" s="44" t="str">
        <f>INDEX(CLEANED_MotorPH_Products_List_2!F:F,MATCH(MotorPHSales[[#This Row],[Product]],CLEANED_MotorPH_Products_List_2!$B:$B,0))</f>
        <v>liquid-cooled</v>
      </c>
      <c r="N317" s="44" t="str">
        <f>INDEX(CLEANED_MotorPH_Products_List_2!G:G,MATCH(MotorPHSales[[#This Row],[Product]],CLEANED_MotorPH_Products_List_2!$B:$B,0))</f>
        <v>150cc</v>
      </c>
      <c r="O317" s="44" t="str">
        <f>INDEX(CLEANED_MotorPH_Products_List_2!K:K,MATCH(MotorPHSales[[#This Row],[Product]],CLEANED_MotorPH_Products_List_2!B:B,0))</f>
        <v>Entry-level</v>
      </c>
      <c r="P317" s="45">
        <f>IF(MotorPHSales[[#This Row],[Segment]]="Entry-level",MotorPHSales[[#This Row],[UnitPrice]]/(1+30%),IF(MotorPHSales[[#This Row],[Segment]]="Mid-range",MotorPHSales[[#This Row],[UnitPrice]]/(1+35%),MotorPHSales[[#This Row],[UnitPrice]]/(1+40%)))*MotorPHSales[[#This Row],[Quantity]]</f>
        <v>830076.92307692312</v>
      </c>
      <c r="Q317" s="44" t="str">
        <f>INDEX(CLEANED_MotorPH_Products_List_2!H:H,MATCH(MotorPHSales[[#This Row],[Product]],CLEANED_MotorPH_Products_List_2!$B:$B,0))</f>
        <v>6-speed</v>
      </c>
    </row>
    <row r="318" spans="1:17" ht="15.75" x14ac:dyDescent="0.3">
      <c r="A318" s="43">
        <v>45816</v>
      </c>
      <c r="B318" s="44" t="str">
        <f>TEXT(MotorPHSales[[#This Row],[Date]],"mmmm")</f>
        <v>June</v>
      </c>
      <c r="C318" s="44">
        <f>DAY(MotorPHSales[[#This Row],[Date]])</f>
        <v>8</v>
      </c>
      <c r="D318" s="44">
        <f>YEAR(MotorPHSales[[#This Row],[Date]])</f>
        <v>2025</v>
      </c>
      <c r="E318" s="44" t="s">
        <v>196</v>
      </c>
      <c r="F318" s="44" t="s">
        <v>14</v>
      </c>
      <c r="G318" s="45">
        <v>250000</v>
      </c>
      <c r="H318" s="44">
        <v>1</v>
      </c>
      <c r="I318" s="45">
        <v>250000</v>
      </c>
      <c r="J318" s="44" t="s">
        <v>198</v>
      </c>
      <c r="K318" s="44" t="str">
        <f>INDEX(CLEANED_MotorPH_Products_List_2!C:C,MATCH(MotorPHSales[[#This Row],[Product]],CLEANED_MotorPH_Products_List_2!$B:$B,0))</f>
        <v>Classic</v>
      </c>
      <c r="L318" s="44" t="str">
        <f>INDEX(CLEANED_MotorPH_Products_List_2!E:E,MATCH(MotorPHSales[[#This Row],[Product]],CLEANED_MotorPH_Products_List_2!$B:$B,0))</f>
        <v>Single cylinder</v>
      </c>
      <c r="M318" s="44" t="str">
        <f>INDEX(CLEANED_MotorPH_Products_List_2!F:F,MATCH(MotorPHSales[[#This Row],[Product]],CLEANED_MotorPH_Products_List_2!$B:$B,0))</f>
        <v>air-cooled</v>
      </c>
      <c r="N318" s="44" t="str">
        <f>INDEX(CLEANED_MotorPH_Products_List_2!G:G,MATCH(MotorPHSales[[#This Row],[Product]],CLEANED_MotorPH_Products_List_2!$B:$B,0))</f>
        <v>349cc</v>
      </c>
      <c r="O318" s="44" t="str">
        <f>INDEX(CLEANED_MotorPH_Products_List_2!K:K,MATCH(MotorPHSales[[#This Row],[Product]],CLEANED_MotorPH_Products_List_2!B:B,0))</f>
        <v>Mid-range</v>
      </c>
      <c r="P318" s="45">
        <f>IF(MotorPHSales[[#This Row],[Segment]]="Entry-level",MotorPHSales[[#This Row],[UnitPrice]]/(1+30%),IF(MotorPHSales[[#This Row],[Segment]]="Mid-range",MotorPHSales[[#This Row],[UnitPrice]]/(1+35%),MotorPHSales[[#This Row],[UnitPrice]]/(1+40%)))*MotorPHSales[[#This Row],[Quantity]]</f>
        <v>185185.18518518517</v>
      </c>
      <c r="Q318" s="44" t="str">
        <f>INDEX(CLEANED_MotorPH_Products_List_2!H:H,MATCH(MotorPHSales[[#This Row],[Product]],CLEANED_MotorPH_Products_List_2!$B:$B,0))</f>
        <v>5-speed</v>
      </c>
    </row>
    <row r="319" spans="1:17" ht="15.75" x14ac:dyDescent="0.3">
      <c r="A319" s="43">
        <v>45835</v>
      </c>
      <c r="B319" s="44" t="str">
        <f>TEXT(MotorPHSales[[#This Row],[Date]],"mmmm")</f>
        <v>June</v>
      </c>
      <c r="C319" s="44">
        <f>DAY(MotorPHSales[[#This Row],[Date]])</f>
        <v>27</v>
      </c>
      <c r="D319" s="44">
        <f>YEAR(MotorPHSales[[#This Row],[Date]])</f>
        <v>2025</v>
      </c>
      <c r="E319" s="44" t="s">
        <v>194</v>
      </c>
      <c r="F319" s="44" t="s">
        <v>10</v>
      </c>
      <c r="G319" s="45">
        <v>340000</v>
      </c>
      <c r="H319" s="44">
        <v>2</v>
      </c>
      <c r="I319" s="45">
        <v>680000</v>
      </c>
      <c r="J319" s="44" t="s">
        <v>197</v>
      </c>
      <c r="K319" s="44" t="str">
        <f>INDEX(CLEANED_MotorPH_Products_List_2!C:C,MATCH(MotorPHSales[[#This Row],[Product]],CLEANED_MotorPH_Products_List_2!$B:$B,0))</f>
        <v>Sport</v>
      </c>
      <c r="L319" s="44" t="str">
        <f>INDEX(CLEANED_MotorPH_Products_List_2!E:E,MATCH(MotorPHSales[[#This Row],[Product]],CLEANED_MotorPH_Products_List_2!$B:$B,0))</f>
        <v>Parallel-twin</v>
      </c>
      <c r="M319" s="44" t="str">
        <f>INDEX(CLEANED_MotorPH_Products_List_2!F:F,MATCH(MotorPHSales[[#This Row],[Product]],CLEANED_MotorPH_Products_List_2!$B:$B,0))</f>
        <v>liquid-cooled</v>
      </c>
      <c r="N319" s="44" t="str">
        <f>INDEX(CLEANED_MotorPH_Products_List_2!G:G,MATCH(MotorPHSales[[#This Row],[Product]],CLEANED_MotorPH_Products_List_2!$B:$B,0))</f>
        <v>399cc</v>
      </c>
      <c r="O319" s="44" t="str">
        <f>INDEX(CLEANED_MotorPH_Products_List_2!K:K,MATCH(MotorPHSales[[#This Row],[Product]],CLEANED_MotorPH_Products_List_2!B:B,0))</f>
        <v>Mid-range</v>
      </c>
      <c r="P319" s="45">
        <f>IF(MotorPHSales[[#This Row],[Segment]]="Entry-level",MotorPHSales[[#This Row],[UnitPrice]]/(1+30%),IF(MotorPHSales[[#This Row],[Segment]]="Mid-range",MotorPHSales[[#This Row],[UnitPrice]]/(1+35%),MotorPHSales[[#This Row],[UnitPrice]]/(1+40%)))*MotorPHSales[[#This Row],[Quantity]]</f>
        <v>503703.70370370365</v>
      </c>
      <c r="Q319" s="44" t="str">
        <f>INDEX(CLEANED_MotorPH_Products_List_2!H:H,MATCH(MotorPHSales[[#This Row],[Product]],CLEANED_MotorPH_Products_List_2!$B:$B,0))</f>
        <v>6-speed</v>
      </c>
    </row>
    <row r="320" spans="1:17" ht="15.75" x14ac:dyDescent="0.3">
      <c r="A320" s="43">
        <v>45835</v>
      </c>
      <c r="B320" s="44" t="str">
        <f>TEXT(MotorPHSales[[#This Row],[Date]],"mmmm")</f>
        <v>June</v>
      </c>
      <c r="C320" s="44">
        <f>DAY(MotorPHSales[[#This Row],[Date]])</f>
        <v>27</v>
      </c>
      <c r="D320" s="44">
        <f>YEAR(MotorPHSales[[#This Row],[Date]])</f>
        <v>2025</v>
      </c>
      <c r="E320" s="44" t="s">
        <v>194</v>
      </c>
      <c r="F320" s="44" t="s">
        <v>20</v>
      </c>
      <c r="G320" s="45">
        <v>178000</v>
      </c>
      <c r="H320" s="44">
        <v>14</v>
      </c>
      <c r="I320" s="45">
        <v>2492000</v>
      </c>
      <c r="J320" s="44" t="s">
        <v>195</v>
      </c>
      <c r="K320" s="44" t="str">
        <f>INDEX(CLEANED_MotorPH_Products_List_2!C:C,MATCH(MotorPHSales[[#This Row],[Product]],CLEANED_MotorPH_Products_List_2!$B:$B,0))</f>
        <v>Naked bike</v>
      </c>
      <c r="L320" s="44" t="str">
        <f>INDEX(CLEANED_MotorPH_Products_List_2!E:E,MATCH(MotorPHSales[[#This Row],[Product]],CLEANED_MotorPH_Products_List_2!$B:$B,0))</f>
        <v>Single cylinder</v>
      </c>
      <c r="M320" s="44" t="str">
        <f>INDEX(CLEANED_MotorPH_Products_List_2!F:F,MATCH(MotorPHSales[[#This Row],[Product]],CLEANED_MotorPH_Products_List_2!$B:$B,0))</f>
        <v>liquid-cooled</v>
      </c>
      <c r="N320" s="44" t="str">
        <f>INDEX(CLEANED_MotorPH_Products_List_2!G:G,MATCH(MotorPHSales[[#This Row],[Product]],CLEANED_MotorPH_Products_List_2!$B:$B,0))</f>
        <v>199cc</v>
      </c>
      <c r="O320" s="44" t="str">
        <f>INDEX(CLEANED_MotorPH_Products_List_2!K:K,MATCH(MotorPHSales[[#This Row],[Product]],CLEANED_MotorPH_Products_List_2!B:B,0))</f>
        <v>Entry-level</v>
      </c>
      <c r="P320" s="45">
        <f>IF(MotorPHSales[[#This Row],[Segment]]="Entry-level",MotorPHSales[[#This Row],[UnitPrice]]/(1+30%),IF(MotorPHSales[[#This Row],[Segment]]="Mid-range",MotorPHSales[[#This Row],[UnitPrice]]/(1+35%),MotorPHSales[[#This Row],[UnitPrice]]/(1+40%)))*MotorPHSales[[#This Row],[Quantity]]</f>
        <v>1916923.0769230768</v>
      </c>
      <c r="Q320" s="44" t="str">
        <f>INDEX(CLEANED_MotorPH_Products_List_2!H:H,MATCH(MotorPHSales[[#This Row],[Product]],CLEANED_MotorPH_Products_List_2!$B:$B,0))</f>
        <v>6-speed</v>
      </c>
    </row>
    <row r="321" spans="1:17" ht="15.75" x14ac:dyDescent="0.3">
      <c r="A321" s="43">
        <v>45829</v>
      </c>
      <c r="B321" s="44" t="str">
        <f>TEXT(MotorPHSales[[#This Row],[Date]],"mmmm")</f>
        <v>June</v>
      </c>
      <c r="C321" s="44">
        <f>DAY(MotorPHSales[[#This Row],[Date]])</f>
        <v>21</v>
      </c>
      <c r="D321" s="44">
        <f>YEAR(MotorPHSales[[#This Row],[Date]])</f>
        <v>2025</v>
      </c>
      <c r="E321" s="44" t="s">
        <v>194</v>
      </c>
      <c r="F321" s="44" t="s">
        <v>59</v>
      </c>
      <c r="G321" s="45">
        <v>67900</v>
      </c>
      <c r="H321" s="44">
        <v>20</v>
      </c>
      <c r="I321" s="45">
        <v>1358000</v>
      </c>
      <c r="J321" s="44" t="s">
        <v>197</v>
      </c>
      <c r="K321" s="44" t="str">
        <f>INDEX(CLEANED_MotorPH_Products_List_2!C:C,MATCH(MotorPHSales[[#This Row],[Product]],CLEANED_MotorPH_Products_List_2!$B:$B,0))</f>
        <v>Commuter</v>
      </c>
      <c r="L321" s="44" t="str">
        <f>INDEX(CLEANED_MotorPH_Products_List_2!E:E,MATCH(MotorPHSales[[#This Row],[Product]],CLEANED_MotorPH_Products_List_2!$B:$B,0))</f>
        <v>Single cylinder</v>
      </c>
      <c r="M321" s="44" t="str">
        <f>INDEX(CLEANED_MotorPH_Products_List_2!F:F,MATCH(MotorPHSales[[#This Row],[Product]],CLEANED_MotorPH_Products_List_2!$B:$B,0))</f>
        <v>air-cooled</v>
      </c>
      <c r="N321" s="44" t="str">
        <f>INDEX(CLEANED_MotorPH_Products_List_2!G:G,MATCH(MotorPHSales[[#This Row],[Product]],CLEANED_MotorPH_Products_List_2!$B:$B,0))</f>
        <v>125cc</v>
      </c>
      <c r="O321" s="44" t="str">
        <f>INDEX(CLEANED_MotorPH_Products_List_2!K:K,MATCH(MotorPHSales[[#This Row],[Product]],CLEANED_MotorPH_Products_List_2!B:B,0))</f>
        <v>Entry-level</v>
      </c>
      <c r="P321" s="45">
        <f>IF(MotorPHSales[[#This Row],[Segment]]="Entry-level",MotorPHSales[[#This Row],[UnitPrice]]/(1+30%),IF(MotorPHSales[[#This Row],[Segment]]="Mid-range",MotorPHSales[[#This Row],[UnitPrice]]/(1+35%),MotorPHSales[[#This Row],[UnitPrice]]/(1+40%)))*MotorPHSales[[#This Row],[Quantity]]</f>
        <v>1044615.3846153845</v>
      </c>
      <c r="Q321" s="44" t="str">
        <f>INDEX(CLEANED_MotorPH_Products_List_2!H:H,MATCH(MotorPHSales[[#This Row],[Product]],CLEANED_MotorPH_Products_List_2!$B:$B,0))</f>
        <v>4-speed</v>
      </c>
    </row>
    <row r="322" spans="1:17" ht="15.75" x14ac:dyDescent="0.3">
      <c r="A322" s="43">
        <v>45838</v>
      </c>
      <c r="B322" s="44" t="str">
        <f>TEXT(MotorPHSales[[#This Row],[Date]],"mmmm")</f>
        <v>June</v>
      </c>
      <c r="C322" s="44">
        <f>DAY(MotorPHSales[[#This Row],[Date]])</f>
        <v>30</v>
      </c>
      <c r="D322" s="44">
        <f>YEAR(MotorPHSales[[#This Row],[Date]])</f>
        <v>2025</v>
      </c>
      <c r="E322" s="44" t="s">
        <v>194</v>
      </c>
      <c r="F322" s="44" t="s">
        <v>86</v>
      </c>
      <c r="G322" s="45">
        <v>650000</v>
      </c>
      <c r="H322" s="44">
        <v>38</v>
      </c>
      <c r="I322" s="45">
        <v>24700000</v>
      </c>
      <c r="J322" s="44" t="s">
        <v>198</v>
      </c>
      <c r="K322" s="44" t="str">
        <f>INDEX(CLEANED_MotorPH_Products_List_2!C:C,MATCH(MotorPHSales[[#This Row],[Product]],CLEANED_MotorPH_Products_List_2!$B:$B,0))</f>
        <v>Cruiser</v>
      </c>
      <c r="L322" s="44" t="str">
        <f>INDEX(CLEANED_MotorPH_Products_List_2!E:E,MATCH(MotorPHSales[[#This Row],[Product]],CLEANED_MotorPH_Products_List_2!$B:$B,0))</f>
        <v>Parallel-twin</v>
      </c>
      <c r="M322" s="44" t="str">
        <f>INDEX(CLEANED_MotorPH_Products_List_2!F:F,MATCH(MotorPHSales[[#This Row],[Product]],CLEANED_MotorPH_Products_List_2!$B:$B,0))</f>
        <v>liquid-cooled</v>
      </c>
      <c r="N322" s="44" t="str">
        <f>INDEX(CLEANED_MotorPH_Products_List_2!G:G,MATCH(MotorPHSales[[#This Row],[Product]],CLEANED_MotorPH_Products_List_2!$B:$B,0))</f>
        <v>1084cc</v>
      </c>
      <c r="O322" s="44" t="str">
        <f>INDEX(CLEANED_MotorPH_Products_List_2!K:K,MATCH(MotorPHSales[[#This Row],[Product]],CLEANED_MotorPH_Products_List_2!B:B,0))</f>
        <v>Premium</v>
      </c>
      <c r="P322" s="45">
        <f>IF(MotorPHSales[[#This Row],[Segment]]="Entry-level",MotorPHSales[[#This Row],[UnitPrice]]/(1+30%),IF(MotorPHSales[[#This Row],[Segment]]="Mid-range",MotorPHSales[[#This Row],[UnitPrice]]/(1+35%),MotorPHSales[[#This Row],[UnitPrice]]/(1+40%)))*MotorPHSales[[#This Row],[Quantity]]</f>
        <v>17642857.142857146</v>
      </c>
      <c r="Q322" s="44" t="str">
        <f>INDEX(CLEANED_MotorPH_Products_List_2!H:H,MATCH(MotorPHSales[[#This Row],[Product]],CLEANED_MotorPH_Products_List_2!$B:$B,0))</f>
        <v>6-speed</v>
      </c>
    </row>
    <row r="323" spans="1:17" ht="15.75" x14ac:dyDescent="0.3">
      <c r="A323" s="43">
        <v>45836</v>
      </c>
      <c r="B323" s="44" t="str">
        <f>TEXT(MotorPHSales[[#This Row],[Date]],"mmmm")</f>
        <v>June</v>
      </c>
      <c r="C323" s="44">
        <f>DAY(MotorPHSales[[#This Row],[Date]])</f>
        <v>28</v>
      </c>
      <c r="D323" s="44">
        <f>YEAR(MotorPHSales[[#This Row],[Date]])</f>
        <v>2025</v>
      </c>
      <c r="E323" s="44" t="s">
        <v>194</v>
      </c>
      <c r="F323" s="44" t="s">
        <v>40</v>
      </c>
      <c r="G323" s="45">
        <v>210000</v>
      </c>
      <c r="H323" s="44">
        <v>46</v>
      </c>
      <c r="I323" s="45">
        <v>9660000</v>
      </c>
      <c r="J323" s="44" t="s">
        <v>197</v>
      </c>
      <c r="K323" s="44" t="str">
        <f>INDEX(CLEANED_MotorPH_Products_List_2!C:C,MATCH(MotorPHSales[[#This Row],[Product]],CLEANED_MotorPH_Products_List_2!$B:$B,0))</f>
        <v>Scooter</v>
      </c>
      <c r="L323" s="44" t="str">
        <f>INDEX(CLEANED_MotorPH_Products_List_2!E:E,MATCH(MotorPHSales[[#This Row],[Product]],CLEANED_MotorPH_Products_List_2!$B:$B,0))</f>
        <v>Single cylinder</v>
      </c>
      <c r="M323" s="44" t="str">
        <f>INDEX(CLEANED_MotorPH_Products_List_2!F:F,MATCH(MotorPHSales[[#This Row],[Product]],CLEANED_MotorPH_Products_List_2!$B:$B,0))</f>
        <v>air-cooled</v>
      </c>
      <c r="N323" s="44" t="str">
        <f>INDEX(CLEANED_MotorPH_Products_List_2!G:G,MATCH(MotorPHSales[[#This Row],[Product]],CLEANED_MotorPH_Products_List_2!$B:$B,0))</f>
        <v>150cc</v>
      </c>
      <c r="O323" s="44" t="str">
        <f>INDEX(CLEANED_MotorPH_Products_List_2!K:K,MATCH(MotorPHSales[[#This Row],[Product]],CLEANED_MotorPH_Products_List_2!B:B,0))</f>
        <v>Entry-level</v>
      </c>
      <c r="P323" s="45">
        <f>IF(MotorPHSales[[#This Row],[Segment]]="Entry-level",MotorPHSales[[#This Row],[UnitPrice]]/(1+30%),IF(MotorPHSales[[#This Row],[Segment]]="Mid-range",MotorPHSales[[#This Row],[UnitPrice]]/(1+35%),MotorPHSales[[#This Row],[UnitPrice]]/(1+40%)))*MotorPHSales[[#This Row],[Quantity]]</f>
        <v>7430769.2307692301</v>
      </c>
      <c r="Q323" s="44" t="str">
        <f>INDEX(CLEANED_MotorPH_Products_List_2!H:H,MATCH(MotorPHSales[[#This Row],[Product]],CLEANED_MotorPH_Products_List_2!$B:$B,0))</f>
        <v>CVT</v>
      </c>
    </row>
    <row r="324" spans="1:17" ht="15.75" x14ac:dyDescent="0.3">
      <c r="A324" s="43">
        <v>45872</v>
      </c>
      <c r="B324" s="44" t="str">
        <f>TEXT(MotorPHSales[[#This Row],[Date]],"mmmm")</f>
        <v>August</v>
      </c>
      <c r="C324" s="44">
        <f>DAY(MotorPHSales[[#This Row],[Date]])</f>
        <v>3</v>
      </c>
      <c r="D324" s="44">
        <f>YEAR(MotorPHSales[[#This Row],[Date]])</f>
        <v>2025</v>
      </c>
      <c r="E324" s="44" t="s">
        <v>194</v>
      </c>
      <c r="F324" s="44" t="s">
        <v>49</v>
      </c>
      <c r="G324" s="45">
        <v>68900</v>
      </c>
      <c r="H324" s="44">
        <v>16</v>
      </c>
      <c r="I324" s="45">
        <v>1102400</v>
      </c>
      <c r="J324" s="44" t="s">
        <v>197</v>
      </c>
      <c r="K324" s="44" t="str">
        <f>INDEX(CLEANED_MotorPH_Products_List_2!C:C,MATCH(MotorPHSales[[#This Row],[Product]],CLEANED_MotorPH_Products_List_2!$B:$B,0))</f>
        <v>Standard</v>
      </c>
      <c r="L324" s="44" t="str">
        <f>INDEX(CLEANED_MotorPH_Products_List_2!E:E,MATCH(MotorPHSales[[#This Row],[Product]],CLEANED_MotorPH_Products_List_2!$B:$B,0))</f>
        <v>Single cylinder</v>
      </c>
      <c r="M324" s="44" t="str">
        <f>INDEX(CLEANED_MotorPH_Products_List_2!F:F,MATCH(MotorPHSales[[#This Row],[Product]],CLEANED_MotorPH_Products_List_2!$B:$B,0))</f>
        <v>air-cooled</v>
      </c>
      <c r="N324" s="44" t="str">
        <f>INDEX(CLEANED_MotorPH_Products_List_2!G:G,MATCH(MotorPHSales[[#This Row],[Product]],CLEANED_MotorPH_Products_List_2!$B:$B,0))</f>
        <v>149cc</v>
      </c>
      <c r="O324" s="44" t="str">
        <f>INDEX(CLEANED_MotorPH_Products_List_2!K:K,MATCH(MotorPHSales[[#This Row],[Product]],CLEANED_MotorPH_Products_List_2!B:B,0))</f>
        <v>Entry-level</v>
      </c>
      <c r="P324" s="45">
        <f>IF(MotorPHSales[[#This Row],[Segment]]="Entry-level",MotorPHSales[[#This Row],[UnitPrice]]/(1+30%),IF(MotorPHSales[[#This Row],[Segment]]="Mid-range",MotorPHSales[[#This Row],[UnitPrice]]/(1+35%),MotorPHSales[[#This Row],[UnitPrice]]/(1+40%)))*MotorPHSales[[#This Row],[Quantity]]</f>
        <v>848000</v>
      </c>
      <c r="Q324" s="44" t="str">
        <f>INDEX(CLEANED_MotorPH_Products_List_2!H:H,MATCH(MotorPHSales[[#This Row],[Product]],CLEANED_MotorPH_Products_List_2!$B:$B,0))</f>
        <v>5-speed</v>
      </c>
    </row>
    <row r="325" spans="1:17" ht="15.75" x14ac:dyDescent="0.3">
      <c r="A325" s="43">
        <v>45868</v>
      </c>
      <c r="B325" s="44" t="str">
        <f>TEXT(MotorPHSales[[#This Row],[Date]],"mmmm")</f>
        <v>July</v>
      </c>
      <c r="C325" s="44">
        <f>DAY(MotorPHSales[[#This Row],[Date]])</f>
        <v>30</v>
      </c>
      <c r="D325" s="44">
        <f>YEAR(MotorPHSales[[#This Row],[Date]])</f>
        <v>2025</v>
      </c>
      <c r="E325" s="44" t="s">
        <v>194</v>
      </c>
      <c r="F325" s="44" t="s">
        <v>97</v>
      </c>
      <c r="G325" s="45">
        <v>269000</v>
      </c>
      <c r="H325" s="44">
        <v>9</v>
      </c>
      <c r="I325" s="45">
        <v>2421000</v>
      </c>
      <c r="J325" s="44" t="s">
        <v>197</v>
      </c>
      <c r="K325" s="44" t="str">
        <f>INDEX(CLEANED_MotorPH_Products_List_2!C:C,MATCH(MotorPHSales[[#This Row],[Product]],CLEANED_MotorPH_Products_List_2!$B:$B,0))</f>
        <v>Cafe racer</v>
      </c>
      <c r="L325" s="44" t="str">
        <f>INDEX(CLEANED_MotorPH_Products_List_2!E:E,MATCH(MotorPHSales[[#This Row],[Product]],CLEANED_MotorPH_Products_List_2!$B:$B,0))</f>
        <v>Single cylinder</v>
      </c>
      <c r="M325" s="44" t="str">
        <f>INDEX(CLEANED_MotorPH_Products_List_2!F:F,MATCH(MotorPHSales[[#This Row],[Product]],CLEANED_MotorPH_Products_List_2!$B:$B,0))</f>
        <v>liquid-cooled</v>
      </c>
      <c r="N325" s="44" t="str">
        <f>INDEX(CLEANED_MotorPH_Products_List_2!G:G,MATCH(MotorPHSales[[#This Row],[Product]],CLEANED_MotorPH_Products_List_2!$B:$B,0))</f>
        <v>348cc</v>
      </c>
      <c r="O325" s="44" t="str">
        <f>INDEX(CLEANED_MotorPH_Products_List_2!K:K,MATCH(MotorPHSales[[#This Row],[Product]],CLEANED_MotorPH_Products_List_2!B:B,0))</f>
        <v>Mid-range</v>
      </c>
      <c r="P325" s="45">
        <f>IF(MotorPHSales[[#This Row],[Segment]]="Entry-level",MotorPHSales[[#This Row],[UnitPrice]]/(1+30%),IF(MotorPHSales[[#This Row],[Segment]]="Mid-range",MotorPHSales[[#This Row],[UnitPrice]]/(1+35%),MotorPHSales[[#This Row],[UnitPrice]]/(1+40%)))*MotorPHSales[[#This Row],[Quantity]]</f>
        <v>1793333.3333333333</v>
      </c>
      <c r="Q325" s="44" t="str">
        <f>INDEX(CLEANED_MotorPH_Products_List_2!H:H,MATCH(MotorPHSales[[#This Row],[Product]],CLEANED_MotorPH_Products_List_2!$B:$B,0))</f>
        <v>6-speed</v>
      </c>
    </row>
    <row r="326" spans="1:17" ht="15.75" x14ac:dyDescent="0.3">
      <c r="A326" s="43">
        <v>45869</v>
      </c>
      <c r="B326" s="44" t="str">
        <f>TEXT(MotorPHSales[[#This Row],[Date]],"mmmm")</f>
        <v>July</v>
      </c>
      <c r="C326" s="44">
        <f>DAY(MotorPHSales[[#This Row],[Date]])</f>
        <v>31</v>
      </c>
      <c r="D326" s="44">
        <f>YEAR(MotorPHSales[[#This Row],[Date]])</f>
        <v>2025</v>
      </c>
      <c r="E326" s="44" t="s">
        <v>196</v>
      </c>
      <c r="F326" s="44" t="s">
        <v>24</v>
      </c>
      <c r="G326" s="45">
        <v>199900</v>
      </c>
      <c r="H326" s="44">
        <v>10</v>
      </c>
      <c r="I326" s="45">
        <v>1999000</v>
      </c>
      <c r="J326" s="44" t="s">
        <v>195</v>
      </c>
      <c r="K326" s="44" t="str">
        <f>INDEX(CLEANED_MotorPH_Products_List_2!C:C,MATCH(MotorPHSales[[#This Row],[Product]],CLEANED_MotorPH_Products_List_2!$B:$B,0))</f>
        <v>Sport touring</v>
      </c>
      <c r="L326" s="44" t="str">
        <f>INDEX(CLEANED_MotorPH_Products_List_2!E:E,MATCH(MotorPHSales[[#This Row],[Product]],CLEANED_MotorPH_Products_List_2!$B:$B,0))</f>
        <v>Single cylinder</v>
      </c>
      <c r="M326" s="44" t="str">
        <f>INDEX(CLEANED_MotorPH_Products_List_2!F:F,MATCH(MotorPHSales[[#This Row],[Product]],CLEANED_MotorPH_Products_List_2!$B:$B,0))</f>
        <v>liquid-cooled</v>
      </c>
      <c r="N326" s="44" t="str">
        <f>INDEX(CLEANED_MotorPH_Products_List_2!G:G,MATCH(MotorPHSales[[#This Row],[Product]],CLEANED_MotorPH_Products_List_2!$B:$B,0))</f>
        <v>373cc</v>
      </c>
      <c r="O326" s="44" t="str">
        <f>INDEX(CLEANED_MotorPH_Products_List_2!K:K,MATCH(MotorPHSales[[#This Row],[Product]],CLEANED_MotorPH_Products_List_2!B:B,0))</f>
        <v>Mid-range</v>
      </c>
      <c r="P326" s="45">
        <f>IF(MotorPHSales[[#This Row],[Segment]]="Entry-level",MotorPHSales[[#This Row],[UnitPrice]]/(1+30%),IF(MotorPHSales[[#This Row],[Segment]]="Mid-range",MotorPHSales[[#This Row],[UnitPrice]]/(1+35%),MotorPHSales[[#This Row],[UnitPrice]]/(1+40%)))*MotorPHSales[[#This Row],[Quantity]]</f>
        <v>1480740.7407407407</v>
      </c>
      <c r="Q326" s="44" t="str">
        <f>INDEX(CLEANED_MotorPH_Products_List_2!H:H,MATCH(MotorPHSales[[#This Row],[Product]],CLEANED_MotorPH_Products_List_2!$B:$B,0))</f>
        <v>6-speed</v>
      </c>
    </row>
    <row r="327" spans="1:17" ht="15.75" x14ac:dyDescent="0.3">
      <c r="A327" s="43">
        <v>45856</v>
      </c>
      <c r="B327" s="44" t="str">
        <f>TEXT(MotorPHSales[[#This Row],[Date]],"mmmm")</f>
        <v>July</v>
      </c>
      <c r="C327" s="44">
        <f>DAY(MotorPHSales[[#This Row],[Date]])</f>
        <v>18</v>
      </c>
      <c r="D327" s="44">
        <f>YEAR(MotorPHSales[[#This Row],[Date]])</f>
        <v>2025</v>
      </c>
      <c r="E327" s="44" t="s">
        <v>196</v>
      </c>
      <c r="F327" s="44" t="s">
        <v>82</v>
      </c>
      <c r="G327" s="45">
        <v>199000</v>
      </c>
      <c r="H327" s="44">
        <v>1</v>
      </c>
      <c r="I327" s="45">
        <v>199000</v>
      </c>
      <c r="J327" s="44" t="s">
        <v>197</v>
      </c>
      <c r="K327" s="44" t="str">
        <f>INDEX(CLEANED_MotorPH_Products_List_2!C:C,MATCH(MotorPHSales[[#This Row],[Product]],CLEANED_MotorPH_Products_List_2!$B:$B,0))</f>
        <v>Dual-sport</v>
      </c>
      <c r="L327" s="44" t="str">
        <f>INDEX(CLEANED_MotorPH_Products_List_2!E:E,MATCH(MotorPHSales[[#This Row],[Product]],CLEANED_MotorPH_Products_List_2!$B:$B,0))</f>
        <v>Single cylinder</v>
      </c>
      <c r="M327" s="44" t="str">
        <f>INDEX(CLEANED_MotorPH_Products_List_2!F:F,MATCH(MotorPHSales[[#This Row],[Product]],CLEANED_MotorPH_Products_List_2!$B:$B,0))</f>
        <v>air-cooled</v>
      </c>
      <c r="N327" s="44" t="str">
        <f>INDEX(CLEANED_MotorPH_Products_List_2!G:G,MATCH(MotorPHSales[[#This Row],[Product]],CLEANED_MotorPH_Products_List_2!$B:$B,0))</f>
        <v>233cc</v>
      </c>
      <c r="O327" s="44" t="str">
        <f>INDEX(CLEANED_MotorPH_Products_List_2!K:K,MATCH(MotorPHSales[[#This Row],[Product]],CLEANED_MotorPH_Products_List_2!B:B,0))</f>
        <v>Mid-range</v>
      </c>
      <c r="P327" s="45">
        <f>IF(MotorPHSales[[#This Row],[Segment]]="Entry-level",MotorPHSales[[#This Row],[UnitPrice]]/(1+30%),IF(MotorPHSales[[#This Row],[Segment]]="Mid-range",MotorPHSales[[#This Row],[UnitPrice]]/(1+35%),MotorPHSales[[#This Row],[UnitPrice]]/(1+40%)))*MotorPHSales[[#This Row],[Quantity]]</f>
        <v>147407.40740740739</v>
      </c>
      <c r="Q327" s="44" t="str">
        <f>INDEX(CLEANED_MotorPH_Products_List_2!H:H,MATCH(MotorPHSales[[#This Row],[Product]],CLEANED_MotorPH_Products_List_2!$B:$B,0))</f>
        <v>6-speed</v>
      </c>
    </row>
    <row r="328" spans="1:17" ht="15.75" x14ac:dyDescent="0.3">
      <c r="A328" s="43">
        <v>45827</v>
      </c>
      <c r="B328" s="44" t="str">
        <f>TEXT(MotorPHSales[[#This Row],[Date]],"mmmm")</f>
        <v>June</v>
      </c>
      <c r="C328" s="44">
        <f>DAY(MotorPHSales[[#This Row],[Date]])</f>
        <v>19</v>
      </c>
      <c r="D328" s="44">
        <f>YEAR(MotorPHSales[[#This Row],[Date]])</f>
        <v>2025</v>
      </c>
      <c r="E328" s="44" t="s">
        <v>196</v>
      </c>
      <c r="F328" s="44" t="s">
        <v>72</v>
      </c>
      <c r="G328" s="45">
        <v>319000</v>
      </c>
      <c r="H328" s="44">
        <v>10</v>
      </c>
      <c r="I328" s="45">
        <v>3190000</v>
      </c>
      <c r="J328" s="44" t="s">
        <v>195</v>
      </c>
      <c r="K328" s="44" t="str">
        <f>INDEX(CLEANED_MotorPH_Products_List_2!C:C,MATCH(MotorPHSales[[#This Row],[Product]],CLEANED_MotorPH_Products_List_2!$B:$B,0))</f>
        <v>Scooter</v>
      </c>
      <c r="L328" s="44" t="str">
        <f>INDEX(CLEANED_MotorPH_Products_List_2!E:E,MATCH(MotorPHSales[[#This Row],[Product]],CLEANED_MotorPH_Products_List_2!$B:$B,0))</f>
        <v>Single cylinder</v>
      </c>
      <c r="M328" s="44" t="str">
        <f>INDEX(CLEANED_MotorPH_Products_List_2!F:F,MATCH(MotorPHSales[[#This Row],[Product]],CLEANED_MotorPH_Products_List_2!$B:$B,0))</f>
        <v>liquid-cooled</v>
      </c>
      <c r="N328" s="44" t="str">
        <f>INDEX(CLEANED_MotorPH_Products_List_2!G:G,MATCH(MotorPHSales[[#This Row],[Product]],CLEANED_MotorPH_Products_List_2!$B:$B,0))</f>
        <v>292cc</v>
      </c>
      <c r="O328" s="44" t="str">
        <f>INDEX(CLEANED_MotorPH_Products_List_2!K:K,MATCH(MotorPHSales[[#This Row],[Product]],CLEANED_MotorPH_Products_List_2!B:B,0))</f>
        <v>Mid-range</v>
      </c>
      <c r="P328" s="45">
        <f>IF(MotorPHSales[[#This Row],[Segment]]="Entry-level",MotorPHSales[[#This Row],[UnitPrice]]/(1+30%),IF(MotorPHSales[[#This Row],[Segment]]="Mid-range",MotorPHSales[[#This Row],[UnitPrice]]/(1+35%),MotorPHSales[[#This Row],[UnitPrice]]/(1+40%)))*MotorPHSales[[#This Row],[Quantity]]</f>
        <v>2362962.9629629627</v>
      </c>
      <c r="Q328" s="44" t="str">
        <f>INDEX(CLEANED_MotorPH_Products_List_2!H:H,MATCH(MotorPHSales[[#This Row],[Product]],CLEANED_MotorPH_Products_List_2!$B:$B,0))</f>
        <v>CVT</v>
      </c>
    </row>
    <row r="329" spans="1:17" ht="15.75" x14ac:dyDescent="0.3">
      <c r="A329" s="43">
        <v>45812</v>
      </c>
      <c r="B329" s="44" t="str">
        <f>TEXT(MotorPHSales[[#This Row],[Date]],"mmmm")</f>
        <v>June</v>
      </c>
      <c r="C329" s="44">
        <f>DAY(MotorPHSales[[#This Row],[Date]])</f>
        <v>4</v>
      </c>
      <c r="D329" s="44">
        <f>YEAR(MotorPHSales[[#This Row],[Date]])</f>
        <v>2025</v>
      </c>
      <c r="E329" s="44" t="s">
        <v>194</v>
      </c>
      <c r="F329" s="44" t="s">
        <v>53</v>
      </c>
      <c r="G329" s="45">
        <v>345000</v>
      </c>
      <c r="H329" s="44">
        <v>9</v>
      </c>
      <c r="I329" s="45">
        <v>3105000</v>
      </c>
      <c r="J329" s="44" t="s">
        <v>198</v>
      </c>
      <c r="K329" s="44" t="str">
        <f>INDEX(CLEANED_MotorPH_Products_List_2!C:C,MATCH(MotorPHSales[[#This Row],[Product]],CLEANED_MotorPH_Products_List_2!$B:$B,0))</f>
        <v>Touring</v>
      </c>
      <c r="L329" s="44" t="str">
        <f>INDEX(CLEANED_MotorPH_Products_List_2!E:E,MATCH(MotorPHSales[[#This Row],[Product]],CLEANED_MotorPH_Products_List_2!$B:$B,0))</f>
        <v>Parallel-twin</v>
      </c>
      <c r="M329" s="44" t="str">
        <f>INDEX(CLEANED_MotorPH_Products_List_2!F:F,MATCH(MotorPHSales[[#This Row],[Product]],CLEANED_MotorPH_Products_List_2!$B:$B,0))</f>
        <v>liquid-cooled</v>
      </c>
      <c r="N329" s="44" t="str">
        <f>INDEX(CLEANED_MotorPH_Products_List_2!G:G,MATCH(MotorPHSales[[#This Row],[Product]],CLEANED_MotorPH_Products_List_2!$B:$B,0))</f>
        <v>649cc</v>
      </c>
      <c r="O329" s="44" t="str">
        <f>INDEX(CLEANED_MotorPH_Products_List_2!K:K,MATCH(MotorPHSales[[#This Row],[Product]],CLEANED_MotorPH_Products_List_2!B:B,0))</f>
        <v>Premium</v>
      </c>
      <c r="P329" s="45">
        <f>IF(MotorPHSales[[#This Row],[Segment]]="Entry-level",MotorPHSales[[#This Row],[UnitPrice]]/(1+30%),IF(MotorPHSales[[#This Row],[Segment]]="Mid-range",MotorPHSales[[#This Row],[UnitPrice]]/(1+35%),MotorPHSales[[#This Row],[UnitPrice]]/(1+40%)))*MotorPHSales[[#This Row],[Quantity]]</f>
        <v>2217857.1428571432</v>
      </c>
      <c r="Q329" s="44" t="str">
        <f>INDEX(CLEANED_MotorPH_Products_List_2!H:H,MATCH(MotorPHSales[[#This Row],[Product]],CLEANED_MotorPH_Products_List_2!$B:$B,0))</f>
        <v>6-speed</v>
      </c>
    </row>
    <row r="330" spans="1:17" ht="15.75" x14ac:dyDescent="0.3">
      <c r="A330" s="43">
        <v>45843</v>
      </c>
      <c r="B330" s="44" t="str">
        <f>TEXT(MotorPHSales[[#This Row],[Date]],"mmmm")</f>
        <v>July</v>
      </c>
      <c r="C330" s="44">
        <f>DAY(MotorPHSales[[#This Row],[Date]])</f>
        <v>5</v>
      </c>
      <c r="D330" s="44">
        <f>YEAR(MotorPHSales[[#This Row],[Date]])</f>
        <v>2025</v>
      </c>
      <c r="E330" s="44" t="s">
        <v>196</v>
      </c>
      <c r="F330" s="44" t="s">
        <v>57</v>
      </c>
      <c r="G330" s="45">
        <v>125900</v>
      </c>
      <c r="H330" s="44">
        <v>18</v>
      </c>
      <c r="I330" s="45">
        <v>2266200</v>
      </c>
      <c r="J330" s="44" t="s">
        <v>197</v>
      </c>
      <c r="K330" s="44" t="str">
        <f>INDEX(CLEANED_MotorPH_Products_List_2!C:C,MATCH(MotorPHSales[[#This Row],[Product]],CLEANED_MotorPH_Products_List_2!$B:$B,0))</f>
        <v>Underbone</v>
      </c>
      <c r="L330" s="44" t="str">
        <f>INDEX(CLEANED_MotorPH_Products_List_2!E:E,MATCH(MotorPHSales[[#This Row],[Product]],CLEANED_MotorPH_Products_List_2!$B:$B,0))</f>
        <v>Single cylinder</v>
      </c>
      <c r="M330" s="44" t="str">
        <f>INDEX(CLEANED_MotorPH_Products_List_2!F:F,MATCH(MotorPHSales[[#This Row],[Product]],CLEANED_MotorPH_Products_List_2!$B:$B,0))</f>
        <v>liquid-cooled</v>
      </c>
      <c r="N330" s="44" t="str">
        <f>INDEX(CLEANED_MotorPH_Products_List_2!G:G,MATCH(MotorPHSales[[#This Row],[Product]],CLEANED_MotorPH_Products_List_2!$B:$B,0))</f>
        <v>155cc</v>
      </c>
      <c r="O330" s="44" t="str">
        <f>INDEX(CLEANED_MotorPH_Products_List_2!K:K,MATCH(MotorPHSales[[#This Row],[Product]],CLEANED_MotorPH_Products_List_2!B:B,0))</f>
        <v>Entry-level</v>
      </c>
      <c r="P330" s="45">
        <f>IF(MotorPHSales[[#This Row],[Segment]]="Entry-level",MotorPHSales[[#This Row],[UnitPrice]]/(1+30%),IF(MotorPHSales[[#This Row],[Segment]]="Mid-range",MotorPHSales[[#This Row],[UnitPrice]]/(1+35%),MotorPHSales[[#This Row],[UnitPrice]]/(1+40%)))*MotorPHSales[[#This Row],[Quantity]]</f>
        <v>1743230.7692307692</v>
      </c>
      <c r="Q330" s="44" t="str">
        <f>INDEX(CLEANED_MotorPH_Products_List_2!H:H,MATCH(MotorPHSales[[#This Row],[Product]],CLEANED_MotorPH_Products_List_2!$B:$B,0))</f>
        <v>6-speed</v>
      </c>
    </row>
    <row r="331" spans="1:17" ht="15.75" x14ac:dyDescent="0.3">
      <c r="A331" s="43">
        <v>45872</v>
      </c>
      <c r="B331" s="44" t="str">
        <f>TEXT(MotorPHSales[[#This Row],[Date]],"mmmm")</f>
        <v>August</v>
      </c>
      <c r="C331" s="44">
        <f>DAY(MotorPHSales[[#This Row],[Date]])</f>
        <v>3</v>
      </c>
      <c r="D331" s="44">
        <f>YEAR(MotorPHSales[[#This Row],[Date]])</f>
        <v>2025</v>
      </c>
      <c r="E331" s="44" t="s">
        <v>196</v>
      </c>
      <c r="F331" s="44" t="s">
        <v>30</v>
      </c>
      <c r="G331" s="45">
        <v>79900</v>
      </c>
      <c r="H331" s="44">
        <v>20</v>
      </c>
      <c r="I331" s="45">
        <v>1598000</v>
      </c>
      <c r="J331" s="44" t="s">
        <v>197</v>
      </c>
      <c r="K331" s="44" t="str">
        <f>INDEX(CLEANED_MotorPH_Products_List_2!C:C,MATCH(MotorPHSales[[#This Row],[Product]],CLEANED_MotorPH_Products_List_2!$B:$B,0))</f>
        <v>Scooter</v>
      </c>
      <c r="L331" s="44" t="str">
        <f>INDEX(CLEANED_MotorPH_Products_List_2!E:E,MATCH(MotorPHSales[[#This Row],[Product]],CLEANED_MotorPH_Products_List_2!$B:$B,0))</f>
        <v>Single cylinder</v>
      </c>
      <c r="M331" s="44" t="str">
        <f>INDEX(CLEANED_MotorPH_Products_List_2!F:F,MATCH(MotorPHSales[[#This Row],[Product]],CLEANED_MotorPH_Products_List_2!$B:$B,0))</f>
        <v>air-cooled</v>
      </c>
      <c r="N331" s="44" t="str">
        <f>INDEX(CLEANED_MotorPH_Products_List_2!G:G,MATCH(MotorPHSales[[#This Row],[Product]],CLEANED_MotorPH_Products_List_2!$B:$B,0))</f>
        <v>124cc</v>
      </c>
      <c r="O331" s="44" t="str">
        <f>INDEX(CLEANED_MotorPH_Products_List_2!K:K,MATCH(MotorPHSales[[#This Row],[Product]],CLEANED_MotorPH_Products_List_2!B:B,0))</f>
        <v>Entry-level</v>
      </c>
      <c r="P331" s="45">
        <f>IF(MotorPHSales[[#This Row],[Segment]]="Entry-level",MotorPHSales[[#This Row],[UnitPrice]]/(1+30%),IF(MotorPHSales[[#This Row],[Segment]]="Mid-range",MotorPHSales[[#This Row],[UnitPrice]]/(1+35%),MotorPHSales[[#This Row],[UnitPrice]]/(1+40%)))*MotorPHSales[[#This Row],[Quantity]]</f>
        <v>1229230.7692307692</v>
      </c>
      <c r="Q331" s="44" t="str">
        <f>INDEX(CLEANED_MotorPH_Products_List_2!H:H,MATCH(MotorPHSales[[#This Row],[Product]],CLEANED_MotorPH_Products_List_2!$B:$B,0))</f>
        <v>CVT</v>
      </c>
    </row>
    <row r="332" spans="1:17" ht="15.75" x14ac:dyDescent="0.3">
      <c r="A332" s="43">
        <v>45857</v>
      </c>
      <c r="B332" s="44" t="str">
        <f>TEXT(MotorPHSales[[#This Row],[Date]],"mmmm")</f>
        <v>July</v>
      </c>
      <c r="C332" s="44">
        <f>DAY(MotorPHSales[[#This Row],[Date]])</f>
        <v>19</v>
      </c>
      <c r="D332" s="44">
        <f>YEAR(MotorPHSales[[#This Row],[Date]])</f>
        <v>2025</v>
      </c>
      <c r="E332" s="44" t="s">
        <v>196</v>
      </c>
      <c r="F332" s="44" t="s">
        <v>51</v>
      </c>
      <c r="G332" s="45">
        <v>78900</v>
      </c>
      <c r="H332" s="44">
        <v>32</v>
      </c>
      <c r="I332" s="45">
        <v>2524800</v>
      </c>
      <c r="J332" s="44" t="s">
        <v>197</v>
      </c>
      <c r="K332" s="44" t="str">
        <f>INDEX(CLEANED_MotorPH_Products_List_2!C:C,MATCH(MotorPHSales[[#This Row],[Product]],CLEANED_MotorPH_Products_List_2!$B:$B,0))</f>
        <v>Adventure</v>
      </c>
      <c r="L332" s="44" t="str">
        <f>INDEX(CLEANED_MotorPH_Products_List_2!E:E,MATCH(MotorPHSales[[#This Row],[Product]],CLEANED_MotorPH_Products_List_2!$B:$B,0))</f>
        <v>Single cylinder</v>
      </c>
      <c r="M332" s="44" t="str">
        <f>INDEX(CLEANED_MotorPH_Products_List_2!F:F,MATCH(MotorPHSales[[#This Row],[Product]],CLEANED_MotorPH_Products_List_2!$B:$B,0))</f>
        <v>oil-cooled</v>
      </c>
      <c r="N332" s="44" t="str">
        <f>INDEX(CLEANED_MotorPH_Products_List_2!G:G,MATCH(MotorPHSales[[#This Row],[Product]],CLEANED_MotorPH_Products_List_2!$B:$B,0))</f>
        <v>223cc</v>
      </c>
      <c r="O332" s="44" t="str">
        <f>INDEX(CLEANED_MotorPH_Products_List_2!K:K,MATCH(MotorPHSales[[#This Row],[Product]],CLEANED_MotorPH_Products_List_2!B:B,0))</f>
        <v>Mid-range</v>
      </c>
      <c r="P332" s="45">
        <f>IF(MotorPHSales[[#This Row],[Segment]]="Entry-level",MotorPHSales[[#This Row],[UnitPrice]]/(1+30%),IF(MotorPHSales[[#This Row],[Segment]]="Mid-range",MotorPHSales[[#This Row],[UnitPrice]]/(1+35%),MotorPHSales[[#This Row],[UnitPrice]]/(1+40%)))*MotorPHSales[[#This Row],[Quantity]]</f>
        <v>1870222.222222222</v>
      </c>
      <c r="Q332" s="44" t="str">
        <f>INDEX(CLEANED_MotorPH_Products_List_2!H:H,MATCH(MotorPHSales[[#This Row],[Product]],CLEANED_MotorPH_Products_List_2!$B:$B,0))</f>
        <v>6-speed</v>
      </c>
    </row>
    <row r="333" spans="1:17" ht="15.75" x14ac:dyDescent="0.3">
      <c r="A333" s="43">
        <v>45825</v>
      </c>
      <c r="B333" s="44" t="str">
        <f>TEXT(MotorPHSales[[#This Row],[Date]],"mmmm")</f>
        <v>June</v>
      </c>
      <c r="C333" s="44">
        <f>DAY(MotorPHSales[[#This Row],[Date]])</f>
        <v>17</v>
      </c>
      <c r="D333" s="44">
        <f>YEAR(MotorPHSales[[#This Row],[Date]])</f>
        <v>2025</v>
      </c>
      <c r="E333" s="44" t="s">
        <v>194</v>
      </c>
      <c r="F333" s="44" t="s">
        <v>68</v>
      </c>
      <c r="G333" s="45">
        <v>248000</v>
      </c>
      <c r="H333" s="44">
        <v>15</v>
      </c>
      <c r="I333" s="45">
        <v>3720000</v>
      </c>
      <c r="J333" s="44" t="s">
        <v>197</v>
      </c>
      <c r="K333" s="44" t="str">
        <f>INDEX(CLEANED_MotorPH_Products_List_2!C:C,MATCH(MotorPHSales[[#This Row],[Product]],CLEANED_MotorPH_Products_List_2!$B:$B,0))</f>
        <v>Adventure</v>
      </c>
      <c r="L333" s="44" t="str">
        <f>INDEX(CLEANED_MotorPH_Products_List_2!E:E,MATCH(MotorPHSales[[#This Row],[Product]],CLEANED_MotorPH_Products_List_2!$B:$B,0))</f>
        <v>Single cylinder</v>
      </c>
      <c r="M333" s="44" t="str">
        <f>INDEX(CLEANED_MotorPH_Products_List_2!F:F,MATCH(MotorPHSales[[#This Row],[Product]],CLEANED_MotorPH_Products_List_2!$B:$B,0))</f>
        <v>liquid-cooled</v>
      </c>
      <c r="N333" s="44" t="str">
        <f>INDEX(CLEANED_MotorPH_Products_List_2!G:G,MATCH(MotorPHSales[[#This Row],[Product]],CLEANED_MotorPH_Products_List_2!$B:$B,0))</f>
        <v>312cc</v>
      </c>
      <c r="O333" s="44" t="str">
        <f>INDEX(CLEANED_MotorPH_Products_List_2!K:K,MATCH(MotorPHSales[[#This Row],[Product]],CLEANED_MotorPH_Products_List_2!B:B,0))</f>
        <v>Mid-range</v>
      </c>
      <c r="P333" s="45">
        <f>IF(MotorPHSales[[#This Row],[Segment]]="Entry-level",MotorPHSales[[#This Row],[UnitPrice]]/(1+30%),IF(MotorPHSales[[#This Row],[Segment]]="Mid-range",MotorPHSales[[#This Row],[UnitPrice]]/(1+35%),MotorPHSales[[#This Row],[UnitPrice]]/(1+40%)))*MotorPHSales[[#This Row],[Quantity]]</f>
        <v>2755555.555555555</v>
      </c>
      <c r="Q333" s="44" t="str">
        <f>INDEX(CLEANED_MotorPH_Products_List_2!H:H,MATCH(MotorPHSales[[#This Row],[Product]],CLEANED_MotorPH_Products_List_2!$B:$B,0))</f>
        <v>6-speed</v>
      </c>
    </row>
    <row r="334" spans="1:17" ht="15.75" x14ac:dyDescent="0.3">
      <c r="A334" s="43">
        <v>45852</v>
      </c>
      <c r="B334" s="44" t="str">
        <f>TEXT(MotorPHSales[[#This Row],[Date]],"mmmm")</f>
        <v>July</v>
      </c>
      <c r="C334" s="44">
        <f>DAY(MotorPHSales[[#This Row],[Date]])</f>
        <v>14</v>
      </c>
      <c r="D334" s="44">
        <f>YEAR(MotorPHSales[[#This Row],[Date]])</f>
        <v>2025</v>
      </c>
      <c r="E334" s="44" t="s">
        <v>196</v>
      </c>
      <c r="F334" s="44" t="s">
        <v>86</v>
      </c>
      <c r="G334" s="45">
        <v>650000</v>
      </c>
      <c r="H334" s="44">
        <v>8</v>
      </c>
      <c r="I334" s="45">
        <v>5200000</v>
      </c>
      <c r="J334" s="44" t="s">
        <v>195</v>
      </c>
      <c r="K334" s="44" t="str">
        <f>INDEX(CLEANED_MotorPH_Products_List_2!C:C,MATCH(MotorPHSales[[#This Row],[Product]],CLEANED_MotorPH_Products_List_2!$B:$B,0))</f>
        <v>Cruiser</v>
      </c>
      <c r="L334" s="44" t="str">
        <f>INDEX(CLEANED_MotorPH_Products_List_2!E:E,MATCH(MotorPHSales[[#This Row],[Product]],CLEANED_MotorPH_Products_List_2!$B:$B,0))</f>
        <v>Parallel-twin</v>
      </c>
      <c r="M334" s="44" t="str">
        <f>INDEX(CLEANED_MotorPH_Products_List_2!F:F,MATCH(MotorPHSales[[#This Row],[Product]],CLEANED_MotorPH_Products_List_2!$B:$B,0))</f>
        <v>liquid-cooled</v>
      </c>
      <c r="N334" s="44" t="str">
        <f>INDEX(CLEANED_MotorPH_Products_List_2!G:G,MATCH(MotorPHSales[[#This Row],[Product]],CLEANED_MotorPH_Products_List_2!$B:$B,0))</f>
        <v>1084cc</v>
      </c>
      <c r="O334" s="44" t="str">
        <f>INDEX(CLEANED_MotorPH_Products_List_2!K:K,MATCH(MotorPHSales[[#This Row],[Product]],CLEANED_MotorPH_Products_List_2!B:B,0))</f>
        <v>Premium</v>
      </c>
      <c r="P334" s="45">
        <f>IF(MotorPHSales[[#This Row],[Segment]]="Entry-level",MotorPHSales[[#This Row],[UnitPrice]]/(1+30%),IF(MotorPHSales[[#This Row],[Segment]]="Mid-range",MotorPHSales[[#This Row],[UnitPrice]]/(1+35%),MotorPHSales[[#This Row],[UnitPrice]]/(1+40%)))*MotorPHSales[[#This Row],[Quantity]]</f>
        <v>3714285.7142857146</v>
      </c>
      <c r="Q334" s="44" t="str">
        <f>INDEX(CLEANED_MotorPH_Products_List_2!H:H,MATCH(MotorPHSales[[#This Row],[Product]],CLEANED_MotorPH_Products_List_2!$B:$B,0))</f>
        <v>6-speed</v>
      </c>
    </row>
    <row r="335" spans="1:17" ht="15.75" x14ac:dyDescent="0.3">
      <c r="A335" s="43">
        <v>45900</v>
      </c>
      <c r="B335" s="44" t="str">
        <f>TEXT(MotorPHSales[[#This Row],[Date]],"mmmm")</f>
        <v>August</v>
      </c>
      <c r="C335" s="44">
        <f>DAY(MotorPHSales[[#This Row],[Date]])</f>
        <v>31</v>
      </c>
      <c r="D335" s="44">
        <f>YEAR(MotorPHSales[[#This Row],[Date]])</f>
        <v>2025</v>
      </c>
      <c r="E335" s="44" t="s">
        <v>194</v>
      </c>
      <c r="F335" s="44" t="s">
        <v>47</v>
      </c>
      <c r="G335" s="45">
        <v>398000</v>
      </c>
      <c r="H335" s="44">
        <v>43</v>
      </c>
      <c r="I335" s="45">
        <v>17114000</v>
      </c>
      <c r="J335" s="44" t="s">
        <v>195</v>
      </c>
      <c r="K335" s="44" t="str">
        <f>INDEX(CLEANED_MotorPH_Products_List_2!C:C,MATCH(MotorPHSales[[#This Row],[Product]],CLEANED_MotorPH_Products_List_2!$B:$B,0))</f>
        <v>Cruiser</v>
      </c>
      <c r="L335" s="44" t="str">
        <f>INDEX(CLEANED_MotorPH_Products_List_2!E:E,MATCH(MotorPHSales[[#This Row],[Product]],CLEANED_MotorPH_Products_List_2!$B:$B,0))</f>
        <v>Parallel-twin</v>
      </c>
      <c r="M335" s="44" t="str">
        <f>INDEX(CLEANED_MotorPH_Products_List_2!F:F,MATCH(MotorPHSales[[#This Row],[Product]],CLEANED_MotorPH_Products_List_2!$B:$B,0))</f>
        <v>liquid-cooled</v>
      </c>
      <c r="N335" s="44" t="str">
        <f>INDEX(CLEANED_MotorPH_Products_List_2!G:G,MATCH(MotorPHSales[[#This Row],[Product]],CLEANED_MotorPH_Products_List_2!$B:$B,0))</f>
        <v>649cc</v>
      </c>
      <c r="O335" s="44" t="str">
        <f>INDEX(CLEANED_MotorPH_Products_List_2!K:K,MATCH(MotorPHSales[[#This Row],[Product]],CLEANED_MotorPH_Products_List_2!B:B,0))</f>
        <v>Premium</v>
      </c>
      <c r="P335" s="45">
        <f>IF(MotorPHSales[[#This Row],[Segment]]="Entry-level",MotorPHSales[[#This Row],[UnitPrice]]/(1+30%),IF(MotorPHSales[[#This Row],[Segment]]="Mid-range",MotorPHSales[[#This Row],[UnitPrice]]/(1+35%),MotorPHSales[[#This Row],[UnitPrice]]/(1+40%)))*MotorPHSales[[#This Row],[Quantity]]</f>
        <v>12224285.714285716</v>
      </c>
      <c r="Q335" s="44" t="str">
        <f>INDEX(CLEANED_MotorPH_Products_List_2!H:H,MATCH(MotorPHSales[[#This Row],[Product]],CLEANED_MotorPH_Products_List_2!$B:$B,0))</f>
        <v>6-speed</v>
      </c>
    </row>
    <row r="336" spans="1:17" ht="15.75" x14ac:dyDescent="0.3">
      <c r="A336" s="43">
        <v>45838</v>
      </c>
      <c r="B336" s="44" t="str">
        <f>TEXT(MotorPHSales[[#This Row],[Date]],"mmmm")</f>
        <v>June</v>
      </c>
      <c r="C336" s="44">
        <f>DAY(MotorPHSales[[#This Row],[Date]])</f>
        <v>30</v>
      </c>
      <c r="D336" s="44">
        <f>YEAR(MotorPHSales[[#This Row],[Date]])</f>
        <v>2025</v>
      </c>
      <c r="E336" s="44" t="s">
        <v>196</v>
      </c>
      <c r="F336" s="44" t="s">
        <v>49</v>
      </c>
      <c r="G336" s="45">
        <v>68900</v>
      </c>
      <c r="H336" s="44">
        <v>26</v>
      </c>
      <c r="I336" s="45">
        <v>1791400</v>
      </c>
      <c r="J336" s="44" t="s">
        <v>198</v>
      </c>
      <c r="K336" s="44" t="str">
        <f>INDEX(CLEANED_MotorPH_Products_List_2!C:C,MATCH(MotorPHSales[[#This Row],[Product]],CLEANED_MotorPH_Products_List_2!$B:$B,0))</f>
        <v>Standard</v>
      </c>
      <c r="L336" s="44" t="str">
        <f>INDEX(CLEANED_MotorPH_Products_List_2!E:E,MATCH(MotorPHSales[[#This Row],[Product]],CLEANED_MotorPH_Products_List_2!$B:$B,0))</f>
        <v>Single cylinder</v>
      </c>
      <c r="M336" s="44" t="str">
        <f>INDEX(CLEANED_MotorPH_Products_List_2!F:F,MATCH(MotorPHSales[[#This Row],[Product]],CLEANED_MotorPH_Products_List_2!$B:$B,0))</f>
        <v>air-cooled</v>
      </c>
      <c r="N336" s="44" t="str">
        <f>INDEX(CLEANED_MotorPH_Products_List_2!G:G,MATCH(MotorPHSales[[#This Row],[Product]],CLEANED_MotorPH_Products_List_2!$B:$B,0))</f>
        <v>149cc</v>
      </c>
      <c r="O336" s="44" t="str">
        <f>INDEX(CLEANED_MotorPH_Products_List_2!K:K,MATCH(MotorPHSales[[#This Row],[Product]],CLEANED_MotorPH_Products_List_2!B:B,0))</f>
        <v>Entry-level</v>
      </c>
      <c r="P336" s="45">
        <f>IF(MotorPHSales[[#This Row],[Segment]]="Entry-level",MotorPHSales[[#This Row],[UnitPrice]]/(1+30%),IF(MotorPHSales[[#This Row],[Segment]]="Mid-range",MotorPHSales[[#This Row],[UnitPrice]]/(1+35%),MotorPHSales[[#This Row],[UnitPrice]]/(1+40%)))*MotorPHSales[[#This Row],[Quantity]]</f>
        <v>1378000</v>
      </c>
      <c r="Q336" s="44" t="str">
        <f>INDEX(CLEANED_MotorPH_Products_List_2!H:H,MATCH(MotorPHSales[[#This Row],[Product]],CLEANED_MotorPH_Products_List_2!$B:$B,0))</f>
        <v>5-speed</v>
      </c>
    </row>
    <row r="337" spans="1:17" ht="15.75" x14ac:dyDescent="0.3">
      <c r="A337" s="43">
        <v>45854</v>
      </c>
      <c r="B337" s="44" t="str">
        <f>TEXT(MotorPHSales[[#This Row],[Date]],"mmmm")</f>
        <v>July</v>
      </c>
      <c r="C337" s="44">
        <f>DAY(MotorPHSales[[#This Row],[Date]])</f>
        <v>16</v>
      </c>
      <c r="D337" s="44">
        <f>YEAR(MotorPHSales[[#This Row],[Date]])</f>
        <v>2025</v>
      </c>
      <c r="E337" s="44" t="s">
        <v>196</v>
      </c>
      <c r="F337" s="44" t="s">
        <v>12</v>
      </c>
      <c r="G337" s="45">
        <v>119900</v>
      </c>
      <c r="H337" s="44">
        <v>16</v>
      </c>
      <c r="I337" s="45">
        <v>1918400</v>
      </c>
      <c r="J337" s="44" t="s">
        <v>198</v>
      </c>
      <c r="K337" s="44" t="str">
        <f>INDEX(CLEANED_MotorPH_Products_List_2!C:C,MATCH(MotorPHSales[[#This Row],[Product]],CLEANED_MotorPH_Products_List_2!$B:$B,0))</f>
        <v>Underbone</v>
      </c>
      <c r="L337" s="44" t="str">
        <f>INDEX(CLEANED_MotorPH_Products_List_2!E:E,MATCH(MotorPHSales[[#This Row],[Product]],CLEANED_MotorPH_Products_List_2!$B:$B,0))</f>
        <v>Single cylinder</v>
      </c>
      <c r="M337" s="44" t="str">
        <f>INDEX(CLEANED_MotorPH_Products_List_2!F:F,MATCH(MotorPHSales[[#This Row],[Product]],CLEANED_MotorPH_Products_List_2!$B:$B,0))</f>
        <v>liquid-cooled</v>
      </c>
      <c r="N337" s="44" t="str">
        <f>INDEX(CLEANED_MotorPH_Products_List_2!G:G,MATCH(MotorPHSales[[#This Row],[Product]],CLEANED_MotorPH_Products_List_2!$B:$B,0))</f>
        <v>150cc</v>
      </c>
      <c r="O337" s="44" t="str">
        <f>INDEX(CLEANED_MotorPH_Products_List_2!K:K,MATCH(MotorPHSales[[#This Row],[Product]],CLEANED_MotorPH_Products_List_2!B:B,0))</f>
        <v>Entry-level</v>
      </c>
      <c r="P337" s="45">
        <f>IF(MotorPHSales[[#This Row],[Segment]]="Entry-level",MotorPHSales[[#This Row],[UnitPrice]]/(1+30%),IF(MotorPHSales[[#This Row],[Segment]]="Mid-range",MotorPHSales[[#This Row],[UnitPrice]]/(1+35%),MotorPHSales[[#This Row],[UnitPrice]]/(1+40%)))*MotorPHSales[[#This Row],[Quantity]]</f>
        <v>1475692.3076923077</v>
      </c>
      <c r="Q337" s="44" t="str">
        <f>INDEX(CLEANED_MotorPH_Products_List_2!H:H,MATCH(MotorPHSales[[#This Row],[Product]],CLEANED_MotorPH_Products_List_2!$B:$B,0))</f>
        <v>6-speed</v>
      </c>
    </row>
    <row r="338" spans="1:17" ht="15.75" x14ac:dyDescent="0.3">
      <c r="A338" s="43">
        <v>45814</v>
      </c>
      <c r="B338" s="44" t="str">
        <f>TEXT(MotorPHSales[[#This Row],[Date]],"mmmm")</f>
        <v>June</v>
      </c>
      <c r="C338" s="44">
        <f>DAY(MotorPHSales[[#This Row],[Date]])</f>
        <v>6</v>
      </c>
      <c r="D338" s="44">
        <f>YEAR(MotorPHSales[[#This Row],[Date]])</f>
        <v>2025</v>
      </c>
      <c r="E338" s="44" t="s">
        <v>194</v>
      </c>
      <c r="F338" s="44" t="s">
        <v>68</v>
      </c>
      <c r="G338" s="45">
        <v>248000</v>
      </c>
      <c r="H338" s="44">
        <v>10</v>
      </c>
      <c r="I338" s="45">
        <v>2480000</v>
      </c>
      <c r="J338" s="44" t="s">
        <v>195</v>
      </c>
      <c r="K338" s="44" t="str">
        <f>INDEX(CLEANED_MotorPH_Products_List_2!C:C,MATCH(MotorPHSales[[#This Row],[Product]],CLEANED_MotorPH_Products_List_2!$B:$B,0))</f>
        <v>Adventure</v>
      </c>
      <c r="L338" s="44" t="str">
        <f>INDEX(CLEANED_MotorPH_Products_List_2!E:E,MATCH(MotorPHSales[[#This Row],[Product]],CLEANED_MotorPH_Products_List_2!$B:$B,0))</f>
        <v>Single cylinder</v>
      </c>
      <c r="M338" s="44" t="str">
        <f>INDEX(CLEANED_MotorPH_Products_List_2!F:F,MATCH(MotorPHSales[[#This Row],[Product]],CLEANED_MotorPH_Products_List_2!$B:$B,0))</f>
        <v>liquid-cooled</v>
      </c>
      <c r="N338" s="44" t="str">
        <f>INDEX(CLEANED_MotorPH_Products_List_2!G:G,MATCH(MotorPHSales[[#This Row],[Product]],CLEANED_MotorPH_Products_List_2!$B:$B,0))</f>
        <v>312cc</v>
      </c>
      <c r="O338" s="44" t="str">
        <f>INDEX(CLEANED_MotorPH_Products_List_2!K:K,MATCH(MotorPHSales[[#This Row],[Product]],CLEANED_MotorPH_Products_List_2!B:B,0))</f>
        <v>Mid-range</v>
      </c>
      <c r="P338" s="45">
        <f>IF(MotorPHSales[[#This Row],[Segment]]="Entry-level",MotorPHSales[[#This Row],[UnitPrice]]/(1+30%),IF(MotorPHSales[[#This Row],[Segment]]="Mid-range",MotorPHSales[[#This Row],[UnitPrice]]/(1+35%),MotorPHSales[[#This Row],[UnitPrice]]/(1+40%)))*MotorPHSales[[#This Row],[Quantity]]</f>
        <v>1837037.0370370368</v>
      </c>
      <c r="Q338" s="44" t="str">
        <f>INDEX(CLEANED_MotorPH_Products_List_2!H:H,MATCH(MotorPHSales[[#This Row],[Product]],CLEANED_MotorPH_Products_List_2!$B:$B,0))</f>
        <v>6-speed</v>
      </c>
    </row>
    <row r="339" spans="1:17" ht="15.75" x14ac:dyDescent="0.3">
      <c r="A339" s="43">
        <v>45845</v>
      </c>
      <c r="B339" s="44" t="str">
        <f>TEXT(MotorPHSales[[#This Row],[Date]],"mmmm")</f>
        <v>July</v>
      </c>
      <c r="C339" s="44">
        <f>DAY(MotorPHSales[[#This Row],[Date]])</f>
        <v>7</v>
      </c>
      <c r="D339" s="44">
        <f>YEAR(MotorPHSales[[#This Row],[Date]])</f>
        <v>2025</v>
      </c>
      <c r="E339" s="44" t="s">
        <v>196</v>
      </c>
      <c r="F339" s="44" t="s">
        <v>30</v>
      </c>
      <c r="G339" s="45">
        <v>79900</v>
      </c>
      <c r="H339" s="44">
        <v>42</v>
      </c>
      <c r="I339" s="45">
        <v>3355800</v>
      </c>
      <c r="J339" s="44" t="s">
        <v>198</v>
      </c>
      <c r="K339" s="44" t="str">
        <f>INDEX(CLEANED_MotorPH_Products_List_2!C:C,MATCH(MotorPHSales[[#This Row],[Product]],CLEANED_MotorPH_Products_List_2!$B:$B,0))</f>
        <v>Scooter</v>
      </c>
      <c r="L339" s="44" t="str">
        <f>INDEX(CLEANED_MotorPH_Products_List_2!E:E,MATCH(MotorPHSales[[#This Row],[Product]],CLEANED_MotorPH_Products_List_2!$B:$B,0))</f>
        <v>Single cylinder</v>
      </c>
      <c r="M339" s="44" t="str">
        <f>INDEX(CLEANED_MotorPH_Products_List_2!F:F,MATCH(MotorPHSales[[#This Row],[Product]],CLEANED_MotorPH_Products_List_2!$B:$B,0))</f>
        <v>air-cooled</v>
      </c>
      <c r="N339" s="44" t="str">
        <f>INDEX(CLEANED_MotorPH_Products_List_2!G:G,MATCH(MotorPHSales[[#This Row],[Product]],CLEANED_MotorPH_Products_List_2!$B:$B,0))</f>
        <v>124cc</v>
      </c>
      <c r="O339" s="44" t="str">
        <f>INDEX(CLEANED_MotorPH_Products_List_2!K:K,MATCH(MotorPHSales[[#This Row],[Product]],CLEANED_MotorPH_Products_List_2!B:B,0))</f>
        <v>Entry-level</v>
      </c>
      <c r="P339" s="45">
        <f>IF(MotorPHSales[[#This Row],[Segment]]="Entry-level",MotorPHSales[[#This Row],[UnitPrice]]/(1+30%),IF(MotorPHSales[[#This Row],[Segment]]="Mid-range",MotorPHSales[[#This Row],[UnitPrice]]/(1+35%),MotorPHSales[[#This Row],[UnitPrice]]/(1+40%)))*MotorPHSales[[#This Row],[Quantity]]</f>
        <v>2581384.6153846155</v>
      </c>
      <c r="Q339" s="44" t="str">
        <f>INDEX(CLEANED_MotorPH_Products_List_2!H:H,MATCH(MotorPHSales[[#This Row],[Product]],CLEANED_MotorPH_Products_List_2!$B:$B,0))</f>
        <v>CVT</v>
      </c>
    </row>
    <row r="340" spans="1:17" ht="15.75" x14ac:dyDescent="0.3">
      <c r="A340" s="43">
        <v>45832</v>
      </c>
      <c r="B340" s="44" t="str">
        <f>TEXT(MotorPHSales[[#This Row],[Date]],"mmmm")</f>
        <v>June</v>
      </c>
      <c r="C340" s="44">
        <f>DAY(MotorPHSales[[#This Row],[Date]])</f>
        <v>24</v>
      </c>
      <c r="D340" s="44">
        <f>YEAR(MotorPHSales[[#This Row],[Date]])</f>
        <v>2025</v>
      </c>
      <c r="E340" s="44" t="s">
        <v>194</v>
      </c>
      <c r="F340" s="44" t="s">
        <v>6</v>
      </c>
      <c r="G340" s="45">
        <v>389000</v>
      </c>
      <c r="H340" s="44">
        <v>4</v>
      </c>
      <c r="I340" s="45">
        <v>1556000</v>
      </c>
      <c r="J340" s="44" t="s">
        <v>197</v>
      </c>
      <c r="K340" s="44" t="str">
        <f>INDEX(CLEANED_MotorPH_Products_List_2!C:C,MATCH(MotorPHSales[[#This Row],[Product]],CLEANED_MotorPH_Products_List_2!$B:$B,0))</f>
        <v>Sport</v>
      </c>
      <c r="L340" s="44" t="str">
        <f>INDEX(CLEANED_MotorPH_Products_List_2!E:E,MATCH(MotorPHSales[[#This Row],[Product]],CLEANED_MotorPH_Products_List_2!$B:$B,0))</f>
        <v>Parallel-twin</v>
      </c>
      <c r="M340" s="44" t="str">
        <f>INDEX(CLEANED_MotorPH_Products_List_2!F:F,MATCH(MotorPHSales[[#This Row],[Product]],CLEANED_MotorPH_Products_List_2!$B:$B,0))</f>
        <v>liquid-cooled</v>
      </c>
      <c r="N340" s="44" t="str">
        <f>INDEX(CLEANED_MotorPH_Products_List_2!G:G,MATCH(MotorPHSales[[#This Row],[Product]],CLEANED_MotorPH_Products_List_2!$B:$B,0))</f>
        <v>471cc</v>
      </c>
      <c r="O340" s="44" t="str">
        <f>INDEX(CLEANED_MotorPH_Products_List_2!K:K,MATCH(MotorPHSales[[#This Row],[Product]],CLEANED_MotorPH_Products_List_2!B:B,0))</f>
        <v>Mid-range</v>
      </c>
      <c r="P340" s="45">
        <f>IF(MotorPHSales[[#This Row],[Segment]]="Entry-level",MotorPHSales[[#This Row],[UnitPrice]]/(1+30%),IF(MotorPHSales[[#This Row],[Segment]]="Mid-range",MotorPHSales[[#This Row],[UnitPrice]]/(1+35%),MotorPHSales[[#This Row],[UnitPrice]]/(1+40%)))*MotorPHSales[[#This Row],[Quantity]]</f>
        <v>1152592.5925925926</v>
      </c>
      <c r="Q340" s="44" t="str">
        <f>INDEX(CLEANED_MotorPH_Products_List_2!H:H,MATCH(MotorPHSales[[#This Row],[Product]],CLEANED_MotorPH_Products_List_2!$B:$B,0))</f>
        <v>6-speed</v>
      </c>
    </row>
    <row r="341" spans="1:17" ht="15.75" x14ac:dyDescent="0.3">
      <c r="A341" s="43">
        <v>45854</v>
      </c>
      <c r="B341" s="44" t="str">
        <f>TEXT(MotorPHSales[[#This Row],[Date]],"mmmm")</f>
        <v>July</v>
      </c>
      <c r="C341" s="44">
        <f>DAY(MotorPHSales[[#This Row],[Date]])</f>
        <v>16</v>
      </c>
      <c r="D341" s="44">
        <f>YEAR(MotorPHSales[[#This Row],[Date]])</f>
        <v>2025</v>
      </c>
      <c r="E341" s="44" t="s">
        <v>196</v>
      </c>
      <c r="F341" s="44" t="s">
        <v>97</v>
      </c>
      <c r="G341" s="45">
        <v>269000</v>
      </c>
      <c r="H341" s="44">
        <v>5</v>
      </c>
      <c r="I341" s="45">
        <v>1345000</v>
      </c>
      <c r="J341" s="44" t="s">
        <v>197</v>
      </c>
      <c r="K341" s="44" t="str">
        <f>INDEX(CLEANED_MotorPH_Products_List_2!C:C,MATCH(MotorPHSales[[#This Row],[Product]],CLEANED_MotorPH_Products_List_2!$B:$B,0))</f>
        <v>Cafe racer</v>
      </c>
      <c r="L341" s="44" t="str">
        <f>INDEX(CLEANED_MotorPH_Products_List_2!E:E,MATCH(MotorPHSales[[#This Row],[Product]],CLEANED_MotorPH_Products_List_2!$B:$B,0))</f>
        <v>Single cylinder</v>
      </c>
      <c r="M341" s="44" t="str">
        <f>INDEX(CLEANED_MotorPH_Products_List_2!F:F,MATCH(MotorPHSales[[#This Row],[Product]],CLEANED_MotorPH_Products_List_2!$B:$B,0))</f>
        <v>liquid-cooled</v>
      </c>
      <c r="N341" s="44" t="str">
        <f>INDEX(CLEANED_MotorPH_Products_List_2!G:G,MATCH(MotorPHSales[[#This Row],[Product]],CLEANED_MotorPH_Products_List_2!$B:$B,0))</f>
        <v>348cc</v>
      </c>
      <c r="O341" s="44" t="str">
        <f>INDEX(CLEANED_MotorPH_Products_List_2!K:K,MATCH(MotorPHSales[[#This Row],[Product]],CLEANED_MotorPH_Products_List_2!B:B,0))</f>
        <v>Mid-range</v>
      </c>
      <c r="P341" s="45">
        <f>IF(MotorPHSales[[#This Row],[Segment]]="Entry-level",MotorPHSales[[#This Row],[UnitPrice]]/(1+30%),IF(MotorPHSales[[#This Row],[Segment]]="Mid-range",MotorPHSales[[#This Row],[UnitPrice]]/(1+35%),MotorPHSales[[#This Row],[UnitPrice]]/(1+40%)))*MotorPHSales[[#This Row],[Quantity]]</f>
        <v>996296.29629629618</v>
      </c>
      <c r="Q341" s="44" t="str">
        <f>INDEX(CLEANED_MotorPH_Products_List_2!H:H,MATCH(MotorPHSales[[#This Row],[Product]],CLEANED_MotorPH_Products_List_2!$B:$B,0))</f>
        <v>6-speed</v>
      </c>
    </row>
    <row r="342" spans="1:17" ht="15.75" x14ac:dyDescent="0.3">
      <c r="A342" s="43">
        <v>45861</v>
      </c>
      <c r="B342" s="44" t="str">
        <f>TEXT(MotorPHSales[[#This Row],[Date]],"mmmm")</f>
        <v>July</v>
      </c>
      <c r="C342" s="44">
        <f>DAY(MotorPHSales[[#This Row],[Date]])</f>
        <v>23</v>
      </c>
      <c r="D342" s="44">
        <f>YEAR(MotorPHSales[[#This Row],[Date]])</f>
        <v>2025</v>
      </c>
      <c r="E342" s="44" t="s">
        <v>194</v>
      </c>
      <c r="F342" s="44" t="s">
        <v>47</v>
      </c>
      <c r="G342" s="45">
        <v>398000</v>
      </c>
      <c r="H342" s="44">
        <v>9</v>
      </c>
      <c r="I342" s="45">
        <v>3582000</v>
      </c>
      <c r="J342" s="44" t="s">
        <v>197</v>
      </c>
      <c r="K342" s="44" t="str">
        <f>INDEX(CLEANED_MotorPH_Products_List_2!C:C,MATCH(MotorPHSales[[#This Row],[Product]],CLEANED_MotorPH_Products_List_2!$B:$B,0))</f>
        <v>Cruiser</v>
      </c>
      <c r="L342" s="44" t="str">
        <f>INDEX(CLEANED_MotorPH_Products_List_2!E:E,MATCH(MotorPHSales[[#This Row],[Product]],CLEANED_MotorPH_Products_List_2!$B:$B,0))</f>
        <v>Parallel-twin</v>
      </c>
      <c r="M342" s="44" t="str">
        <f>INDEX(CLEANED_MotorPH_Products_List_2!F:F,MATCH(MotorPHSales[[#This Row],[Product]],CLEANED_MotorPH_Products_List_2!$B:$B,0))</f>
        <v>liquid-cooled</v>
      </c>
      <c r="N342" s="44" t="str">
        <f>INDEX(CLEANED_MotorPH_Products_List_2!G:G,MATCH(MotorPHSales[[#This Row],[Product]],CLEANED_MotorPH_Products_List_2!$B:$B,0))</f>
        <v>649cc</v>
      </c>
      <c r="O342" s="44" t="str">
        <f>INDEX(CLEANED_MotorPH_Products_List_2!K:K,MATCH(MotorPHSales[[#This Row],[Product]],CLEANED_MotorPH_Products_List_2!B:B,0))</f>
        <v>Premium</v>
      </c>
      <c r="P342" s="45">
        <f>IF(MotorPHSales[[#This Row],[Segment]]="Entry-level",MotorPHSales[[#This Row],[UnitPrice]]/(1+30%),IF(MotorPHSales[[#This Row],[Segment]]="Mid-range",MotorPHSales[[#This Row],[UnitPrice]]/(1+35%),MotorPHSales[[#This Row],[UnitPrice]]/(1+40%)))*MotorPHSales[[#This Row],[Quantity]]</f>
        <v>2558571.4285714291</v>
      </c>
      <c r="Q342" s="44" t="str">
        <f>INDEX(CLEANED_MotorPH_Products_List_2!H:H,MATCH(MotorPHSales[[#This Row],[Product]],CLEANED_MotorPH_Products_List_2!$B:$B,0))</f>
        <v>6-speed</v>
      </c>
    </row>
    <row r="343" spans="1:17" ht="15.75" x14ac:dyDescent="0.3">
      <c r="A343" s="43">
        <v>45868</v>
      </c>
      <c r="B343" s="44" t="str">
        <f>TEXT(MotorPHSales[[#This Row],[Date]],"mmmm")</f>
        <v>July</v>
      </c>
      <c r="C343" s="44">
        <f>DAY(MotorPHSales[[#This Row],[Date]])</f>
        <v>30</v>
      </c>
      <c r="D343" s="44">
        <f>YEAR(MotorPHSales[[#This Row],[Date]])</f>
        <v>2025</v>
      </c>
      <c r="E343" s="44" t="s">
        <v>196</v>
      </c>
      <c r="F343" s="44" t="s">
        <v>42</v>
      </c>
      <c r="G343" s="45">
        <v>125000</v>
      </c>
      <c r="H343" s="44">
        <v>4</v>
      </c>
      <c r="I343" s="45">
        <v>500000</v>
      </c>
      <c r="J343" s="44" t="s">
        <v>195</v>
      </c>
      <c r="K343" s="44" t="str">
        <f>INDEX(CLEANED_MotorPH_Products_List_2!C:C,MATCH(MotorPHSales[[#This Row],[Product]],CLEANED_MotorPH_Products_List_2!$B:$B,0))</f>
        <v>Naked bike</v>
      </c>
      <c r="L343" s="44" t="str">
        <f>INDEX(CLEANED_MotorPH_Products_List_2!E:E,MATCH(MotorPHSales[[#This Row],[Product]],CLEANED_MotorPH_Products_List_2!$B:$B,0))</f>
        <v>Single cylinder</v>
      </c>
      <c r="M343" s="44" t="str">
        <f>INDEX(CLEANED_MotorPH_Products_List_2!F:F,MATCH(MotorPHSales[[#This Row],[Product]],CLEANED_MotorPH_Products_List_2!$B:$B,0))</f>
        <v>liquid-cooled</v>
      </c>
      <c r="N343" s="44" t="str">
        <f>INDEX(CLEANED_MotorPH_Products_List_2!G:G,MATCH(MotorPHSales[[#This Row],[Product]],CLEANED_MotorPH_Products_List_2!$B:$B,0))</f>
        <v>147cc</v>
      </c>
      <c r="O343" s="44" t="str">
        <f>INDEX(CLEANED_MotorPH_Products_List_2!K:K,MATCH(MotorPHSales[[#This Row],[Product]],CLEANED_MotorPH_Products_List_2!B:B,0))</f>
        <v>Entry-level</v>
      </c>
      <c r="P343" s="45">
        <f>IF(MotorPHSales[[#This Row],[Segment]]="Entry-level",MotorPHSales[[#This Row],[UnitPrice]]/(1+30%),IF(MotorPHSales[[#This Row],[Segment]]="Mid-range",MotorPHSales[[#This Row],[UnitPrice]]/(1+35%),MotorPHSales[[#This Row],[UnitPrice]]/(1+40%)))*MotorPHSales[[#This Row],[Quantity]]</f>
        <v>384615.38461538462</v>
      </c>
      <c r="Q343" s="44" t="str">
        <f>INDEX(CLEANED_MotorPH_Products_List_2!H:H,MATCH(MotorPHSales[[#This Row],[Product]],CLEANED_MotorPH_Products_List_2!$B:$B,0))</f>
        <v>6-speed</v>
      </c>
    </row>
    <row r="344" spans="1:17" ht="15.75" x14ac:dyDescent="0.3">
      <c r="A344" s="43">
        <v>45871</v>
      </c>
      <c r="B344" s="44" t="str">
        <f>TEXT(MotorPHSales[[#This Row],[Date]],"mmmm")</f>
        <v>August</v>
      </c>
      <c r="C344" s="44">
        <f>DAY(MotorPHSales[[#This Row],[Date]])</f>
        <v>2</v>
      </c>
      <c r="D344" s="44">
        <f>YEAR(MotorPHSales[[#This Row],[Date]])</f>
        <v>2025</v>
      </c>
      <c r="E344" s="44" t="s">
        <v>196</v>
      </c>
      <c r="F344" s="44" t="s">
        <v>10</v>
      </c>
      <c r="G344" s="45">
        <v>340000</v>
      </c>
      <c r="H344" s="44">
        <v>4</v>
      </c>
      <c r="I344" s="45">
        <v>1360000</v>
      </c>
      <c r="J344" s="44" t="s">
        <v>195</v>
      </c>
      <c r="K344" s="44" t="str">
        <f>INDEX(CLEANED_MotorPH_Products_List_2!C:C,MATCH(MotorPHSales[[#This Row],[Product]],CLEANED_MotorPH_Products_List_2!$B:$B,0))</f>
        <v>Sport</v>
      </c>
      <c r="L344" s="44" t="str">
        <f>INDEX(CLEANED_MotorPH_Products_List_2!E:E,MATCH(MotorPHSales[[#This Row],[Product]],CLEANED_MotorPH_Products_List_2!$B:$B,0))</f>
        <v>Parallel-twin</v>
      </c>
      <c r="M344" s="44" t="str">
        <f>INDEX(CLEANED_MotorPH_Products_List_2!F:F,MATCH(MotorPHSales[[#This Row],[Product]],CLEANED_MotorPH_Products_List_2!$B:$B,0))</f>
        <v>liquid-cooled</v>
      </c>
      <c r="N344" s="44" t="str">
        <f>INDEX(CLEANED_MotorPH_Products_List_2!G:G,MATCH(MotorPHSales[[#This Row],[Product]],CLEANED_MotorPH_Products_List_2!$B:$B,0))</f>
        <v>399cc</v>
      </c>
      <c r="O344" s="44" t="str">
        <f>INDEX(CLEANED_MotorPH_Products_List_2!K:K,MATCH(MotorPHSales[[#This Row],[Product]],CLEANED_MotorPH_Products_List_2!B:B,0))</f>
        <v>Mid-range</v>
      </c>
      <c r="P344" s="45">
        <f>IF(MotorPHSales[[#This Row],[Segment]]="Entry-level",MotorPHSales[[#This Row],[UnitPrice]]/(1+30%),IF(MotorPHSales[[#This Row],[Segment]]="Mid-range",MotorPHSales[[#This Row],[UnitPrice]]/(1+35%),MotorPHSales[[#This Row],[UnitPrice]]/(1+40%)))*MotorPHSales[[#This Row],[Quantity]]</f>
        <v>1007407.4074074073</v>
      </c>
      <c r="Q344" s="44" t="str">
        <f>INDEX(CLEANED_MotorPH_Products_List_2!H:H,MATCH(MotorPHSales[[#This Row],[Product]],CLEANED_MotorPH_Products_List_2!$B:$B,0))</f>
        <v>6-speed</v>
      </c>
    </row>
    <row r="345" spans="1:17" ht="15.75" x14ac:dyDescent="0.3">
      <c r="A345" s="43">
        <v>45893</v>
      </c>
      <c r="B345" s="44" t="str">
        <f>TEXT(MotorPHSales[[#This Row],[Date]],"mmmm")</f>
        <v>August</v>
      </c>
      <c r="C345" s="44">
        <f>DAY(MotorPHSales[[#This Row],[Date]])</f>
        <v>24</v>
      </c>
      <c r="D345" s="44">
        <f>YEAR(MotorPHSales[[#This Row],[Date]])</f>
        <v>2025</v>
      </c>
      <c r="E345" s="44" t="s">
        <v>196</v>
      </c>
      <c r="F345" s="44" t="s">
        <v>70</v>
      </c>
      <c r="G345" s="45">
        <v>219000</v>
      </c>
      <c r="H345" s="44">
        <v>1</v>
      </c>
      <c r="I345" s="45">
        <v>219000</v>
      </c>
      <c r="J345" s="44" t="s">
        <v>195</v>
      </c>
      <c r="K345" s="44" t="str">
        <f>INDEX(CLEANED_MotorPH_Products_List_2!C:C,MATCH(MotorPHSales[[#This Row],[Product]],CLEANED_MotorPH_Products_List_2!$B:$B,0))</f>
        <v>Scooter</v>
      </c>
      <c r="L345" s="44" t="str">
        <f>INDEX(CLEANED_MotorPH_Products_List_2!E:E,MATCH(MotorPHSales[[#This Row],[Product]],CLEANED_MotorPH_Products_List_2!$B:$B,0))</f>
        <v>Single cylinder</v>
      </c>
      <c r="M345" s="44" t="str">
        <f>INDEX(CLEANED_MotorPH_Products_List_2!F:F,MATCH(MotorPHSales[[#This Row],[Product]],CLEANED_MotorPH_Products_List_2!$B:$B,0))</f>
        <v>liquid-cooled</v>
      </c>
      <c r="N345" s="44" t="str">
        <f>INDEX(CLEANED_MotorPH_Products_List_2!G:G,MATCH(MotorPHSales[[#This Row],[Product]],CLEANED_MotorPH_Products_List_2!$B:$B,0))</f>
        <v>174cc</v>
      </c>
      <c r="O345" s="44" t="str">
        <f>INDEX(CLEANED_MotorPH_Products_List_2!K:K,MATCH(MotorPHSales[[#This Row],[Product]],CLEANED_MotorPH_Products_List_2!B:B,0))</f>
        <v>Entry-level</v>
      </c>
      <c r="P345" s="45">
        <f>IF(MotorPHSales[[#This Row],[Segment]]="Entry-level",MotorPHSales[[#This Row],[UnitPrice]]/(1+30%),IF(MotorPHSales[[#This Row],[Segment]]="Mid-range",MotorPHSales[[#This Row],[UnitPrice]]/(1+35%),MotorPHSales[[#This Row],[UnitPrice]]/(1+40%)))*MotorPHSales[[#This Row],[Quantity]]</f>
        <v>168461.53846153847</v>
      </c>
      <c r="Q345" s="44" t="str">
        <f>INDEX(CLEANED_MotorPH_Products_List_2!H:H,MATCH(MotorPHSales[[#This Row],[Product]],CLEANED_MotorPH_Products_List_2!$B:$B,0))</f>
        <v>CVT</v>
      </c>
    </row>
    <row r="346" spans="1:17" ht="15.75" x14ac:dyDescent="0.3">
      <c r="A346" s="43">
        <v>45840</v>
      </c>
      <c r="B346" s="44" t="str">
        <f>TEXT(MotorPHSales[[#This Row],[Date]],"mmmm")</f>
        <v>July</v>
      </c>
      <c r="C346" s="44">
        <f>DAY(MotorPHSales[[#This Row],[Date]])</f>
        <v>2</v>
      </c>
      <c r="D346" s="44">
        <f>YEAR(MotorPHSales[[#This Row],[Date]])</f>
        <v>2025</v>
      </c>
      <c r="E346" s="44" t="s">
        <v>194</v>
      </c>
      <c r="F346" s="44" t="s">
        <v>80</v>
      </c>
      <c r="G346" s="45">
        <v>398000</v>
      </c>
      <c r="H346" s="44">
        <v>13</v>
      </c>
      <c r="I346" s="45">
        <v>5174000</v>
      </c>
      <c r="J346" s="44" t="s">
        <v>195</v>
      </c>
      <c r="K346" s="44" t="str">
        <f>INDEX(CLEANED_MotorPH_Products_List_2!C:C,MATCH(MotorPHSales[[#This Row],[Product]],CLEANED_MotorPH_Products_List_2!$B:$B,0))</f>
        <v>Scooter</v>
      </c>
      <c r="L346" s="44" t="str">
        <f>INDEX(CLEANED_MotorPH_Products_List_2!E:E,MATCH(MotorPHSales[[#This Row],[Product]],CLEANED_MotorPH_Products_List_2!$B:$B,0))</f>
        <v>Single cylinder</v>
      </c>
      <c r="M346" s="44" t="str">
        <f>INDEX(CLEANED_MotorPH_Products_List_2!F:F,MATCH(MotorPHSales[[#This Row],[Product]],CLEANED_MotorPH_Products_List_2!$B:$B,0))</f>
        <v>liquid-cooled</v>
      </c>
      <c r="N346" s="44" t="str">
        <f>INDEX(CLEANED_MotorPH_Products_List_2!G:G,MATCH(MotorPHSales[[#This Row],[Product]],CLEANED_MotorPH_Products_List_2!$B:$B,0))</f>
        <v>278cc</v>
      </c>
      <c r="O346" s="44" t="str">
        <f>INDEX(CLEANED_MotorPH_Products_List_2!K:K,MATCH(MotorPHSales[[#This Row],[Product]],CLEANED_MotorPH_Products_List_2!B:B,0))</f>
        <v>Mid-range</v>
      </c>
      <c r="P346" s="45">
        <f>IF(MotorPHSales[[#This Row],[Segment]]="Entry-level",MotorPHSales[[#This Row],[UnitPrice]]/(1+30%),IF(MotorPHSales[[#This Row],[Segment]]="Mid-range",MotorPHSales[[#This Row],[UnitPrice]]/(1+35%),MotorPHSales[[#This Row],[UnitPrice]]/(1+40%)))*MotorPHSales[[#This Row],[Quantity]]</f>
        <v>3832592.5925925919</v>
      </c>
      <c r="Q346" s="44" t="str">
        <f>INDEX(CLEANED_MotorPH_Products_List_2!H:H,MATCH(MotorPHSales[[#This Row],[Product]],CLEANED_MotorPH_Products_List_2!$B:$B,0))</f>
        <v>CVT</v>
      </c>
    </row>
    <row r="347" spans="1:17" ht="15.75" x14ac:dyDescent="0.3">
      <c r="A347" s="43">
        <v>45895</v>
      </c>
      <c r="B347" s="44" t="str">
        <f>TEXT(MotorPHSales[[#This Row],[Date]],"mmmm")</f>
        <v>August</v>
      </c>
      <c r="C347" s="44">
        <f>DAY(MotorPHSales[[#This Row],[Date]])</f>
        <v>26</v>
      </c>
      <c r="D347" s="44">
        <f>YEAR(MotorPHSales[[#This Row],[Date]])</f>
        <v>2025</v>
      </c>
      <c r="E347" s="44" t="s">
        <v>196</v>
      </c>
      <c r="F347" s="44" t="s">
        <v>82</v>
      </c>
      <c r="G347" s="45">
        <v>199000</v>
      </c>
      <c r="H347" s="44">
        <v>50</v>
      </c>
      <c r="I347" s="45">
        <v>9950000</v>
      </c>
      <c r="J347" s="44" t="s">
        <v>197</v>
      </c>
      <c r="K347" s="44" t="str">
        <f>INDEX(CLEANED_MotorPH_Products_List_2!C:C,MATCH(MotorPHSales[[#This Row],[Product]],CLEANED_MotorPH_Products_List_2!$B:$B,0))</f>
        <v>Dual-sport</v>
      </c>
      <c r="L347" s="44" t="str">
        <f>INDEX(CLEANED_MotorPH_Products_List_2!E:E,MATCH(MotorPHSales[[#This Row],[Product]],CLEANED_MotorPH_Products_List_2!$B:$B,0))</f>
        <v>Single cylinder</v>
      </c>
      <c r="M347" s="44" t="str">
        <f>INDEX(CLEANED_MotorPH_Products_List_2!F:F,MATCH(MotorPHSales[[#This Row],[Product]],CLEANED_MotorPH_Products_List_2!$B:$B,0))</f>
        <v>air-cooled</v>
      </c>
      <c r="N347" s="44" t="str">
        <f>INDEX(CLEANED_MotorPH_Products_List_2!G:G,MATCH(MotorPHSales[[#This Row],[Product]],CLEANED_MotorPH_Products_List_2!$B:$B,0))</f>
        <v>233cc</v>
      </c>
      <c r="O347" s="44" t="str">
        <f>INDEX(CLEANED_MotorPH_Products_List_2!K:K,MATCH(MotorPHSales[[#This Row],[Product]],CLEANED_MotorPH_Products_List_2!B:B,0))</f>
        <v>Mid-range</v>
      </c>
      <c r="P347" s="45">
        <f>IF(MotorPHSales[[#This Row],[Segment]]="Entry-level",MotorPHSales[[#This Row],[UnitPrice]]/(1+30%),IF(MotorPHSales[[#This Row],[Segment]]="Mid-range",MotorPHSales[[#This Row],[UnitPrice]]/(1+35%),MotorPHSales[[#This Row],[UnitPrice]]/(1+40%)))*MotorPHSales[[#This Row],[Quantity]]</f>
        <v>7370370.3703703694</v>
      </c>
      <c r="Q347" s="44" t="str">
        <f>INDEX(CLEANED_MotorPH_Products_List_2!H:H,MATCH(MotorPHSales[[#This Row],[Product]],CLEANED_MotorPH_Products_List_2!$B:$B,0))</f>
        <v>6-speed</v>
      </c>
    </row>
    <row r="348" spans="1:17" ht="15.75" x14ac:dyDescent="0.3">
      <c r="A348" s="43">
        <v>45841</v>
      </c>
      <c r="B348" s="44" t="str">
        <f>TEXT(MotorPHSales[[#This Row],[Date]],"mmmm")</f>
        <v>July</v>
      </c>
      <c r="C348" s="44">
        <f>DAY(MotorPHSales[[#This Row],[Date]])</f>
        <v>3</v>
      </c>
      <c r="D348" s="44">
        <f>YEAR(MotorPHSales[[#This Row],[Date]])</f>
        <v>2025</v>
      </c>
      <c r="E348" s="44" t="s">
        <v>196</v>
      </c>
      <c r="F348" s="44" t="s">
        <v>8</v>
      </c>
      <c r="G348" s="45">
        <v>178000</v>
      </c>
      <c r="H348" s="44">
        <v>1</v>
      </c>
      <c r="I348" s="45">
        <v>178000</v>
      </c>
      <c r="J348" s="44" t="s">
        <v>197</v>
      </c>
      <c r="K348" s="44" t="str">
        <f>INDEX(CLEANED_MotorPH_Products_List_2!C:C,MATCH(MotorPHSales[[#This Row],[Product]],CLEANED_MotorPH_Products_List_2!$B:$B,0))</f>
        <v>Naked bike</v>
      </c>
      <c r="L348" s="44" t="str">
        <f>INDEX(CLEANED_MotorPH_Products_List_2!E:E,MATCH(MotorPHSales[[#This Row],[Product]],CLEANED_MotorPH_Products_List_2!$B:$B,0))</f>
        <v>Single cylinder</v>
      </c>
      <c r="M348" s="44" t="str">
        <f>INDEX(CLEANED_MotorPH_Products_List_2!F:F,MATCH(MotorPHSales[[#This Row],[Product]],CLEANED_MotorPH_Products_List_2!$B:$B,0))</f>
        <v>liquid-cooled</v>
      </c>
      <c r="N348" s="44" t="str">
        <f>INDEX(CLEANED_MotorPH_Products_List_2!G:G,MATCH(MotorPHSales[[#This Row],[Product]],CLEANED_MotorPH_Products_List_2!$B:$B,0))</f>
        <v>155cc</v>
      </c>
      <c r="O348" s="44" t="str">
        <f>INDEX(CLEANED_MotorPH_Products_List_2!K:K,MATCH(MotorPHSales[[#This Row],[Product]],CLEANED_MotorPH_Products_List_2!B:B,0))</f>
        <v>Entry-level</v>
      </c>
      <c r="P348" s="45">
        <f>IF(MotorPHSales[[#This Row],[Segment]]="Entry-level",MotorPHSales[[#This Row],[UnitPrice]]/(1+30%),IF(MotorPHSales[[#This Row],[Segment]]="Mid-range",MotorPHSales[[#This Row],[UnitPrice]]/(1+35%),MotorPHSales[[#This Row],[UnitPrice]]/(1+40%)))*MotorPHSales[[#This Row],[Quantity]]</f>
        <v>136923.07692307691</v>
      </c>
      <c r="Q348" s="44" t="str">
        <f>INDEX(CLEANED_MotorPH_Products_List_2!H:H,MATCH(MotorPHSales[[#This Row],[Product]],CLEANED_MotorPH_Products_List_2!$B:$B,0))</f>
        <v>6-speed</v>
      </c>
    </row>
    <row r="349" spans="1:17" ht="15.75" x14ac:dyDescent="0.3">
      <c r="A349" s="43">
        <v>45875</v>
      </c>
      <c r="B349" s="44" t="str">
        <f>TEXT(MotorPHSales[[#This Row],[Date]],"mmmm")</f>
        <v>August</v>
      </c>
      <c r="C349" s="44">
        <f>DAY(MotorPHSales[[#This Row],[Date]])</f>
        <v>6</v>
      </c>
      <c r="D349" s="44">
        <f>YEAR(MotorPHSales[[#This Row],[Date]])</f>
        <v>2025</v>
      </c>
      <c r="E349" s="44" t="s">
        <v>196</v>
      </c>
      <c r="F349" s="44" t="s">
        <v>72</v>
      </c>
      <c r="G349" s="45">
        <v>319000</v>
      </c>
      <c r="H349" s="44">
        <v>7</v>
      </c>
      <c r="I349" s="45">
        <v>2233000</v>
      </c>
      <c r="J349" s="44" t="s">
        <v>197</v>
      </c>
      <c r="K349" s="44" t="str">
        <f>INDEX(CLEANED_MotorPH_Products_List_2!C:C,MATCH(MotorPHSales[[#This Row],[Product]],CLEANED_MotorPH_Products_List_2!$B:$B,0))</f>
        <v>Scooter</v>
      </c>
      <c r="L349" s="44" t="str">
        <f>INDEX(CLEANED_MotorPH_Products_List_2!E:E,MATCH(MotorPHSales[[#This Row],[Product]],CLEANED_MotorPH_Products_List_2!$B:$B,0))</f>
        <v>Single cylinder</v>
      </c>
      <c r="M349" s="44" t="str">
        <f>INDEX(CLEANED_MotorPH_Products_List_2!F:F,MATCH(MotorPHSales[[#This Row],[Product]],CLEANED_MotorPH_Products_List_2!$B:$B,0))</f>
        <v>liquid-cooled</v>
      </c>
      <c r="N349" s="44" t="str">
        <f>INDEX(CLEANED_MotorPH_Products_List_2!G:G,MATCH(MotorPHSales[[#This Row],[Product]],CLEANED_MotorPH_Products_List_2!$B:$B,0))</f>
        <v>292cc</v>
      </c>
      <c r="O349" s="44" t="str">
        <f>INDEX(CLEANED_MotorPH_Products_List_2!K:K,MATCH(MotorPHSales[[#This Row],[Product]],CLEANED_MotorPH_Products_List_2!B:B,0))</f>
        <v>Mid-range</v>
      </c>
      <c r="P349" s="45">
        <f>IF(MotorPHSales[[#This Row],[Segment]]="Entry-level",MotorPHSales[[#This Row],[UnitPrice]]/(1+30%),IF(MotorPHSales[[#This Row],[Segment]]="Mid-range",MotorPHSales[[#This Row],[UnitPrice]]/(1+35%),MotorPHSales[[#This Row],[UnitPrice]]/(1+40%)))*MotorPHSales[[#This Row],[Quantity]]</f>
        <v>1654074.0740740742</v>
      </c>
      <c r="Q349" s="44" t="str">
        <f>INDEX(CLEANED_MotorPH_Products_List_2!H:H,MATCH(MotorPHSales[[#This Row],[Product]],CLEANED_MotorPH_Products_List_2!$B:$B,0))</f>
        <v>CVT</v>
      </c>
    </row>
    <row r="350" spans="1:17" ht="15.75" x14ac:dyDescent="0.3">
      <c r="A350" s="43">
        <v>45826</v>
      </c>
      <c r="B350" s="44" t="str">
        <f>TEXT(MotorPHSales[[#This Row],[Date]],"mmmm")</f>
        <v>June</v>
      </c>
      <c r="C350" s="44">
        <f>DAY(MotorPHSales[[#This Row],[Date]])</f>
        <v>18</v>
      </c>
      <c r="D350" s="44">
        <f>YEAR(MotorPHSales[[#This Row],[Date]])</f>
        <v>2025</v>
      </c>
      <c r="E350" s="44" t="s">
        <v>194</v>
      </c>
      <c r="F350" s="44" t="s">
        <v>10</v>
      </c>
      <c r="G350" s="45">
        <v>340000</v>
      </c>
      <c r="H350" s="44">
        <v>16</v>
      </c>
      <c r="I350" s="45">
        <v>5440000</v>
      </c>
      <c r="J350" s="44" t="s">
        <v>198</v>
      </c>
      <c r="K350" s="44" t="str">
        <f>INDEX(CLEANED_MotorPH_Products_List_2!C:C,MATCH(MotorPHSales[[#This Row],[Product]],CLEANED_MotorPH_Products_List_2!$B:$B,0))</f>
        <v>Sport</v>
      </c>
      <c r="L350" s="44" t="str">
        <f>INDEX(CLEANED_MotorPH_Products_List_2!E:E,MATCH(MotorPHSales[[#This Row],[Product]],CLEANED_MotorPH_Products_List_2!$B:$B,0))</f>
        <v>Parallel-twin</v>
      </c>
      <c r="M350" s="44" t="str">
        <f>INDEX(CLEANED_MotorPH_Products_List_2!F:F,MATCH(MotorPHSales[[#This Row],[Product]],CLEANED_MotorPH_Products_List_2!$B:$B,0))</f>
        <v>liquid-cooled</v>
      </c>
      <c r="N350" s="44" t="str">
        <f>INDEX(CLEANED_MotorPH_Products_List_2!G:G,MATCH(MotorPHSales[[#This Row],[Product]],CLEANED_MotorPH_Products_List_2!$B:$B,0))</f>
        <v>399cc</v>
      </c>
      <c r="O350" s="44" t="str">
        <f>INDEX(CLEANED_MotorPH_Products_List_2!K:K,MATCH(MotorPHSales[[#This Row],[Product]],CLEANED_MotorPH_Products_List_2!B:B,0))</f>
        <v>Mid-range</v>
      </c>
      <c r="P350" s="45">
        <f>IF(MotorPHSales[[#This Row],[Segment]]="Entry-level",MotorPHSales[[#This Row],[UnitPrice]]/(1+30%),IF(MotorPHSales[[#This Row],[Segment]]="Mid-range",MotorPHSales[[#This Row],[UnitPrice]]/(1+35%),MotorPHSales[[#This Row],[UnitPrice]]/(1+40%)))*MotorPHSales[[#This Row],[Quantity]]</f>
        <v>4029629.6296296292</v>
      </c>
      <c r="Q350" s="44" t="str">
        <f>INDEX(CLEANED_MotorPH_Products_List_2!H:H,MATCH(MotorPHSales[[#This Row],[Product]],CLEANED_MotorPH_Products_List_2!$B:$B,0))</f>
        <v>6-speed</v>
      </c>
    </row>
    <row r="351" spans="1:17" ht="15.75" x14ac:dyDescent="0.3">
      <c r="A351" s="43">
        <v>45833</v>
      </c>
      <c r="B351" s="44" t="str">
        <f>TEXT(MotorPHSales[[#This Row],[Date]],"mmmm")</f>
        <v>June</v>
      </c>
      <c r="C351" s="44">
        <f>DAY(MotorPHSales[[#This Row],[Date]])</f>
        <v>25</v>
      </c>
      <c r="D351" s="44">
        <f>YEAR(MotorPHSales[[#This Row],[Date]])</f>
        <v>2025</v>
      </c>
      <c r="E351" s="44" t="s">
        <v>196</v>
      </c>
      <c r="F351" s="44" t="s">
        <v>38</v>
      </c>
      <c r="G351" s="45">
        <v>295000</v>
      </c>
      <c r="H351" s="44">
        <v>50</v>
      </c>
      <c r="I351" s="45">
        <v>14750000</v>
      </c>
      <c r="J351" s="44" t="s">
        <v>197</v>
      </c>
      <c r="K351" s="44" t="str">
        <f>INDEX(CLEANED_MotorPH_Products_List_2!C:C,MATCH(MotorPHSales[[#This Row],[Product]],CLEANED_MotorPH_Products_List_2!$B:$B,0))</f>
        <v>Scrambler</v>
      </c>
      <c r="L351" s="44" t="str">
        <f>INDEX(CLEANED_MotorPH_Products_List_2!E:E,MATCH(MotorPHSales[[#This Row],[Product]],CLEANED_MotorPH_Products_List_2!$B:$B,0))</f>
        <v>Single cylinder</v>
      </c>
      <c r="M351" s="44" t="str">
        <f>INDEX(CLEANED_MotorPH_Products_List_2!F:F,MATCH(MotorPHSales[[#This Row],[Product]],CLEANED_MotorPH_Products_List_2!$B:$B,0))</f>
        <v>liquid-cooled</v>
      </c>
      <c r="N351" s="44" t="str">
        <f>INDEX(CLEANED_MotorPH_Products_List_2!G:G,MATCH(MotorPHSales[[#This Row],[Product]],CLEANED_MotorPH_Products_List_2!$B:$B,0))</f>
        <v>373cc</v>
      </c>
      <c r="O351" s="44" t="str">
        <f>INDEX(CLEANED_MotorPH_Products_List_2!K:K,MATCH(MotorPHSales[[#This Row],[Product]],CLEANED_MotorPH_Products_List_2!B:B,0))</f>
        <v>Mid-range</v>
      </c>
      <c r="P351" s="45">
        <f>IF(MotorPHSales[[#This Row],[Segment]]="Entry-level",MotorPHSales[[#This Row],[UnitPrice]]/(1+30%),IF(MotorPHSales[[#This Row],[Segment]]="Mid-range",MotorPHSales[[#This Row],[UnitPrice]]/(1+35%),MotorPHSales[[#This Row],[UnitPrice]]/(1+40%)))*MotorPHSales[[#This Row],[Quantity]]</f>
        <v>10925925.925925925</v>
      </c>
      <c r="Q351" s="44" t="str">
        <f>INDEX(CLEANED_MotorPH_Products_List_2!H:H,MATCH(MotorPHSales[[#This Row],[Product]],CLEANED_MotorPH_Products_List_2!$B:$B,0))</f>
        <v>6-speed</v>
      </c>
    </row>
    <row r="352" spans="1:17" ht="15.75" x14ac:dyDescent="0.3">
      <c r="A352" s="43">
        <v>45862</v>
      </c>
      <c r="B352" s="44" t="str">
        <f>TEXT(MotorPHSales[[#This Row],[Date]],"mmmm")</f>
        <v>July</v>
      </c>
      <c r="C352" s="44">
        <f>DAY(MotorPHSales[[#This Row],[Date]])</f>
        <v>24</v>
      </c>
      <c r="D352" s="44">
        <f>YEAR(MotorPHSales[[#This Row],[Date]])</f>
        <v>2025</v>
      </c>
      <c r="E352" s="44" t="s">
        <v>196</v>
      </c>
      <c r="F352" s="44" t="s">
        <v>55</v>
      </c>
      <c r="G352" s="45">
        <v>80900</v>
      </c>
      <c r="H352" s="44">
        <v>19</v>
      </c>
      <c r="I352" s="45">
        <v>1537100</v>
      </c>
      <c r="J352" s="44" t="s">
        <v>195</v>
      </c>
      <c r="K352" s="44" t="str">
        <f>INDEX(CLEANED_MotorPH_Products_List_2!C:C,MATCH(MotorPHSales[[#This Row],[Product]],CLEANED_MotorPH_Products_List_2!$B:$B,0))</f>
        <v>Scooter</v>
      </c>
      <c r="L352" s="44" t="str">
        <f>INDEX(CLEANED_MotorPH_Products_List_2!E:E,MATCH(MotorPHSales[[#This Row],[Product]],CLEANED_MotorPH_Products_List_2!$B:$B,0))</f>
        <v>Single cylinder</v>
      </c>
      <c r="M352" s="44" t="str">
        <f>INDEX(CLEANED_MotorPH_Products_List_2!F:F,MATCH(MotorPHSales[[#This Row],[Product]],CLEANED_MotorPH_Products_List_2!$B:$B,0))</f>
        <v>liquid-cooled</v>
      </c>
      <c r="N352" s="44" t="str">
        <f>INDEX(CLEANED_MotorPH_Products_List_2!G:G,MATCH(MotorPHSales[[#This Row],[Product]],CLEANED_MotorPH_Products_List_2!$B:$B,0))</f>
        <v>125cc</v>
      </c>
      <c r="O352" s="44" t="str">
        <f>INDEX(CLEANED_MotorPH_Products_List_2!K:K,MATCH(MotorPHSales[[#This Row],[Product]],CLEANED_MotorPH_Products_List_2!B:B,0))</f>
        <v>Entry-level</v>
      </c>
      <c r="P352" s="45">
        <f>IF(MotorPHSales[[#This Row],[Segment]]="Entry-level",MotorPHSales[[#This Row],[UnitPrice]]/(1+30%),IF(MotorPHSales[[#This Row],[Segment]]="Mid-range",MotorPHSales[[#This Row],[UnitPrice]]/(1+35%),MotorPHSales[[#This Row],[UnitPrice]]/(1+40%)))*MotorPHSales[[#This Row],[Quantity]]</f>
        <v>1182384.6153846153</v>
      </c>
      <c r="Q352" s="44" t="str">
        <f>INDEX(CLEANED_MotorPH_Products_List_2!H:H,MATCH(MotorPHSales[[#This Row],[Product]],CLEANED_MotorPH_Products_List_2!$B:$B,0))</f>
        <v>CVT</v>
      </c>
    </row>
    <row r="353" spans="1:17" ht="15.75" x14ac:dyDescent="0.3">
      <c r="A353" s="43">
        <v>45866</v>
      </c>
      <c r="B353" s="44" t="str">
        <f>TEXT(MotorPHSales[[#This Row],[Date]],"mmmm")</f>
        <v>July</v>
      </c>
      <c r="C353" s="44">
        <f>DAY(MotorPHSales[[#This Row],[Date]])</f>
        <v>28</v>
      </c>
      <c r="D353" s="44">
        <f>YEAR(MotorPHSales[[#This Row],[Date]])</f>
        <v>2025</v>
      </c>
      <c r="E353" s="44" t="s">
        <v>196</v>
      </c>
      <c r="F353" s="44" t="s">
        <v>24</v>
      </c>
      <c r="G353" s="45">
        <v>199900</v>
      </c>
      <c r="H353" s="44">
        <v>46</v>
      </c>
      <c r="I353" s="45">
        <v>9195400</v>
      </c>
      <c r="J353" s="44" t="s">
        <v>195</v>
      </c>
      <c r="K353" s="44" t="str">
        <f>INDEX(CLEANED_MotorPH_Products_List_2!C:C,MATCH(MotorPHSales[[#This Row],[Product]],CLEANED_MotorPH_Products_List_2!$B:$B,0))</f>
        <v>Sport touring</v>
      </c>
      <c r="L353" s="44" t="str">
        <f>INDEX(CLEANED_MotorPH_Products_List_2!E:E,MATCH(MotorPHSales[[#This Row],[Product]],CLEANED_MotorPH_Products_List_2!$B:$B,0))</f>
        <v>Single cylinder</v>
      </c>
      <c r="M353" s="44" t="str">
        <f>INDEX(CLEANED_MotorPH_Products_List_2!F:F,MATCH(MotorPHSales[[#This Row],[Product]],CLEANED_MotorPH_Products_List_2!$B:$B,0))</f>
        <v>liquid-cooled</v>
      </c>
      <c r="N353" s="44" t="str">
        <f>INDEX(CLEANED_MotorPH_Products_List_2!G:G,MATCH(MotorPHSales[[#This Row],[Product]],CLEANED_MotorPH_Products_List_2!$B:$B,0))</f>
        <v>373cc</v>
      </c>
      <c r="O353" s="44" t="str">
        <f>INDEX(CLEANED_MotorPH_Products_List_2!K:K,MATCH(MotorPHSales[[#This Row],[Product]],CLEANED_MotorPH_Products_List_2!B:B,0))</f>
        <v>Mid-range</v>
      </c>
      <c r="P353" s="45">
        <f>IF(MotorPHSales[[#This Row],[Segment]]="Entry-level",MotorPHSales[[#This Row],[UnitPrice]]/(1+30%),IF(MotorPHSales[[#This Row],[Segment]]="Mid-range",MotorPHSales[[#This Row],[UnitPrice]]/(1+35%),MotorPHSales[[#This Row],[UnitPrice]]/(1+40%)))*MotorPHSales[[#This Row],[Quantity]]</f>
        <v>6811407.4074074076</v>
      </c>
      <c r="Q353" s="44" t="str">
        <f>INDEX(CLEANED_MotorPH_Products_List_2!H:H,MATCH(MotorPHSales[[#This Row],[Product]],CLEANED_MotorPH_Products_List_2!$B:$B,0))</f>
        <v>6-speed</v>
      </c>
    </row>
    <row r="354" spans="1:17" ht="15.75" x14ac:dyDescent="0.3">
      <c r="A354" s="43">
        <v>45875</v>
      </c>
      <c r="B354" s="44" t="str">
        <f>TEXT(MotorPHSales[[#This Row],[Date]],"mmmm")</f>
        <v>August</v>
      </c>
      <c r="C354" s="44">
        <f>DAY(MotorPHSales[[#This Row],[Date]])</f>
        <v>6</v>
      </c>
      <c r="D354" s="44">
        <f>YEAR(MotorPHSales[[#This Row],[Date]])</f>
        <v>2025</v>
      </c>
      <c r="E354" s="44" t="s">
        <v>196</v>
      </c>
      <c r="F354" s="44" t="s">
        <v>30</v>
      </c>
      <c r="G354" s="45">
        <v>79900</v>
      </c>
      <c r="H354" s="44">
        <v>13</v>
      </c>
      <c r="I354" s="45">
        <v>1038700</v>
      </c>
      <c r="J354" s="44" t="s">
        <v>197</v>
      </c>
      <c r="K354" s="44" t="str">
        <f>INDEX(CLEANED_MotorPH_Products_List_2!C:C,MATCH(MotorPHSales[[#This Row],[Product]],CLEANED_MotorPH_Products_List_2!$B:$B,0))</f>
        <v>Scooter</v>
      </c>
      <c r="L354" s="44" t="str">
        <f>INDEX(CLEANED_MotorPH_Products_List_2!E:E,MATCH(MotorPHSales[[#This Row],[Product]],CLEANED_MotorPH_Products_List_2!$B:$B,0))</f>
        <v>Single cylinder</v>
      </c>
      <c r="M354" s="44" t="str">
        <f>INDEX(CLEANED_MotorPH_Products_List_2!F:F,MATCH(MotorPHSales[[#This Row],[Product]],CLEANED_MotorPH_Products_List_2!$B:$B,0))</f>
        <v>air-cooled</v>
      </c>
      <c r="N354" s="44" t="str">
        <f>INDEX(CLEANED_MotorPH_Products_List_2!G:G,MATCH(MotorPHSales[[#This Row],[Product]],CLEANED_MotorPH_Products_List_2!$B:$B,0))</f>
        <v>124cc</v>
      </c>
      <c r="O354" s="44" t="str">
        <f>INDEX(CLEANED_MotorPH_Products_List_2!K:K,MATCH(MotorPHSales[[#This Row],[Product]],CLEANED_MotorPH_Products_List_2!B:B,0))</f>
        <v>Entry-level</v>
      </c>
      <c r="P354" s="45">
        <f>IF(MotorPHSales[[#This Row],[Segment]]="Entry-level",MotorPHSales[[#This Row],[UnitPrice]]/(1+30%),IF(MotorPHSales[[#This Row],[Segment]]="Mid-range",MotorPHSales[[#This Row],[UnitPrice]]/(1+35%),MotorPHSales[[#This Row],[UnitPrice]]/(1+40%)))*MotorPHSales[[#This Row],[Quantity]]</f>
        <v>799000</v>
      </c>
      <c r="Q354" s="44" t="str">
        <f>INDEX(CLEANED_MotorPH_Products_List_2!H:H,MATCH(MotorPHSales[[#This Row],[Product]],CLEANED_MotorPH_Products_List_2!$B:$B,0))</f>
        <v>CVT</v>
      </c>
    </row>
    <row r="355" spans="1:17" ht="15.75" x14ac:dyDescent="0.3">
      <c r="A355" s="43">
        <v>45854</v>
      </c>
      <c r="B355" s="44" t="str">
        <f>TEXT(MotorPHSales[[#This Row],[Date]],"mmmm")</f>
        <v>July</v>
      </c>
      <c r="C355" s="44">
        <f>DAY(MotorPHSales[[#This Row],[Date]])</f>
        <v>16</v>
      </c>
      <c r="D355" s="44">
        <f>YEAR(MotorPHSales[[#This Row],[Date]])</f>
        <v>2025</v>
      </c>
      <c r="E355" s="44" t="s">
        <v>196</v>
      </c>
      <c r="F355" s="44" t="s">
        <v>94</v>
      </c>
      <c r="G355" s="45">
        <v>299000</v>
      </c>
      <c r="H355" s="44">
        <v>8</v>
      </c>
      <c r="I355" s="45">
        <v>2392000</v>
      </c>
      <c r="J355" s="44" t="s">
        <v>197</v>
      </c>
      <c r="K355" s="44" t="str">
        <f>INDEX(CLEANED_MotorPH_Products_List_2!C:C,MATCH(MotorPHSales[[#This Row],[Product]],CLEANED_MotorPH_Products_List_2!$B:$B,0))</f>
        <v>Dual-sport</v>
      </c>
      <c r="L355" s="44" t="str">
        <f>INDEX(CLEANED_MotorPH_Products_List_2!E:E,MATCH(MotorPHSales[[#This Row],[Product]],CLEANED_MotorPH_Products_List_2!$B:$B,0))</f>
        <v>Single cylinder</v>
      </c>
      <c r="M355" s="44" t="str">
        <f>INDEX(CLEANED_MotorPH_Products_List_2!F:F,MATCH(MotorPHSales[[#This Row],[Product]],CLEANED_MotorPH_Products_List_2!$B:$B,0))</f>
        <v>air-cooled</v>
      </c>
      <c r="N355" s="44" t="str">
        <f>INDEX(CLEANED_MotorPH_Products_List_2!G:G,MATCH(MotorPHSales[[#This Row],[Product]],CLEANED_MotorPH_Products_List_2!$B:$B,0))</f>
        <v>249cc</v>
      </c>
      <c r="O355" s="44" t="str">
        <f>INDEX(CLEANED_MotorPH_Products_List_2!K:K,MATCH(MotorPHSales[[#This Row],[Product]],CLEANED_MotorPH_Products_List_2!B:B,0))</f>
        <v>Mid-range</v>
      </c>
      <c r="P355" s="45">
        <f>IF(MotorPHSales[[#This Row],[Segment]]="Entry-level",MotorPHSales[[#This Row],[UnitPrice]]/(1+30%),IF(MotorPHSales[[#This Row],[Segment]]="Mid-range",MotorPHSales[[#This Row],[UnitPrice]]/(1+35%),MotorPHSales[[#This Row],[UnitPrice]]/(1+40%)))*MotorPHSales[[#This Row],[Quantity]]</f>
        <v>1771851.8518518517</v>
      </c>
      <c r="Q355" s="44" t="str">
        <f>INDEX(CLEANED_MotorPH_Products_List_2!H:H,MATCH(MotorPHSales[[#This Row],[Product]],CLEANED_MotorPH_Products_List_2!$B:$B,0))</f>
        <v>5-speed</v>
      </c>
    </row>
    <row r="356" spans="1:17" ht="15.75" x14ac:dyDescent="0.3">
      <c r="A356" s="43">
        <v>45832</v>
      </c>
      <c r="B356" s="44" t="str">
        <f>TEXT(MotorPHSales[[#This Row],[Date]],"mmmm")</f>
        <v>June</v>
      </c>
      <c r="C356" s="44">
        <f>DAY(MotorPHSales[[#This Row],[Date]])</f>
        <v>24</v>
      </c>
      <c r="D356" s="44">
        <f>YEAR(MotorPHSales[[#This Row],[Date]])</f>
        <v>2025</v>
      </c>
      <c r="E356" s="44" t="s">
        <v>196</v>
      </c>
      <c r="F356" s="44" t="s">
        <v>94</v>
      </c>
      <c r="G356" s="45">
        <v>299000</v>
      </c>
      <c r="H356" s="44">
        <v>29</v>
      </c>
      <c r="I356" s="45">
        <v>8671000</v>
      </c>
      <c r="J356" s="44" t="s">
        <v>198</v>
      </c>
      <c r="K356" s="44" t="str">
        <f>INDEX(CLEANED_MotorPH_Products_List_2!C:C,MATCH(MotorPHSales[[#This Row],[Product]],CLEANED_MotorPH_Products_List_2!$B:$B,0))</f>
        <v>Dual-sport</v>
      </c>
      <c r="L356" s="44" t="str">
        <f>INDEX(CLEANED_MotorPH_Products_List_2!E:E,MATCH(MotorPHSales[[#This Row],[Product]],CLEANED_MotorPH_Products_List_2!$B:$B,0))</f>
        <v>Single cylinder</v>
      </c>
      <c r="M356" s="44" t="str">
        <f>INDEX(CLEANED_MotorPH_Products_List_2!F:F,MATCH(MotorPHSales[[#This Row],[Product]],CLEANED_MotorPH_Products_List_2!$B:$B,0))</f>
        <v>air-cooled</v>
      </c>
      <c r="N356" s="44" t="str">
        <f>INDEX(CLEANED_MotorPH_Products_List_2!G:G,MATCH(MotorPHSales[[#This Row],[Product]],CLEANED_MotorPH_Products_List_2!$B:$B,0))</f>
        <v>249cc</v>
      </c>
      <c r="O356" s="44" t="str">
        <f>INDEX(CLEANED_MotorPH_Products_List_2!K:K,MATCH(MotorPHSales[[#This Row],[Product]],CLEANED_MotorPH_Products_List_2!B:B,0))</f>
        <v>Mid-range</v>
      </c>
      <c r="P356" s="45">
        <f>IF(MotorPHSales[[#This Row],[Segment]]="Entry-level",MotorPHSales[[#This Row],[UnitPrice]]/(1+30%),IF(MotorPHSales[[#This Row],[Segment]]="Mid-range",MotorPHSales[[#This Row],[UnitPrice]]/(1+35%),MotorPHSales[[#This Row],[UnitPrice]]/(1+40%)))*MotorPHSales[[#This Row],[Quantity]]</f>
        <v>6422962.9629629627</v>
      </c>
      <c r="Q356" s="44" t="str">
        <f>INDEX(CLEANED_MotorPH_Products_List_2!H:H,MATCH(MotorPHSales[[#This Row],[Product]],CLEANED_MotorPH_Products_List_2!$B:$B,0))</f>
        <v>5-speed</v>
      </c>
    </row>
    <row r="357" spans="1:17" ht="15.75" x14ac:dyDescent="0.3">
      <c r="A357" s="43">
        <v>45840</v>
      </c>
      <c r="B357" s="44" t="str">
        <f>TEXT(MotorPHSales[[#This Row],[Date]],"mmmm")</f>
        <v>July</v>
      </c>
      <c r="C357" s="44">
        <f>DAY(MotorPHSales[[#This Row],[Date]])</f>
        <v>2</v>
      </c>
      <c r="D357" s="44">
        <f>YEAR(MotorPHSales[[#This Row],[Date]])</f>
        <v>2025</v>
      </c>
      <c r="E357" s="44" t="s">
        <v>194</v>
      </c>
      <c r="F357" s="44" t="s">
        <v>24</v>
      </c>
      <c r="G357" s="45">
        <v>199900</v>
      </c>
      <c r="H357" s="44">
        <v>6</v>
      </c>
      <c r="I357" s="45">
        <v>1199400</v>
      </c>
      <c r="J357" s="44" t="s">
        <v>197</v>
      </c>
      <c r="K357" s="44" t="str">
        <f>INDEX(CLEANED_MotorPH_Products_List_2!C:C,MATCH(MotorPHSales[[#This Row],[Product]],CLEANED_MotorPH_Products_List_2!$B:$B,0))</f>
        <v>Sport touring</v>
      </c>
      <c r="L357" s="44" t="str">
        <f>INDEX(CLEANED_MotorPH_Products_List_2!E:E,MATCH(MotorPHSales[[#This Row],[Product]],CLEANED_MotorPH_Products_List_2!$B:$B,0))</f>
        <v>Single cylinder</v>
      </c>
      <c r="M357" s="44" t="str">
        <f>INDEX(CLEANED_MotorPH_Products_List_2!F:F,MATCH(MotorPHSales[[#This Row],[Product]],CLEANED_MotorPH_Products_List_2!$B:$B,0))</f>
        <v>liquid-cooled</v>
      </c>
      <c r="N357" s="44" t="str">
        <f>INDEX(CLEANED_MotorPH_Products_List_2!G:G,MATCH(MotorPHSales[[#This Row],[Product]],CLEANED_MotorPH_Products_List_2!$B:$B,0))</f>
        <v>373cc</v>
      </c>
      <c r="O357" s="44" t="str">
        <f>INDEX(CLEANED_MotorPH_Products_List_2!K:K,MATCH(MotorPHSales[[#This Row],[Product]],CLEANED_MotorPH_Products_List_2!B:B,0))</f>
        <v>Mid-range</v>
      </c>
      <c r="P357" s="45">
        <f>IF(MotorPHSales[[#This Row],[Segment]]="Entry-level",MotorPHSales[[#This Row],[UnitPrice]]/(1+30%),IF(MotorPHSales[[#This Row],[Segment]]="Mid-range",MotorPHSales[[#This Row],[UnitPrice]]/(1+35%),MotorPHSales[[#This Row],[UnitPrice]]/(1+40%)))*MotorPHSales[[#This Row],[Quantity]]</f>
        <v>888444.4444444445</v>
      </c>
      <c r="Q357" s="44" t="str">
        <f>INDEX(CLEANED_MotorPH_Products_List_2!H:H,MATCH(MotorPHSales[[#This Row],[Product]],CLEANED_MotorPH_Products_List_2!$B:$B,0))</f>
        <v>6-speed</v>
      </c>
    </row>
    <row r="358" spans="1:17" ht="15.75" x14ac:dyDescent="0.3">
      <c r="A358" s="43">
        <v>45855</v>
      </c>
      <c r="B358" s="44" t="str">
        <f>TEXT(MotorPHSales[[#This Row],[Date]],"mmmm")</f>
        <v>July</v>
      </c>
      <c r="C358" s="44">
        <f>DAY(MotorPHSales[[#This Row],[Date]])</f>
        <v>17</v>
      </c>
      <c r="D358" s="44">
        <f>YEAR(MotorPHSales[[#This Row],[Date]])</f>
        <v>2025</v>
      </c>
      <c r="E358" s="44" t="s">
        <v>196</v>
      </c>
      <c r="F358" s="44" t="s">
        <v>84</v>
      </c>
      <c r="G358" s="45">
        <v>995000</v>
      </c>
      <c r="H358" s="44">
        <v>26</v>
      </c>
      <c r="I358" s="45">
        <v>25870000</v>
      </c>
      <c r="J358" s="44" t="s">
        <v>197</v>
      </c>
      <c r="K358" s="44" t="str">
        <f>INDEX(CLEANED_MotorPH_Products_List_2!C:C,MATCH(MotorPHSales[[#This Row],[Product]],CLEANED_MotorPH_Products_List_2!$B:$B,0))</f>
        <v>Heritage</v>
      </c>
      <c r="L358" s="44" t="str">
        <f>INDEX(CLEANED_MotorPH_Products_List_2!E:E,MATCH(MotorPHSales[[#This Row],[Product]],CLEANED_MotorPH_Products_List_2!$B:$B,0))</f>
        <v>Flat twin</v>
      </c>
      <c r="M358" s="44" t="str">
        <f>INDEX(CLEANED_MotorPH_Products_List_2!F:F,MATCH(MotorPHSales[[#This Row],[Product]],CLEANED_MotorPH_Products_List_2!$B:$B,0))</f>
        <v>air</v>
      </c>
      <c r="N358" s="44">
        <f>INDEX(CLEANED_MotorPH_Products_List_2!G:G,MATCH(MotorPHSales[[#This Row],[Product]],CLEANED_MotorPH_Products_List_2!$B:$B,0))</f>
        <v>0</v>
      </c>
      <c r="O358" s="44" t="str">
        <f>INDEX(CLEANED_MotorPH_Products_List_2!K:K,MATCH(MotorPHSales[[#This Row],[Product]],CLEANED_MotorPH_Products_List_2!B:B,0))</f>
        <v>Premium</v>
      </c>
      <c r="P358" s="45">
        <f>IF(MotorPHSales[[#This Row],[Segment]]="Entry-level",MotorPHSales[[#This Row],[UnitPrice]]/(1+30%),IF(MotorPHSales[[#This Row],[Segment]]="Mid-range",MotorPHSales[[#This Row],[UnitPrice]]/(1+35%),MotorPHSales[[#This Row],[UnitPrice]]/(1+40%)))*MotorPHSales[[#This Row],[Quantity]]</f>
        <v>18478571.428571429</v>
      </c>
      <c r="Q358" s="44">
        <f>INDEX(CLEANED_MotorPH_Products_List_2!H:H,MATCH(MotorPHSales[[#This Row],[Product]],CLEANED_MotorPH_Products_List_2!$B:$B,0))</f>
        <v>0</v>
      </c>
    </row>
    <row r="359" spans="1:17" ht="15.75" x14ac:dyDescent="0.3">
      <c r="A359" s="43">
        <v>45894</v>
      </c>
      <c r="B359" s="44" t="str">
        <f>TEXT(MotorPHSales[[#This Row],[Date]],"mmmm")</f>
        <v>August</v>
      </c>
      <c r="C359" s="44">
        <f>DAY(MotorPHSales[[#This Row],[Date]])</f>
        <v>25</v>
      </c>
      <c r="D359" s="44">
        <f>YEAR(MotorPHSales[[#This Row],[Date]])</f>
        <v>2025</v>
      </c>
      <c r="E359" s="44" t="s">
        <v>194</v>
      </c>
      <c r="F359" s="44" t="s">
        <v>86</v>
      </c>
      <c r="G359" s="45">
        <v>650000</v>
      </c>
      <c r="H359" s="44">
        <v>50</v>
      </c>
      <c r="I359" s="45">
        <v>32500000</v>
      </c>
      <c r="J359" s="44" t="s">
        <v>195</v>
      </c>
      <c r="K359" s="44" t="str">
        <f>INDEX(CLEANED_MotorPH_Products_List_2!C:C,MATCH(MotorPHSales[[#This Row],[Product]],CLEANED_MotorPH_Products_List_2!$B:$B,0))</f>
        <v>Cruiser</v>
      </c>
      <c r="L359" s="44" t="str">
        <f>INDEX(CLEANED_MotorPH_Products_List_2!E:E,MATCH(MotorPHSales[[#This Row],[Product]],CLEANED_MotorPH_Products_List_2!$B:$B,0))</f>
        <v>Parallel-twin</v>
      </c>
      <c r="M359" s="44" t="str">
        <f>INDEX(CLEANED_MotorPH_Products_List_2!F:F,MATCH(MotorPHSales[[#This Row],[Product]],CLEANED_MotorPH_Products_List_2!$B:$B,0))</f>
        <v>liquid-cooled</v>
      </c>
      <c r="N359" s="44" t="str">
        <f>INDEX(CLEANED_MotorPH_Products_List_2!G:G,MATCH(MotorPHSales[[#This Row],[Product]],CLEANED_MotorPH_Products_List_2!$B:$B,0))</f>
        <v>1084cc</v>
      </c>
      <c r="O359" s="44" t="str">
        <f>INDEX(CLEANED_MotorPH_Products_List_2!K:K,MATCH(MotorPHSales[[#This Row],[Product]],CLEANED_MotorPH_Products_List_2!B:B,0))</f>
        <v>Premium</v>
      </c>
      <c r="P359" s="45">
        <f>IF(MotorPHSales[[#This Row],[Segment]]="Entry-level",MotorPHSales[[#This Row],[UnitPrice]]/(1+30%),IF(MotorPHSales[[#This Row],[Segment]]="Mid-range",MotorPHSales[[#This Row],[UnitPrice]]/(1+35%),MotorPHSales[[#This Row],[UnitPrice]]/(1+40%)))*MotorPHSales[[#This Row],[Quantity]]</f>
        <v>23214285.714285716</v>
      </c>
      <c r="Q359" s="44" t="str">
        <f>INDEX(CLEANED_MotorPH_Products_List_2!H:H,MATCH(MotorPHSales[[#This Row],[Product]],CLEANED_MotorPH_Products_List_2!$B:$B,0))</f>
        <v>6-speed</v>
      </c>
    </row>
    <row r="360" spans="1:17" ht="15.75" x14ac:dyDescent="0.3">
      <c r="A360" s="43">
        <v>45831</v>
      </c>
      <c r="B360" s="44" t="str">
        <f>TEXT(MotorPHSales[[#This Row],[Date]],"mmmm")</f>
        <v>June</v>
      </c>
      <c r="C360" s="44">
        <f>DAY(MotorPHSales[[#This Row],[Date]])</f>
        <v>23</v>
      </c>
      <c r="D360" s="44">
        <f>YEAR(MotorPHSales[[#This Row],[Date]])</f>
        <v>2025</v>
      </c>
      <c r="E360" s="44" t="s">
        <v>196</v>
      </c>
      <c r="F360" s="44" t="s">
        <v>82</v>
      </c>
      <c r="G360" s="45">
        <v>199000</v>
      </c>
      <c r="H360" s="44">
        <v>8</v>
      </c>
      <c r="I360" s="45">
        <v>1592000</v>
      </c>
      <c r="J360" s="44" t="s">
        <v>198</v>
      </c>
      <c r="K360" s="44" t="str">
        <f>INDEX(CLEANED_MotorPH_Products_List_2!C:C,MATCH(MotorPHSales[[#This Row],[Product]],CLEANED_MotorPH_Products_List_2!$B:$B,0))</f>
        <v>Dual-sport</v>
      </c>
      <c r="L360" s="44" t="str">
        <f>INDEX(CLEANED_MotorPH_Products_List_2!E:E,MATCH(MotorPHSales[[#This Row],[Product]],CLEANED_MotorPH_Products_List_2!$B:$B,0))</f>
        <v>Single cylinder</v>
      </c>
      <c r="M360" s="44" t="str">
        <f>INDEX(CLEANED_MotorPH_Products_List_2!F:F,MATCH(MotorPHSales[[#This Row],[Product]],CLEANED_MotorPH_Products_List_2!$B:$B,0))</f>
        <v>air-cooled</v>
      </c>
      <c r="N360" s="44" t="str">
        <f>INDEX(CLEANED_MotorPH_Products_List_2!G:G,MATCH(MotorPHSales[[#This Row],[Product]],CLEANED_MotorPH_Products_List_2!$B:$B,0))</f>
        <v>233cc</v>
      </c>
      <c r="O360" s="44" t="str">
        <f>INDEX(CLEANED_MotorPH_Products_List_2!K:K,MATCH(MotorPHSales[[#This Row],[Product]],CLEANED_MotorPH_Products_List_2!B:B,0))</f>
        <v>Mid-range</v>
      </c>
      <c r="P360" s="45">
        <f>IF(MotorPHSales[[#This Row],[Segment]]="Entry-level",MotorPHSales[[#This Row],[UnitPrice]]/(1+30%),IF(MotorPHSales[[#This Row],[Segment]]="Mid-range",MotorPHSales[[#This Row],[UnitPrice]]/(1+35%),MotorPHSales[[#This Row],[UnitPrice]]/(1+40%)))*MotorPHSales[[#This Row],[Quantity]]</f>
        <v>1179259.2592592591</v>
      </c>
      <c r="Q360" s="44" t="str">
        <f>INDEX(CLEANED_MotorPH_Products_List_2!H:H,MATCH(MotorPHSales[[#This Row],[Product]],CLEANED_MotorPH_Products_List_2!$B:$B,0))</f>
        <v>6-speed</v>
      </c>
    </row>
    <row r="361" spans="1:17" ht="15.75" x14ac:dyDescent="0.3">
      <c r="A361" s="43">
        <v>45874</v>
      </c>
      <c r="B361" s="44" t="str">
        <f>TEXT(MotorPHSales[[#This Row],[Date]],"mmmm")</f>
        <v>August</v>
      </c>
      <c r="C361" s="44">
        <f>DAY(MotorPHSales[[#This Row],[Date]])</f>
        <v>5</v>
      </c>
      <c r="D361" s="44">
        <f>YEAR(MotorPHSales[[#This Row],[Date]])</f>
        <v>2025</v>
      </c>
      <c r="E361" s="44" t="s">
        <v>194</v>
      </c>
      <c r="F361" s="44" t="s">
        <v>68</v>
      </c>
      <c r="G361" s="45">
        <v>248000</v>
      </c>
      <c r="H361" s="44">
        <v>18</v>
      </c>
      <c r="I361" s="45">
        <v>4464000</v>
      </c>
      <c r="J361" s="44" t="s">
        <v>198</v>
      </c>
      <c r="K361" s="44" t="str">
        <f>INDEX(CLEANED_MotorPH_Products_List_2!C:C,MATCH(MotorPHSales[[#This Row],[Product]],CLEANED_MotorPH_Products_List_2!$B:$B,0))</f>
        <v>Adventure</v>
      </c>
      <c r="L361" s="44" t="str">
        <f>INDEX(CLEANED_MotorPH_Products_List_2!E:E,MATCH(MotorPHSales[[#This Row],[Product]],CLEANED_MotorPH_Products_List_2!$B:$B,0))</f>
        <v>Single cylinder</v>
      </c>
      <c r="M361" s="44" t="str">
        <f>INDEX(CLEANED_MotorPH_Products_List_2!F:F,MATCH(MotorPHSales[[#This Row],[Product]],CLEANED_MotorPH_Products_List_2!$B:$B,0))</f>
        <v>liquid-cooled</v>
      </c>
      <c r="N361" s="44" t="str">
        <f>INDEX(CLEANED_MotorPH_Products_List_2!G:G,MATCH(MotorPHSales[[#This Row],[Product]],CLEANED_MotorPH_Products_List_2!$B:$B,0))</f>
        <v>312cc</v>
      </c>
      <c r="O361" s="44" t="str">
        <f>INDEX(CLEANED_MotorPH_Products_List_2!K:K,MATCH(MotorPHSales[[#This Row],[Product]],CLEANED_MotorPH_Products_List_2!B:B,0))</f>
        <v>Mid-range</v>
      </c>
      <c r="P361" s="45">
        <f>IF(MotorPHSales[[#This Row],[Segment]]="Entry-level",MotorPHSales[[#This Row],[UnitPrice]]/(1+30%),IF(MotorPHSales[[#This Row],[Segment]]="Mid-range",MotorPHSales[[#This Row],[UnitPrice]]/(1+35%),MotorPHSales[[#This Row],[UnitPrice]]/(1+40%)))*MotorPHSales[[#This Row],[Quantity]]</f>
        <v>3306666.666666666</v>
      </c>
      <c r="Q361" s="44" t="str">
        <f>INDEX(CLEANED_MotorPH_Products_List_2!H:H,MATCH(MotorPHSales[[#This Row],[Product]],CLEANED_MotorPH_Products_List_2!$B:$B,0))</f>
        <v>6-speed</v>
      </c>
    </row>
    <row r="362" spans="1:17" ht="15.75" x14ac:dyDescent="0.3">
      <c r="A362" s="43">
        <v>45835</v>
      </c>
      <c r="B362" s="44" t="str">
        <f>TEXT(MotorPHSales[[#This Row],[Date]],"mmmm")</f>
        <v>June</v>
      </c>
      <c r="C362" s="44">
        <f>DAY(MotorPHSales[[#This Row],[Date]])</f>
        <v>27</v>
      </c>
      <c r="D362" s="44">
        <f>YEAR(MotorPHSales[[#This Row],[Date]])</f>
        <v>2025</v>
      </c>
      <c r="E362" s="44" t="s">
        <v>194</v>
      </c>
      <c r="F362" s="44" t="s">
        <v>22</v>
      </c>
      <c r="G362" s="45">
        <v>182000</v>
      </c>
      <c r="H362" s="44">
        <v>21</v>
      </c>
      <c r="I362" s="45">
        <v>3822000</v>
      </c>
      <c r="J362" s="44" t="s">
        <v>195</v>
      </c>
      <c r="K362" s="44" t="str">
        <f>INDEX(CLEANED_MotorPH_Products_List_2!C:C,MATCH(MotorPHSales[[#This Row],[Product]],CLEANED_MotorPH_Products_List_2!$B:$B,0))</f>
        <v>Retro</v>
      </c>
      <c r="L362" s="44" t="str">
        <f>INDEX(CLEANED_MotorPH_Products_List_2!E:E,MATCH(MotorPHSales[[#This Row],[Product]],CLEANED_MotorPH_Products_List_2!$B:$B,0))</f>
        <v>Single cylinder</v>
      </c>
      <c r="M362" s="44" t="str">
        <f>INDEX(CLEANED_MotorPH_Products_List_2!F:F,MATCH(MotorPHSales[[#This Row],[Product]],CLEANED_MotorPH_Products_List_2!$B:$B,0))</f>
        <v>liquid-cooled</v>
      </c>
      <c r="N362" s="44" t="str">
        <f>INDEX(CLEANED_MotorPH_Products_List_2!G:G,MATCH(MotorPHSales[[#This Row],[Product]],CLEANED_MotorPH_Products_List_2!$B:$B,0))</f>
        <v>155cc</v>
      </c>
      <c r="O362" s="44" t="str">
        <f>INDEX(CLEANED_MotorPH_Products_List_2!K:K,MATCH(MotorPHSales[[#This Row],[Product]],CLEANED_MotorPH_Products_List_2!B:B,0))</f>
        <v>Entry-level</v>
      </c>
      <c r="P362" s="45">
        <f>IF(MotorPHSales[[#This Row],[Segment]]="Entry-level",MotorPHSales[[#This Row],[UnitPrice]]/(1+30%),IF(MotorPHSales[[#This Row],[Segment]]="Mid-range",MotorPHSales[[#This Row],[UnitPrice]]/(1+35%),MotorPHSales[[#This Row],[UnitPrice]]/(1+40%)))*MotorPHSales[[#This Row],[Quantity]]</f>
        <v>2940000</v>
      </c>
      <c r="Q362" s="44" t="str">
        <f>INDEX(CLEANED_MotorPH_Products_List_2!H:H,MATCH(MotorPHSales[[#This Row],[Product]],CLEANED_MotorPH_Products_List_2!$B:$B,0))</f>
        <v>6-speed</v>
      </c>
    </row>
    <row r="363" spans="1:17" ht="15.75" x14ac:dyDescent="0.3">
      <c r="A363" s="43">
        <v>45810</v>
      </c>
      <c r="B363" s="44" t="str">
        <f>TEXT(MotorPHSales[[#This Row],[Date]],"mmmm")</f>
        <v>June</v>
      </c>
      <c r="C363" s="44">
        <f>DAY(MotorPHSales[[#This Row],[Date]])</f>
        <v>2</v>
      </c>
      <c r="D363" s="44">
        <f>YEAR(MotorPHSales[[#This Row],[Date]])</f>
        <v>2025</v>
      </c>
      <c r="E363" s="44" t="s">
        <v>196</v>
      </c>
      <c r="F363" s="44" t="s">
        <v>8</v>
      </c>
      <c r="G363" s="45">
        <v>178000</v>
      </c>
      <c r="H363" s="44">
        <v>1</v>
      </c>
      <c r="I363" s="45">
        <v>178000</v>
      </c>
      <c r="J363" s="44" t="s">
        <v>198</v>
      </c>
      <c r="K363" s="44" t="str">
        <f>INDEX(CLEANED_MotorPH_Products_List_2!C:C,MATCH(MotorPHSales[[#This Row],[Product]],CLEANED_MotorPH_Products_List_2!$B:$B,0))</f>
        <v>Naked bike</v>
      </c>
      <c r="L363" s="44" t="str">
        <f>INDEX(CLEANED_MotorPH_Products_List_2!E:E,MATCH(MotorPHSales[[#This Row],[Product]],CLEANED_MotorPH_Products_List_2!$B:$B,0))</f>
        <v>Single cylinder</v>
      </c>
      <c r="M363" s="44" t="str">
        <f>INDEX(CLEANED_MotorPH_Products_List_2!F:F,MATCH(MotorPHSales[[#This Row],[Product]],CLEANED_MotorPH_Products_List_2!$B:$B,0))</f>
        <v>liquid-cooled</v>
      </c>
      <c r="N363" s="44" t="str">
        <f>INDEX(CLEANED_MotorPH_Products_List_2!G:G,MATCH(MotorPHSales[[#This Row],[Product]],CLEANED_MotorPH_Products_List_2!$B:$B,0))</f>
        <v>155cc</v>
      </c>
      <c r="O363" s="44" t="str">
        <f>INDEX(CLEANED_MotorPH_Products_List_2!K:K,MATCH(MotorPHSales[[#This Row],[Product]],CLEANED_MotorPH_Products_List_2!B:B,0))</f>
        <v>Entry-level</v>
      </c>
      <c r="P363" s="45">
        <f>IF(MotorPHSales[[#This Row],[Segment]]="Entry-level",MotorPHSales[[#This Row],[UnitPrice]]/(1+30%),IF(MotorPHSales[[#This Row],[Segment]]="Mid-range",MotorPHSales[[#This Row],[UnitPrice]]/(1+35%),MotorPHSales[[#This Row],[UnitPrice]]/(1+40%)))*MotorPHSales[[#This Row],[Quantity]]</f>
        <v>136923.07692307691</v>
      </c>
      <c r="Q363" s="44" t="str">
        <f>INDEX(CLEANED_MotorPH_Products_List_2!H:H,MATCH(MotorPHSales[[#This Row],[Product]],CLEANED_MotorPH_Products_List_2!$B:$B,0))</f>
        <v>6-speed</v>
      </c>
    </row>
    <row r="364" spans="1:17" ht="15.75" x14ac:dyDescent="0.3">
      <c r="A364" s="43">
        <v>45898</v>
      </c>
      <c r="B364" s="44" t="str">
        <f>TEXT(MotorPHSales[[#This Row],[Date]],"mmmm")</f>
        <v>August</v>
      </c>
      <c r="C364" s="44">
        <f>DAY(MotorPHSales[[#This Row],[Date]])</f>
        <v>29</v>
      </c>
      <c r="D364" s="44">
        <f>YEAR(MotorPHSales[[#This Row],[Date]])</f>
        <v>2025</v>
      </c>
      <c r="E364" s="44" t="s">
        <v>194</v>
      </c>
      <c r="F364" s="44" t="s">
        <v>16</v>
      </c>
      <c r="G364" s="45">
        <v>165000</v>
      </c>
      <c r="H364" s="44">
        <v>15</v>
      </c>
      <c r="I364" s="45">
        <v>2475000</v>
      </c>
      <c r="J364" s="44" t="s">
        <v>195</v>
      </c>
      <c r="K364" s="44" t="str">
        <f>INDEX(CLEANED_MotorPH_Products_List_2!C:C,MATCH(MotorPHSales[[#This Row],[Product]],CLEANED_MotorPH_Products_List_2!$B:$B,0))</f>
        <v>Naked bike</v>
      </c>
      <c r="L364" s="44" t="str">
        <f>INDEX(CLEANED_MotorPH_Products_List_2!E:E,MATCH(MotorPHSales[[#This Row],[Product]],CLEANED_MotorPH_Products_List_2!$B:$B,0))</f>
        <v>Single cylinder</v>
      </c>
      <c r="M364" s="44" t="str">
        <f>INDEX(CLEANED_MotorPH_Products_List_2!F:F,MATCH(MotorPHSales[[#This Row],[Product]],CLEANED_MotorPH_Products_List_2!$B:$B,0))</f>
        <v>liquid-cooled</v>
      </c>
      <c r="N364" s="44" t="str">
        <f>INDEX(CLEANED_MotorPH_Products_List_2!G:G,MATCH(MotorPHSales[[#This Row],[Product]],CLEANED_MotorPH_Products_List_2!$B:$B,0))</f>
        <v>292cc</v>
      </c>
      <c r="O364" s="44" t="str">
        <f>INDEX(CLEANED_MotorPH_Products_List_2!K:K,MATCH(MotorPHSales[[#This Row],[Product]],CLEANED_MotorPH_Products_List_2!B:B,0))</f>
        <v>Mid-range</v>
      </c>
      <c r="P364" s="45">
        <f>IF(MotorPHSales[[#This Row],[Segment]]="Entry-level",MotorPHSales[[#This Row],[UnitPrice]]/(1+30%),IF(MotorPHSales[[#This Row],[Segment]]="Mid-range",MotorPHSales[[#This Row],[UnitPrice]]/(1+35%),MotorPHSales[[#This Row],[UnitPrice]]/(1+40%)))*MotorPHSales[[#This Row],[Quantity]]</f>
        <v>1833333.3333333333</v>
      </c>
      <c r="Q364" s="44" t="str">
        <f>INDEX(CLEANED_MotorPH_Products_List_2!H:H,MATCH(MotorPHSales[[#This Row],[Product]],CLEANED_MotorPH_Products_List_2!$B:$B,0))</f>
        <v>6-speed</v>
      </c>
    </row>
    <row r="365" spans="1:17" ht="15.75" x14ac:dyDescent="0.3">
      <c r="A365" s="43">
        <v>45825</v>
      </c>
      <c r="B365" s="44" t="str">
        <f>TEXT(MotorPHSales[[#This Row],[Date]],"mmmm")</f>
        <v>June</v>
      </c>
      <c r="C365" s="44">
        <f>DAY(MotorPHSales[[#This Row],[Date]])</f>
        <v>17</v>
      </c>
      <c r="D365" s="44">
        <f>YEAR(MotorPHSales[[#This Row],[Date]])</f>
        <v>2025</v>
      </c>
      <c r="E365" s="44" t="s">
        <v>196</v>
      </c>
      <c r="F365" s="44" t="s">
        <v>64</v>
      </c>
      <c r="G365" s="45">
        <v>128000</v>
      </c>
      <c r="H365" s="44">
        <v>15</v>
      </c>
      <c r="I365" s="45">
        <v>1920000</v>
      </c>
      <c r="J365" s="44" t="s">
        <v>195</v>
      </c>
      <c r="K365" s="44" t="str">
        <f>INDEX(CLEANED_MotorPH_Products_List_2!C:C,MATCH(MotorPHSales[[#This Row],[Product]],CLEANED_MotorPH_Products_List_2!$B:$B,0))</f>
        <v>Scooter</v>
      </c>
      <c r="L365" s="44" t="str">
        <f>INDEX(CLEANED_MotorPH_Products_List_2!E:E,MATCH(MotorPHSales[[#This Row],[Product]],CLEANED_MotorPH_Products_List_2!$B:$B,0))</f>
        <v>Single cylinder</v>
      </c>
      <c r="M365" s="44" t="str">
        <f>INDEX(CLEANED_MotorPH_Products_List_2!F:F,MATCH(MotorPHSales[[#This Row],[Product]],CLEANED_MotorPH_Products_List_2!$B:$B,0))</f>
        <v>liquid-cooled</v>
      </c>
      <c r="N365" s="44" t="str">
        <f>INDEX(CLEANED_MotorPH_Products_List_2!G:G,MATCH(MotorPHSales[[#This Row],[Product]],CLEANED_MotorPH_Products_List_2!$B:$B,0))</f>
        <v>149cc</v>
      </c>
      <c r="O365" s="44" t="str">
        <f>INDEX(CLEANED_MotorPH_Products_List_2!K:K,MATCH(MotorPHSales[[#This Row],[Product]],CLEANED_MotorPH_Products_List_2!B:B,0))</f>
        <v>Entry-level</v>
      </c>
      <c r="P365" s="45">
        <f>IF(MotorPHSales[[#This Row],[Segment]]="Entry-level",MotorPHSales[[#This Row],[UnitPrice]]/(1+30%),IF(MotorPHSales[[#This Row],[Segment]]="Mid-range",MotorPHSales[[#This Row],[UnitPrice]]/(1+35%),MotorPHSales[[#This Row],[UnitPrice]]/(1+40%)))*MotorPHSales[[#This Row],[Quantity]]</f>
        <v>1476923.0769230768</v>
      </c>
      <c r="Q365" s="44" t="str">
        <f>INDEX(CLEANED_MotorPH_Products_List_2!H:H,MATCH(MotorPHSales[[#This Row],[Product]],CLEANED_MotorPH_Products_List_2!$B:$B,0))</f>
        <v>CVT</v>
      </c>
    </row>
    <row r="366" spans="1:17" ht="15.75" x14ac:dyDescent="0.3">
      <c r="A366" s="43">
        <v>45841</v>
      </c>
      <c r="B366" s="44" t="str">
        <f>TEXT(MotorPHSales[[#This Row],[Date]],"mmmm")</f>
        <v>July</v>
      </c>
      <c r="C366" s="44">
        <f>DAY(MotorPHSales[[#This Row],[Date]])</f>
        <v>3</v>
      </c>
      <c r="D366" s="44">
        <f>YEAR(MotorPHSales[[#This Row],[Date]])</f>
        <v>2025</v>
      </c>
      <c r="E366" s="44" t="s">
        <v>194</v>
      </c>
      <c r="F366" s="44" t="s">
        <v>61</v>
      </c>
      <c r="G366" s="45">
        <v>284900</v>
      </c>
      <c r="H366" s="44">
        <v>12</v>
      </c>
      <c r="I366" s="45">
        <v>3418800</v>
      </c>
      <c r="J366" s="44" t="s">
        <v>197</v>
      </c>
      <c r="K366" s="44" t="str">
        <f>INDEX(CLEANED_MotorPH_Products_List_2!C:C,MATCH(MotorPHSales[[#This Row],[Product]],CLEANED_MotorPH_Products_List_2!$B:$B,0))</f>
        <v>Dual-sport</v>
      </c>
      <c r="L366" s="44" t="str">
        <f>INDEX(CLEANED_MotorPH_Products_List_2!E:E,MATCH(MotorPHSales[[#This Row],[Product]],CLEANED_MotorPH_Products_List_2!$B:$B,0))</f>
        <v>Single cylinder</v>
      </c>
      <c r="M366" s="44" t="str">
        <f>INDEX(CLEANED_MotorPH_Products_List_2!F:F,MATCH(MotorPHSales[[#This Row],[Product]],CLEANED_MotorPH_Products_List_2!$B:$B,0))</f>
        <v>liquid-cooled</v>
      </c>
      <c r="N366" s="44" t="str">
        <f>INDEX(CLEANED_MotorPH_Products_List_2!G:G,MATCH(MotorPHSales[[#This Row],[Product]],CLEANED_MotorPH_Products_List_2!$B:$B,0))</f>
        <v>286cc</v>
      </c>
      <c r="O366" s="44" t="str">
        <f>INDEX(CLEANED_MotorPH_Products_List_2!K:K,MATCH(MotorPHSales[[#This Row],[Product]],CLEANED_MotorPH_Products_List_2!B:B,0))</f>
        <v>Mid-range</v>
      </c>
      <c r="P366" s="45">
        <f>IF(MotorPHSales[[#This Row],[Segment]]="Entry-level",MotorPHSales[[#This Row],[UnitPrice]]/(1+30%),IF(MotorPHSales[[#This Row],[Segment]]="Mid-range",MotorPHSales[[#This Row],[UnitPrice]]/(1+35%),MotorPHSales[[#This Row],[UnitPrice]]/(1+40%)))*MotorPHSales[[#This Row],[Quantity]]</f>
        <v>2532444.444444444</v>
      </c>
      <c r="Q366" s="44" t="str">
        <f>INDEX(CLEANED_MotorPH_Products_List_2!H:H,MATCH(MotorPHSales[[#This Row],[Product]],CLEANED_MotorPH_Products_List_2!$B:$B,0))</f>
        <v>6-speed</v>
      </c>
    </row>
    <row r="367" spans="1:17" ht="15.75" x14ac:dyDescent="0.3">
      <c r="A367" s="43">
        <v>45658</v>
      </c>
      <c r="B367" s="44" t="str">
        <f>TEXT(MotorPHSales[[#This Row],[Date]],"mmmm")</f>
        <v>January</v>
      </c>
      <c r="C367" s="44">
        <f>DAY(MotorPHSales[[#This Row],[Date]])</f>
        <v>1</v>
      </c>
      <c r="D367" s="44">
        <f>YEAR(MotorPHSales[[#This Row],[Date]])</f>
        <v>2025</v>
      </c>
      <c r="E367" s="44" t="s">
        <v>196</v>
      </c>
      <c r="F367" s="44" t="s">
        <v>96</v>
      </c>
      <c r="G367" s="45">
        <v>80900</v>
      </c>
      <c r="H367" s="44">
        <v>47</v>
      </c>
      <c r="I367" s="45">
        <v>3802300</v>
      </c>
      <c r="J367" s="44" t="s">
        <v>197</v>
      </c>
      <c r="K367" s="44" t="str">
        <f>INDEX(CLEANED_MotorPH_Products_List_2!C:C,MATCH(MotorPHSales[[#This Row],[Product]],CLEANED_MotorPH_Products_List_2!$B:$B,0))</f>
        <v>Scooter</v>
      </c>
      <c r="L367" s="44" t="str">
        <f>INDEX(CLEANED_MotorPH_Products_List_2!E:E,MATCH(MotorPHSales[[#This Row],[Product]],CLEANED_MotorPH_Products_List_2!$B:$B,0))</f>
        <v>Single cylinder</v>
      </c>
      <c r="M367" s="44" t="str">
        <f>INDEX(CLEANED_MotorPH_Products_List_2!F:F,MATCH(MotorPHSales[[#This Row],[Product]],CLEANED_MotorPH_Products_List_2!$B:$B,0))</f>
        <v>air-cooled</v>
      </c>
      <c r="N367" s="44" t="str">
        <f>INDEX(CLEANED_MotorPH_Products_List_2!G:G,MATCH(MotorPHSales[[#This Row],[Product]],CLEANED_MotorPH_Products_List_2!$B:$B,0))</f>
        <v>124cc</v>
      </c>
      <c r="O367" s="44" t="str">
        <f>INDEX(CLEANED_MotorPH_Products_List_2!K:K,MATCH(MotorPHSales[[#This Row],[Product]],CLEANED_MotorPH_Products_List_2!B:B,0))</f>
        <v>Entry-level</v>
      </c>
      <c r="P367" s="45">
        <f>IF(MotorPHSales[[#This Row],[Segment]]="Entry-level",MotorPHSales[[#This Row],[UnitPrice]]/(1+30%),IF(MotorPHSales[[#This Row],[Segment]]="Mid-range",MotorPHSales[[#This Row],[UnitPrice]]/(1+35%),MotorPHSales[[#This Row],[UnitPrice]]/(1+40%)))*MotorPHSales[[#This Row],[Quantity]]</f>
        <v>2924846.1538461535</v>
      </c>
      <c r="Q367" s="44" t="str">
        <f>INDEX(CLEANED_MotorPH_Products_List_2!H:H,MATCH(MotorPHSales[[#This Row],[Product]],CLEANED_MotorPH_Products_List_2!$B:$B,0))</f>
        <v>CVT</v>
      </c>
    </row>
    <row r="368" spans="1:17" ht="15.75" x14ac:dyDescent="0.3">
      <c r="A368" s="43">
        <v>45851</v>
      </c>
      <c r="B368" s="44" t="str">
        <f>TEXT(MotorPHSales[[#This Row],[Date]],"mmmm")</f>
        <v>July</v>
      </c>
      <c r="C368" s="44">
        <f>DAY(MotorPHSales[[#This Row],[Date]])</f>
        <v>13</v>
      </c>
      <c r="D368" s="44">
        <f>YEAR(MotorPHSales[[#This Row],[Date]])</f>
        <v>2025</v>
      </c>
      <c r="E368" s="44" t="s">
        <v>196</v>
      </c>
      <c r="F368" s="44" t="s">
        <v>38</v>
      </c>
      <c r="G368" s="45">
        <v>295000</v>
      </c>
      <c r="H368" s="44">
        <v>4</v>
      </c>
      <c r="I368" s="45">
        <v>1180000</v>
      </c>
      <c r="J368" s="44" t="s">
        <v>198</v>
      </c>
      <c r="K368" s="44" t="str">
        <f>INDEX(CLEANED_MotorPH_Products_List_2!C:C,MATCH(MotorPHSales[[#This Row],[Product]],CLEANED_MotorPH_Products_List_2!$B:$B,0))</f>
        <v>Scrambler</v>
      </c>
      <c r="L368" s="44" t="str">
        <f>INDEX(CLEANED_MotorPH_Products_List_2!E:E,MATCH(MotorPHSales[[#This Row],[Product]],CLEANED_MotorPH_Products_List_2!$B:$B,0))</f>
        <v>Single cylinder</v>
      </c>
      <c r="M368" s="44" t="str">
        <f>INDEX(CLEANED_MotorPH_Products_List_2!F:F,MATCH(MotorPHSales[[#This Row],[Product]],CLEANED_MotorPH_Products_List_2!$B:$B,0))</f>
        <v>liquid-cooled</v>
      </c>
      <c r="N368" s="44" t="str">
        <f>INDEX(CLEANED_MotorPH_Products_List_2!G:G,MATCH(MotorPHSales[[#This Row],[Product]],CLEANED_MotorPH_Products_List_2!$B:$B,0))</f>
        <v>373cc</v>
      </c>
      <c r="O368" s="44" t="str">
        <f>INDEX(CLEANED_MotorPH_Products_List_2!K:K,MATCH(MotorPHSales[[#This Row],[Product]],CLEANED_MotorPH_Products_List_2!B:B,0))</f>
        <v>Mid-range</v>
      </c>
      <c r="P368" s="45">
        <f>IF(MotorPHSales[[#This Row],[Segment]]="Entry-level",MotorPHSales[[#This Row],[UnitPrice]]/(1+30%),IF(MotorPHSales[[#This Row],[Segment]]="Mid-range",MotorPHSales[[#This Row],[UnitPrice]]/(1+35%),MotorPHSales[[#This Row],[UnitPrice]]/(1+40%)))*MotorPHSales[[#This Row],[Quantity]]</f>
        <v>874074.07407407404</v>
      </c>
      <c r="Q368" s="44" t="str">
        <f>INDEX(CLEANED_MotorPH_Products_List_2!H:H,MATCH(MotorPHSales[[#This Row],[Product]],CLEANED_MotorPH_Products_List_2!$B:$B,0))</f>
        <v>6-speed</v>
      </c>
    </row>
    <row r="369" spans="1:17" ht="15.75" x14ac:dyDescent="0.3">
      <c r="A369" s="43">
        <v>45856</v>
      </c>
      <c r="B369" s="44" t="str">
        <f>TEXT(MotorPHSales[[#This Row],[Date]],"mmmm")</f>
        <v>July</v>
      </c>
      <c r="C369" s="44">
        <f>DAY(MotorPHSales[[#This Row],[Date]])</f>
        <v>18</v>
      </c>
      <c r="D369" s="44">
        <f>YEAR(MotorPHSales[[#This Row],[Date]])</f>
        <v>2025</v>
      </c>
      <c r="E369" s="44" t="s">
        <v>194</v>
      </c>
      <c r="F369" s="44" t="s">
        <v>78</v>
      </c>
      <c r="G369" s="45">
        <v>99900</v>
      </c>
      <c r="H369" s="44">
        <v>29</v>
      </c>
      <c r="I369" s="45">
        <v>2897100</v>
      </c>
      <c r="J369" s="44" t="s">
        <v>195</v>
      </c>
      <c r="K369" s="44" t="str">
        <f>INDEX(CLEANED_MotorPH_Products_List_2!C:C,MATCH(MotorPHSales[[#This Row],[Product]],CLEANED_MotorPH_Products_List_2!$B:$B,0))</f>
        <v>Street</v>
      </c>
      <c r="L369" s="44" t="str">
        <f>INDEX(CLEANED_MotorPH_Products_List_2!E:E,MATCH(MotorPHSales[[#This Row],[Product]],CLEANED_MotorPH_Products_List_2!$B:$B,0))</f>
        <v>Single cylinder</v>
      </c>
      <c r="M369" s="44" t="str">
        <f>INDEX(CLEANED_MotorPH_Products_List_2!F:F,MATCH(MotorPHSales[[#This Row],[Product]],CLEANED_MotorPH_Products_List_2!$B:$B,0))</f>
        <v>air-cooled</v>
      </c>
      <c r="N369" s="44" t="str">
        <f>INDEX(CLEANED_MotorPH_Products_List_2!G:G,MATCH(MotorPHSales[[#This Row],[Product]],CLEANED_MotorPH_Products_List_2!$B:$B,0))</f>
        <v>149cc</v>
      </c>
      <c r="O369" s="44" t="str">
        <f>INDEX(CLEANED_MotorPH_Products_List_2!K:K,MATCH(MotorPHSales[[#This Row],[Product]],CLEANED_MotorPH_Products_List_2!B:B,0))</f>
        <v>Entry-level</v>
      </c>
      <c r="P369" s="45">
        <f>IF(MotorPHSales[[#This Row],[Segment]]="Entry-level",MotorPHSales[[#This Row],[UnitPrice]]/(1+30%),IF(MotorPHSales[[#This Row],[Segment]]="Mid-range",MotorPHSales[[#This Row],[UnitPrice]]/(1+35%),MotorPHSales[[#This Row],[UnitPrice]]/(1+40%)))*MotorPHSales[[#This Row],[Quantity]]</f>
        <v>2228538.4615384615</v>
      </c>
      <c r="Q369" s="44" t="str">
        <f>INDEX(CLEANED_MotorPH_Products_List_2!H:H,MATCH(MotorPHSales[[#This Row],[Product]],CLEANED_MotorPH_Products_List_2!$B:$B,0))</f>
        <v>5-speed</v>
      </c>
    </row>
    <row r="370" spans="1:17" ht="15.75" x14ac:dyDescent="0.3">
      <c r="A370" s="43">
        <v>45847</v>
      </c>
      <c r="B370" s="44" t="str">
        <f>TEXT(MotorPHSales[[#This Row],[Date]],"mmmm")</f>
        <v>July</v>
      </c>
      <c r="C370" s="44">
        <f>DAY(MotorPHSales[[#This Row],[Date]])</f>
        <v>9</v>
      </c>
      <c r="D370" s="44">
        <f>YEAR(MotorPHSales[[#This Row],[Date]])</f>
        <v>2025</v>
      </c>
      <c r="E370" s="44" t="s">
        <v>196</v>
      </c>
      <c r="F370" s="44" t="s">
        <v>36</v>
      </c>
      <c r="G370" s="45">
        <v>129000</v>
      </c>
      <c r="H370" s="44">
        <v>37</v>
      </c>
      <c r="I370" s="45">
        <v>4773000</v>
      </c>
      <c r="J370" s="44" t="s">
        <v>197</v>
      </c>
      <c r="K370" s="44" t="str">
        <f>INDEX(CLEANED_MotorPH_Products_List_2!C:C,MATCH(MotorPHSales[[#This Row],[Product]],CLEANED_MotorPH_Products_List_2!$B:$B,0))</f>
        <v>Naked bike</v>
      </c>
      <c r="L370" s="44" t="str">
        <f>INDEX(CLEANED_MotorPH_Products_List_2!E:E,MATCH(MotorPHSales[[#This Row],[Product]],CLEANED_MotorPH_Products_List_2!$B:$B,0))</f>
        <v>Single cylinder</v>
      </c>
      <c r="M370" s="44" t="str">
        <f>INDEX(CLEANED_MotorPH_Products_List_2!F:F,MATCH(MotorPHSales[[#This Row],[Product]],CLEANED_MotorPH_Products_List_2!$B:$B,0))</f>
        <v>oil-cooled</v>
      </c>
      <c r="N370" s="44" t="str">
        <f>INDEX(CLEANED_MotorPH_Products_List_2!G:G,MATCH(MotorPHSales[[#This Row],[Product]],CLEANED_MotorPH_Products_List_2!$B:$B,0))</f>
        <v>197cc</v>
      </c>
      <c r="O370" s="44" t="str">
        <f>INDEX(CLEANED_MotorPH_Products_List_2!K:K,MATCH(MotorPHSales[[#This Row],[Product]],CLEANED_MotorPH_Products_List_2!B:B,0))</f>
        <v>Entry-level</v>
      </c>
      <c r="P370" s="45">
        <f>IF(MotorPHSales[[#This Row],[Segment]]="Entry-level",MotorPHSales[[#This Row],[UnitPrice]]/(1+30%),IF(MotorPHSales[[#This Row],[Segment]]="Mid-range",MotorPHSales[[#This Row],[UnitPrice]]/(1+35%),MotorPHSales[[#This Row],[UnitPrice]]/(1+40%)))*MotorPHSales[[#This Row],[Quantity]]</f>
        <v>3671538.4615384615</v>
      </c>
      <c r="Q370" s="44" t="str">
        <f>INDEX(CLEANED_MotorPH_Products_List_2!H:H,MATCH(MotorPHSales[[#This Row],[Product]],CLEANED_MotorPH_Products_List_2!$B:$B,0))</f>
        <v>5-speed</v>
      </c>
    </row>
    <row r="371" spans="1:17" ht="15.75" x14ac:dyDescent="0.3">
      <c r="A371" s="43">
        <v>45850</v>
      </c>
      <c r="B371" s="44" t="str">
        <f>TEXT(MotorPHSales[[#This Row],[Date]],"mmmm")</f>
        <v>July</v>
      </c>
      <c r="C371" s="44">
        <f>DAY(MotorPHSales[[#This Row],[Date]])</f>
        <v>12</v>
      </c>
      <c r="D371" s="44">
        <f>YEAR(MotorPHSales[[#This Row],[Date]])</f>
        <v>2025</v>
      </c>
      <c r="E371" s="44" t="s">
        <v>196</v>
      </c>
      <c r="F371" s="44" t="s">
        <v>28</v>
      </c>
      <c r="G371" s="45">
        <v>164900</v>
      </c>
      <c r="H371" s="44">
        <v>48</v>
      </c>
      <c r="I371" s="45">
        <v>7915200</v>
      </c>
      <c r="J371" s="44" t="s">
        <v>197</v>
      </c>
      <c r="K371" s="44" t="str">
        <f>INDEX(CLEANED_MotorPH_Products_List_2!C:C,MATCH(MotorPHSales[[#This Row],[Product]],CLEANED_MotorPH_Products_List_2!$B:$B,0))</f>
        <v>Scooter</v>
      </c>
      <c r="L371" s="44" t="str">
        <f>INDEX(CLEANED_MotorPH_Products_List_2!E:E,MATCH(MotorPHSales[[#This Row],[Product]],CLEANED_MotorPH_Products_List_2!$B:$B,0))</f>
        <v>Single cylinder</v>
      </c>
      <c r="M371" s="44" t="str">
        <f>INDEX(CLEANED_MotorPH_Products_List_2!F:F,MATCH(MotorPHSales[[#This Row],[Product]],CLEANED_MotorPH_Products_List_2!$B:$B,0))</f>
        <v>liquid-cooled</v>
      </c>
      <c r="N371" s="44" t="str">
        <f>INDEX(CLEANED_MotorPH_Products_List_2!G:G,MATCH(MotorPHSales[[#This Row],[Product]],CLEANED_MotorPH_Products_List_2!$B:$B,0))</f>
        <v>157cc</v>
      </c>
      <c r="O371" s="44" t="str">
        <f>INDEX(CLEANED_MotorPH_Products_List_2!K:K,MATCH(MotorPHSales[[#This Row],[Product]],CLEANED_MotorPH_Products_List_2!B:B,0))</f>
        <v>Entry-level</v>
      </c>
      <c r="P371" s="45">
        <f>IF(MotorPHSales[[#This Row],[Segment]]="Entry-level",MotorPHSales[[#This Row],[UnitPrice]]/(1+30%),IF(MotorPHSales[[#This Row],[Segment]]="Mid-range",MotorPHSales[[#This Row],[UnitPrice]]/(1+35%),MotorPHSales[[#This Row],[UnitPrice]]/(1+40%)))*MotorPHSales[[#This Row],[Quantity]]</f>
        <v>6088615.384615384</v>
      </c>
      <c r="Q371" s="44" t="str">
        <f>INDEX(CLEANED_MotorPH_Products_List_2!H:H,MATCH(MotorPHSales[[#This Row],[Product]],CLEANED_MotorPH_Products_List_2!$B:$B,0))</f>
        <v>CVT</v>
      </c>
    </row>
    <row r="372" spans="1:17" ht="15.75" x14ac:dyDescent="0.3">
      <c r="A372" s="43">
        <v>45834</v>
      </c>
      <c r="B372" s="44" t="str">
        <f>TEXT(MotorPHSales[[#This Row],[Date]],"mmmm")</f>
        <v>June</v>
      </c>
      <c r="C372" s="44">
        <f>DAY(MotorPHSales[[#This Row],[Date]])</f>
        <v>26</v>
      </c>
      <c r="D372" s="44">
        <f>YEAR(MotorPHSales[[#This Row],[Date]])</f>
        <v>2025</v>
      </c>
      <c r="E372" s="44" t="s">
        <v>194</v>
      </c>
      <c r="F372" s="44" t="s">
        <v>80</v>
      </c>
      <c r="G372" s="45">
        <v>398000</v>
      </c>
      <c r="H372" s="44">
        <v>18</v>
      </c>
      <c r="I372" s="45">
        <v>7164000</v>
      </c>
      <c r="J372" s="44" t="s">
        <v>197</v>
      </c>
      <c r="K372" s="44" t="str">
        <f>INDEX(CLEANED_MotorPH_Products_List_2!C:C,MATCH(MotorPHSales[[#This Row],[Product]],CLEANED_MotorPH_Products_List_2!$B:$B,0))</f>
        <v>Scooter</v>
      </c>
      <c r="L372" s="44" t="str">
        <f>INDEX(CLEANED_MotorPH_Products_List_2!E:E,MATCH(MotorPHSales[[#This Row],[Product]],CLEANED_MotorPH_Products_List_2!$B:$B,0))</f>
        <v>Single cylinder</v>
      </c>
      <c r="M372" s="44" t="str">
        <f>INDEX(CLEANED_MotorPH_Products_List_2!F:F,MATCH(MotorPHSales[[#This Row],[Product]],CLEANED_MotorPH_Products_List_2!$B:$B,0))</f>
        <v>liquid-cooled</v>
      </c>
      <c r="N372" s="44" t="str">
        <f>INDEX(CLEANED_MotorPH_Products_List_2!G:G,MATCH(MotorPHSales[[#This Row],[Product]],CLEANED_MotorPH_Products_List_2!$B:$B,0))</f>
        <v>278cc</v>
      </c>
      <c r="O372" s="44" t="str">
        <f>INDEX(CLEANED_MotorPH_Products_List_2!K:K,MATCH(MotorPHSales[[#This Row],[Product]],CLEANED_MotorPH_Products_List_2!B:B,0))</f>
        <v>Mid-range</v>
      </c>
      <c r="P372" s="45">
        <f>IF(MotorPHSales[[#This Row],[Segment]]="Entry-level",MotorPHSales[[#This Row],[UnitPrice]]/(1+30%),IF(MotorPHSales[[#This Row],[Segment]]="Mid-range",MotorPHSales[[#This Row],[UnitPrice]]/(1+35%),MotorPHSales[[#This Row],[UnitPrice]]/(1+40%)))*MotorPHSales[[#This Row],[Quantity]]</f>
        <v>5306666.666666666</v>
      </c>
      <c r="Q372" s="44" t="str">
        <f>INDEX(CLEANED_MotorPH_Products_List_2!H:H,MATCH(MotorPHSales[[#This Row],[Product]],CLEANED_MotorPH_Products_List_2!$B:$B,0))</f>
        <v>CVT</v>
      </c>
    </row>
    <row r="373" spans="1:17" ht="15.75" x14ac:dyDescent="0.3">
      <c r="A373" s="43">
        <v>45858</v>
      </c>
      <c r="B373" s="44" t="str">
        <f>TEXT(MotorPHSales[[#This Row],[Date]],"mmmm")</f>
        <v>July</v>
      </c>
      <c r="C373" s="44">
        <f>DAY(MotorPHSales[[#This Row],[Date]])</f>
        <v>20</v>
      </c>
      <c r="D373" s="44">
        <f>YEAR(MotorPHSales[[#This Row],[Date]])</f>
        <v>2025</v>
      </c>
      <c r="E373" s="44" t="s">
        <v>194</v>
      </c>
      <c r="F373" s="44" t="s">
        <v>70</v>
      </c>
      <c r="G373" s="45">
        <v>219000</v>
      </c>
      <c r="H373" s="44">
        <v>7</v>
      </c>
      <c r="I373" s="45">
        <v>1533000</v>
      </c>
      <c r="J373" s="44" t="s">
        <v>197</v>
      </c>
      <c r="K373" s="44" t="str">
        <f>INDEX(CLEANED_MotorPH_Products_List_2!C:C,MATCH(MotorPHSales[[#This Row],[Product]],CLEANED_MotorPH_Products_List_2!$B:$B,0))</f>
        <v>Scooter</v>
      </c>
      <c r="L373" s="44" t="str">
        <f>INDEX(CLEANED_MotorPH_Products_List_2!E:E,MATCH(MotorPHSales[[#This Row],[Product]],CLEANED_MotorPH_Products_List_2!$B:$B,0))</f>
        <v>Single cylinder</v>
      </c>
      <c r="M373" s="44" t="str">
        <f>INDEX(CLEANED_MotorPH_Products_List_2!F:F,MATCH(MotorPHSales[[#This Row],[Product]],CLEANED_MotorPH_Products_List_2!$B:$B,0))</f>
        <v>liquid-cooled</v>
      </c>
      <c r="N373" s="44" t="str">
        <f>INDEX(CLEANED_MotorPH_Products_List_2!G:G,MATCH(MotorPHSales[[#This Row],[Product]],CLEANED_MotorPH_Products_List_2!$B:$B,0))</f>
        <v>174cc</v>
      </c>
      <c r="O373" s="44" t="str">
        <f>INDEX(CLEANED_MotorPH_Products_List_2!K:K,MATCH(MotorPHSales[[#This Row],[Product]],CLEANED_MotorPH_Products_List_2!B:B,0))</f>
        <v>Entry-level</v>
      </c>
      <c r="P373" s="45">
        <f>IF(MotorPHSales[[#This Row],[Segment]]="Entry-level",MotorPHSales[[#This Row],[UnitPrice]]/(1+30%),IF(MotorPHSales[[#This Row],[Segment]]="Mid-range",MotorPHSales[[#This Row],[UnitPrice]]/(1+35%),MotorPHSales[[#This Row],[UnitPrice]]/(1+40%)))*MotorPHSales[[#This Row],[Quantity]]</f>
        <v>1179230.7692307692</v>
      </c>
      <c r="Q373" s="44" t="str">
        <f>INDEX(CLEANED_MotorPH_Products_List_2!H:H,MATCH(MotorPHSales[[#This Row],[Product]],CLEANED_MotorPH_Products_List_2!$B:$B,0))</f>
        <v>CVT</v>
      </c>
    </row>
    <row r="374" spans="1:17" ht="15.75" x14ac:dyDescent="0.3">
      <c r="A374" s="43">
        <v>45833</v>
      </c>
      <c r="B374" s="44" t="str">
        <f>TEXT(MotorPHSales[[#This Row],[Date]],"mmmm")</f>
        <v>June</v>
      </c>
      <c r="C374" s="44">
        <f>DAY(MotorPHSales[[#This Row],[Date]])</f>
        <v>25</v>
      </c>
      <c r="D374" s="44">
        <f>YEAR(MotorPHSales[[#This Row],[Date]])</f>
        <v>2025</v>
      </c>
      <c r="E374" s="44" t="s">
        <v>196</v>
      </c>
      <c r="F374" s="44" t="s">
        <v>38</v>
      </c>
      <c r="G374" s="45">
        <v>295000</v>
      </c>
      <c r="H374" s="44">
        <v>12</v>
      </c>
      <c r="I374" s="45">
        <v>3540000</v>
      </c>
      <c r="J374" s="44" t="s">
        <v>197</v>
      </c>
      <c r="K374" s="44" t="str">
        <f>INDEX(CLEANED_MotorPH_Products_List_2!C:C,MATCH(MotorPHSales[[#This Row],[Product]],CLEANED_MotorPH_Products_List_2!$B:$B,0))</f>
        <v>Scrambler</v>
      </c>
      <c r="L374" s="44" t="str">
        <f>INDEX(CLEANED_MotorPH_Products_List_2!E:E,MATCH(MotorPHSales[[#This Row],[Product]],CLEANED_MotorPH_Products_List_2!$B:$B,0))</f>
        <v>Single cylinder</v>
      </c>
      <c r="M374" s="44" t="str">
        <f>INDEX(CLEANED_MotorPH_Products_List_2!F:F,MATCH(MotorPHSales[[#This Row],[Product]],CLEANED_MotorPH_Products_List_2!$B:$B,0))</f>
        <v>liquid-cooled</v>
      </c>
      <c r="N374" s="44" t="str">
        <f>INDEX(CLEANED_MotorPH_Products_List_2!G:G,MATCH(MotorPHSales[[#This Row],[Product]],CLEANED_MotorPH_Products_List_2!$B:$B,0))</f>
        <v>373cc</v>
      </c>
      <c r="O374" s="44" t="str">
        <f>INDEX(CLEANED_MotorPH_Products_List_2!K:K,MATCH(MotorPHSales[[#This Row],[Product]],CLEANED_MotorPH_Products_List_2!B:B,0))</f>
        <v>Mid-range</v>
      </c>
      <c r="P374" s="45">
        <f>IF(MotorPHSales[[#This Row],[Segment]]="Entry-level",MotorPHSales[[#This Row],[UnitPrice]]/(1+30%),IF(MotorPHSales[[#This Row],[Segment]]="Mid-range",MotorPHSales[[#This Row],[UnitPrice]]/(1+35%),MotorPHSales[[#This Row],[UnitPrice]]/(1+40%)))*MotorPHSales[[#This Row],[Quantity]]</f>
        <v>2622222.222222222</v>
      </c>
      <c r="Q374" s="44" t="str">
        <f>INDEX(CLEANED_MotorPH_Products_List_2!H:H,MATCH(MotorPHSales[[#This Row],[Product]],CLEANED_MotorPH_Products_List_2!$B:$B,0))</f>
        <v>6-speed</v>
      </c>
    </row>
    <row r="375" spans="1:17" ht="15.75" x14ac:dyDescent="0.3">
      <c r="A375" s="43">
        <v>45832</v>
      </c>
      <c r="B375" s="44" t="str">
        <f>TEXT(MotorPHSales[[#This Row],[Date]],"mmmm")</f>
        <v>June</v>
      </c>
      <c r="C375" s="44">
        <f>DAY(MotorPHSales[[#This Row],[Date]])</f>
        <v>24</v>
      </c>
      <c r="D375" s="44">
        <f>YEAR(MotorPHSales[[#This Row],[Date]])</f>
        <v>2025</v>
      </c>
      <c r="E375" s="44" t="s">
        <v>194</v>
      </c>
      <c r="F375" s="44" t="s">
        <v>99</v>
      </c>
      <c r="G375" s="45">
        <v>689000</v>
      </c>
      <c r="H375" s="44">
        <v>16</v>
      </c>
      <c r="I375" s="45">
        <v>11024000</v>
      </c>
      <c r="J375" s="44" t="s">
        <v>198</v>
      </c>
      <c r="K375" s="44" t="str">
        <f>INDEX(CLEANED_MotorPH_Products_List_2!C:C,MATCH(MotorPHSales[[#This Row],[Product]],CLEANED_MotorPH_Products_List_2!$B:$B,0))</f>
        <v>Heritage</v>
      </c>
      <c r="L375" s="44" t="str">
        <f>INDEX(CLEANED_MotorPH_Products_List_2!E:E,MATCH(MotorPHSales[[#This Row],[Product]],CLEANED_MotorPH_Products_List_2!$B:$B,0))</f>
        <v>V-twin</v>
      </c>
      <c r="M375" s="44" t="str">
        <f>INDEX(CLEANED_MotorPH_Products_List_2!F:F,MATCH(MotorPHSales[[#This Row],[Product]],CLEANED_MotorPH_Products_List_2!$B:$B,0))</f>
        <v>air-cooled</v>
      </c>
      <c r="N375" s="44" t="str">
        <f>INDEX(CLEANED_MotorPH_Products_List_2!G:G,MATCH(MotorPHSales[[#This Row],[Product]],CLEANED_MotorPH_Products_List_2!$B:$B,0))</f>
        <v>853cc</v>
      </c>
      <c r="O375" s="44" t="str">
        <f>INDEX(CLEANED_MotorPH_Products_List_2!K:K,MATCH(MotorPHSales[[#This Row],[Product]],CLEANED_MotorPH_Products_List_2!B:B,0))</f>
        <v>Premium</v>
      </c>
      <c r="P375" s="45">
        <f>IF(MotorPHSales[[#This Row],[Segment]]="Entry-level",MotorPHSales[[#This Row],[UnitPrice]]/(1+30%),IF(MotorPHSales[[#This Row],[Segment]]="Mid-range",MotorPHSales[[#This Row],[UnitPrice]]/(1+35%),MotorPHSales[[#This Row],[UnitPrice]]/(1+40%)))*MotorPHSales[[#This Row],[Quantity]]</f>
        <v>7874285.7142857146</v>
      </c>
      <c r="Q375" s="44" t="str">
        <f>INDEX(CLEANED_MotorPH_Products_List_2!H:H,MATCH(MotorPHSales[[#This Row],[Product]],CLEANED_MotorPH_Products_List_2!$B:$B,0))</f>
        <v>6-speed</v>
      </c>
    </row>
    <row r="376" spans="1:17" ht="15.75" x14ac:dyDescent="0.3">
      <c r="A376" s="43">
        <v>45821</v>
      </c>
      <c r="B376" s="44" t="str">
        <f>TEXT(MotorPHSales[[#This Row],[Date]],"mmmm")</f>
        <v>June</v>
      </c>
      <c r="C376" s="44">
        <f>DAY(MotorPHSales[[#This Row],[Date]])</f>
        <v>13</v>
      </c>
      <c r="D376" s="44">
        <f>YEAR(MotorPHSales[[#This Row],[Date]])</f>
        <v>2025</v>
      </c>
      <c r="E376" s="44" t="s">
        <v>194</v>
      </c>
      <c r="F376" s="44" t="s">
        <v>97</v>
      </c>
      <c r="G376" s="45">
        <v>269000</v>
      </c>
      <c r="H376" s="44">
        <v>45</v>
      </c>
      <c r="I376" s="45">
        <v>12105000</v>
      </c>
      <c r="J376" s="44" t="s">
        <v>197</v>
      </c>
      <c r="K376" s="44" t="str">
        <f>INDEX(CLEANED_MotorPH_Products_List_2!C:C,MATCH(MotorPHSales[[#This Row],[Product]],CLEANED_MotorPH_Products_List_2!$B:$B,0))</f>
        <v>Cafe racer</v>
      </c>
      <c r="L376" s="44" t="str">
        <f>INDEX(CLEANED_MotorPH_Products_List_2!E:E,MATCH(MotorPHSales[[#This Row],[Product]],CLEANED_MotorPH_Products_List_2!$B:$B,0))</f>
        <v>Single cylinder</v>
      </c>
      <c r="M376" s="44" t="str">
        <f>INDEX(CLEANED_MotorPH_Products_List_2!F:F,MATCH(MotorPHSales[[#This Row],[Product]],CLEANED_MotorPH_Products_List_2!$B:$B,0))</f>
        <v>liquid-cooled</v>
      </c>
      <c r="N376" s="44" t="str">
        <f>INDEX(CLEANED_MotorPH_Products_List_2!G:G,MATCH(MotorPHSales[[#This Row],[Product]],CLEANED_MotorPH_Products_List_2!$B:$B,0))</f>
        <v>348cc</v>
      </c>
      <c r="O376" s="44" t="str">
        <f>INDEX(CLEANED_MotorPH_Products_List_2!K:K,MATCH(MotorPHSales[[#This Row],[Product]],CLEANED_MotorPH_Products_List_2!B:B,0))</f>
        <v>Mid-range</v>
      </c>
      <c r="P376" s="45">
        <f>IF(MotorPHSales[[#This Row],[Segment]]="Entry-level",MotorPHSales[[#This Row],[UnitPrice]]/(1+30%),IF(MotorPHSales[[#This Row],[Segment]]="Mid-range",MotorPHSales[[#This Row],[UnitPrice]]/(1+35%),MotorPHSales[[#This Row],[UnitPrice]]/(1+40%)))*MotorPHSales[[#This Row],[Quantity]]</f>
        <v>8966666.666666666</v>
      </c>
      <c r="Q376" s="44" t="str">
        <f>INDEX(CLEANED_MotorPH_Products_List_2!H:H,MATCH(MotorPHSales[[#This Row],[Product]],CLEANED_MotorPH_Products_List_2!$B:$B,0))</f>
        <v>6-speed</v>
      </c>
    </row>
    <row r="377" spans="1:17" ht="15.75" x14ac:dyDescent="0.3">
      <c r="A377" s="43">
        <v>45868</v>
      </c>
      <c r="B377" s="44" t="str">
        <f>TEXT(MotorPHSales[[#This Row],[Date]],"mmmm")</f>
        <v>July</v>
      </c>
      <c r="C377" s="44">
        <f>DAY(MotorPHSales[[#This Row],[Date]])</f>
        <v>30</v>
      </c>
      <c r="D377" s="44">
        <f>YEAR(MotorPHSales[[#This Row],[Date]])</f>
        <v>2025</v>
      </c>
      <c r="E377" s="44" t="s">
        <v>196</v>
      </c>
      <c r="F377" s="44" t="s">
        <v>8</v>
      </c>
      <c r="G377" s="45">
        <v>534000</v>
      </c>
      <c r="H377" s="44">
        <v>5</v>
      </c>
      <c r="I377" s="45">
        <v>890000</v>
      </c>
      <c r="J377" s="44" t="s">
        <v>197</v>
      </c>
      <c r="K377" s="44" t="str">
        <f>INDEX(CLEANED_MotorPH_Products_List_2!C:C,MATCH(MotorPHSales[[#This Row],[Product]],CLEANED_MotorPH_Products_List_2!$B:$B,0))</f>
        <v>Naked bike</v>
      </c>
      <c r="L377" s="44" t="str">
        <f>INDEX(CLEANED_MotorPH_Products_List_2!E:E,MATCH(MotorPHSales[[#This Row],[Product]],CLEANED_MotorPH_Products_List_2!$B:$B,0))</f>
        <v>Single cylinder</v>
      </c>
      <c r="M377" s="44" t="str">
        <f>INDEX(CLEANED_MotorPH_Products_List_2!F:F,MATCH(MotorPHSales[[#This Row],[Product]],CLEANED_MotorPH_Products_List_2!$B:$B,0))</f>
        <v>liquid-cooled</v>
      </c>
      <c r="N377" s="44" t="str">
        <f>INDEX(CLEANED_MotorPH_Products_List_2!G:G,MATCH(MotorPHSales[[#This Row],[Product]],CLEANED_MotorPH_Products_List_2!$B:$B,0))</f>
        <v>155cc</v>
      </c>
      <c r="O377" s="44" t="str">
        <f>INDEX(CLEANED_MotorPH_Products_List_2!K:K,MATCH(MotorPHSales[[#This Row],[Product]],CLEANED_MotorPH_Products_List_2!B:B,0))</f>
        <v>Entry-level</v>
      </c>
      <c r="P377" s="45">
        <f>IF(MotorPHSales[[#This Row],[Segment]]="Entry-level",MotorPHSales[[#This Row],[UnitPrice]]/(1+30%),IF(MotorPHSales[[#This Row],[Segment]]="Mid-range",MotorPHSales[[#This Row],[UnitPrice]]/(1+35%),MotorPHSales[[#This Row],[UnitPrice]]/(1+40%)))*MotorPHSales[[#This Row],[Quantity]]</f>
        <v>2053846.1538461538</v>
      </c>
      <c r="Q377" s="44" t="str">
        <f>INDEX(CLEANED_MotorPH_Products_List_2!H:H,MATCH(MotorPHSales[[#This Row],[Product]],CLEANED_MotorPH_Products_List_2!$B:$B,0))</f>
        <v>6-speed</v>
      </c>
    </row>
    <row r="378" spans="1:17" ht="15.75" x14ac:dyDescent="0.3">
      <c r="A378" s="43">
        <v>45815</v>
      </c>
      <c r="B378" s="44" t="str">
        <f>TEXT(MotorPHSales[[#This Row],[Date]],"mmmm")</f>
        <v>June</v>
      </c>
      <c r="C378" s="44">
        <f>DAY(MotorPHSales[[#This Row],[Date]])</f>
        <v>7</v>
      </c>
      <c r="D378" s="44">
        <f>YEAR(MotorPHSales[[#This Row],[Date]])</f>
        <v>2025</v>
      </c>
      <c r="E378" s="44" t="s">
        <v>194</v>
      </c>
      <c r="F378" s="44" t="s">
        <v>6</v>
      </c>
      <c r="G378" s="45">
        <v>389000</v>
      </c>
      <c r="H378" s="44">
        <v>11</v>
      </c>
      <c r="I378" s="45">
        <v>4279000</v>
      </c>
      <c r="J378" s="44" t="s">
        <v>198</v>
      </c>
      <c r="K378" s="44" t="str">
        <f>INDEX(CLEANED_MotorPH_Products_List_2!C:C,MATCH(MotorPHSales[[#This Row],[Product]],CLEANED_MotorPH_Products_List_2!$B:$B,0))</f>
        <v>Sport</v>
      </c>
      <c r="L378" s="44" t="str">
        <f>INDEX(CLEANED_MotorPH_Products_List_2!E:E,MATCH(MotorPHSales[[#This Row],[Product]],CLEANED_MotorPH_Products_List_2!$B:$B,0))</f>
        <v>Parallel-twin</v>
      </c>
      <c r="M378" s="44" t="str">
        <f>INDEX(CLEANED_MotorPH_Products_List_2!F:F,MATCH(MotorPHSales[[#This Row],[Product]],CLEANED_MotorPH_Products_List_2!$B:$B,0))</f>
        <v>liquid-cooled</v>
      </c>
      <c r="N378" s="44" t="str">
        <f>INDEX(CLEANED_MotorPH_Products_List_2!G:G,MATCH(MotorPHSales[[#This Row],[Product]],CLEANED_MotorPH_Products_List_2!$B:$B,0))</f>
        <v>471cc</v>
      </c>
      <c r="O378" s="44" t="str">
        <f>INDEX(CLEANED_MotorPH_Products_List_2!K:K,MATCH(MotorPHSales[[#This Row],[Product]],CLEANED_MotorPH_Products_List_2!B:B,0))</f>
        <v>Mid-range</v>
      </c>
      <c r="P378" s="45">
        <f>IF(MotorPHSales[[#This Row],[Segment]]="Entry-level",MotorPHSales[[#This Row],[UnitPrice]]/(1+30%),IF(MotorPHSales[[#This Row],[Segment]]="Mid-range",MotorPHSales[[#This Row],[UnitPrice]]/(1+35%),MotorPHSales[[#This Row],[UnitPrice]]/(1+40%)))*MotorPHSales[[#This Row],[Quantity]]</f>
        <v>3169629.6296296297</v>
      </c>
      <c r="Q378" s="44" t="str">
        <f>INDEX(CLEANED_MotorPH_Products_List_2!H:H,MATCH(MotorPHSales[[#This Row],[Product]],CLEANED_MotorPH_Products_List_2!$B:$B,0))</f>
        <v>6-speed</v>
      </c>
    </row>
    <row r="379" spans="1:17" ht="15.75" x14ac:dyDescent="0.3">
      <c r="A379" s="43">
        <v>45865</v>
      </c>
      <c r="B379" s="44" t="str">
        <f>TEXT(MotorPHSales[[#This Row],[Date]],"mmmm")</f>
        <v>July</v>
      </c>
      <c r="C379" s="44">
        <f>DAY(MotorPHSales[[#This Row],[Date]])</f>
        <v>27</v>
      </c>
      <c r="D379" s="44">
        <f>YEAR(MotorPHSales[[#This Row],[Date]])</f>
        <v>2025</v>
      </c>
      <c r="E379" s="44" t="s">
        <v>194</v>
      </c>
      <c r="F379" s="44" t="s">
        <v>32</v>
      </c>
      <c r="G379" s="45">
        <v>198000</v>
      </c>
      <c r="H379" s="44">
        <v>7</v>
      </c>
      <c r="I379" s="45">
        <v>1386000</v>
      </c>
      <c r="J379" s="44" t="s">
        <v>197</v>
      </c>
      <c r="K379" s="44" t="str">
        <f>INDEX(CLEANED_MotorPH_Products_List_2!C:C,MATCH(MotorPHSales[[#This Row],[Product]],CLEANED_MotorPH_Products_List_2!$B:$B,0))</f>
        <v>Sport</v>
      </c>
      <c r="L379" s="44" t="str">
        <f>INDEX(CLEANED_MotorPH_Products_List_2!E:E,MATCH(MotorPHSales[[#This Row],[Product]],CLEANED_MotorPH_Products_List_2!$B:$B,0))</f>
        <v>Single cylinder</v>
      </c>
      <c r="M379" s="44" t="str">
        <f>INDEX(CLEANED_MotorPH_Products_List_2!F:F,MATCH(MotorPHSales[[#This Row],[Product]],CLEANED_MotorPH_Products_List_2!$B:$B,0))</f>
        <v>liquid-cooled</v>
      </c>
      <c r="N379" s="44" t="str">
        <f>INDEX(CLEANED_MotorPH_Products_List_2!G:G,MATCH(MotorPHSales[[#This Row],[Product]],CLEANED_MotorPH_Products_List_2!$B:$B,0))</f>
        <v>199cc</v>
      </c>
      <c r="O379" s="44" t="str">
        <f>INDEX(CLEANED_MotorPH_Products_List_2!K:K,MATCH(MotorPHSales[[#This Row],[Product]],CLEANED_MotorPH_Products_List_2!B:B,0))</f>
        <v>Entry-level</v>
      </c>
      <c r="P379" s="45">
        <f>IF(MotorPHSales[[#This Row],[Segment]]="Entry-level",MotorPHSales[[#This Row],[UnitPrice]]/(1+30%),IF(MotorPHSales[[#This Row],[Segment]]="Mid-range",MotorPHSales[[#This Row],[UnitPrice]]/(1+35%),MotorPHSales[[#This Row],[UnitPrice]]/(1+40%)))*MotorPHSales[[#This Row],[Quantity]]</f>
        <v>1066153.8461538462</v>
      </c>
      <c r="Q379" s="44" t="str">
        <f>INDEX(CLEANED_MotorPH_Products_List_2!H:H,MATCH(MotorPHSales[[#This Row],[Product]],CLEANED_MotorPH_Products_List_2!$B:$B,0))</f>
        <v>6-speed</v>
      </c>
    </row>
    <row r="380" spans="1:17" ht="15.75" x14ac:dyDescent="0.3">
      <c r="A380" s="43">
        <v>45844</v>
      </c>
      <c r="B380" s="44" t="str">
        <f>TEXT(MotorPHSales[[#This Row],[Date]],"mmmm")</f>
        <v>July</v>
      </c>
      <c r="C380" s="44">
        <f>DAY(MotorPHSales[[#This Row],[Date]])</f>
        <v>6</v>
      </c>
      <c r="D380" s="44">
        <f>YEAR(MotorPHSales[[#This Row],[Date]])</f>
        <v>2025</v>
      </c>
      <c r="E380" s="44" t="s">
        <v>196</v>
      </c>
      <c r="F380" s="44" t="s">
        <v>47</v>
      </c>
      <c r="G380" s="45">
        <v>398000</v>
      </c>
      <c r="H380" s="44">
        <v>13</v>
      </c>
      <c r="I380" s="45">
        <v>5174000</v>
      </c>
      <c r="J380" s="44" t="s">
        <v>197</v>
      </c>
      <c r="K380" s="44" t="str">
        <f>INDEX(CLEANED_MotorPH_Products_List_2!C:C,MATCH(MotorPHSales[[#This Row],[Product]],CLEANED_MotorPH_Products_List_2!$B:$B,0))</f>
        <v>Cruiser</v>
      </c>
      <c r="L380" s="44" t="str">
        <f>INDEX(CLEANED_MotorPH_Products_List_2!E:E,MATCH(MotorPHSales[[#This Row],[Product]],CLEANED_MotorPH_Products_List_2!$B:$B,0))</f>
        <v>Parallel-twin</v>
      </c>
      <c r="M380" s="44" t="str">
        <f>INDEX(CLEANED_MotorPH_Products_List_2!F:F,MATCH(MotorPHSales[[#This Row],[Product]],CLEANED_MotorPH_Products_List_2!$B:$B,0))</f>
        <v>liquid-cooled</v>
      </c>
      <c r="N380" s="44" t="str">
        <f>INDEX(CLEANED_MotorPH_Products_List_2!G:G,MATCH(MotorPHSales[[#This Row],[Product]],CLEANED_MotorPH_Products_List_2!$B:$B,0))</f>
        <v>649cc</v>
      </c>
      <c r="O380" s="44" t="str">
        <f>INDEX(CLEANED_MotorPH_Products_List_2!K:K,MATCH(MotorPHSales[[#This Row],[Product]],CLEANED_MotorPH_Products_List_2!B:B,0))</f>
        <v>Premium</v>
      </c>
      <c r="P380" s="45">
        <f>IF(MotorPHSales[[#This Row],[Segment]]="Entry-level",MotorPHSales[[#This Row],[UnitPrice]]/(1+30%),IF(MotorPHSales[[#This Row],[Segment]]="Mid-range",MotorPHSales[[#This Row],[UnitPrice]]/(1+35%),MotorPHSales[[#This Row],[UnitPrice]]/(1+40%)))*MotorPHSales[[#This Row],[Quantity]]</f>
        <v>3695714.2857142864</v>
      </c>
      <c r="Q380" s="44" t="str">
        <f>INDEX(CLEANED_MotorPH_Products_List_2!H:H,MATCH(MotorPHSales[[#This Row],[Product]],CLEANED_MotorPH_Products_List_2!$B:$B,0))</f>
        <v>6-speed</v>
      </c>
    </row>
    <row r="381" spans="1:17" ht="15.75" x14ac:dyDescent="0.3">
      <c r="A381" s="43">
        <v>45853</v>
      </c>
      <c r="B381" s="44" t="str">
        <f>TEXT(MotorPHSales[[#This Row],[Date]],"mmmm")</f>
        <v>July</v>
      </c>
      <c r="C381" s="44">
        <f>DAY(MotorPHSales[[#This Row],[Date]])</f>
        <v>15</v>
      </c>
      <c r="D381" s="44">
        <f>YEAR(MotorPHSales[[#This Row],[Date]])</f>
        <v>2025</v>
      </c>
      <c r="E381" s="44" t="s">
        <v>194</v>
      </c>
      <c r="F381" s="44" t="s">
        <v>42</v>
      </c>
      <c r="G381" s="45">
        <v>375000</v>
      </c>
      <c r="H381" s="44">
        <v>24</v>
      </c>
      <c r="I381" s="45">
        <v>3000000</v>
      </c>
      <c r="J381" s="44" t="s">
        <v>195</v>
      </c>
      <c r="K381" s="44" t="str">
        <f>INDEX(CLEANED_MotorPH_Products_List_2!C:C,MATCH(MotorPHSales[[#This Row],[Product]],CLEANED_MotorPH_Products_List_2!$B:$B,0))</f>
        <v>Naked bike</v>
      </c>
      <c r="L381" s="44" t="str">
        <f>INDEX(CLEANED_MotorPH_Products_List_2!E:E,MATCH(MotorPHSales[[#This Row],[Product]],CLEANED_MotorPH_Products_List_2!$B:$B,0))</f>
        <v>Single cylinder</v>
      </c>
      <c r="M381" s="44" t="str">
        <f>INDEX(CLEANED_MotorPH_Products_List_2!F:F,MATCH(MotorPHSales[[#This Row],[Product]],CLEANED_MotorPH_Products_List_2!$B:$B,0))</f>
        <v>liquid-cooled</v>
      </c>
      <c r="N381" s="44" t="str">
        <f>INDEX(CLEANED_MotorPH_Products_List_2!G:G,MATCH(MotorPHSales[[#This Row],[Product]],CLEANED_MotorPH_Products_List_2!$B:$B,0))</f>
        <v>147cc</v>
      </c>
      <c r="O381" s="44" t="str">
        <f>INDEX(CLEANED_MotorPH_Products_List_2!K:K,MATCH(MotorPHSales[[#This Row],[Product]],CLEANED_MotorPH_Products_List_2!B:B,0))</f>
        <v>Entry-level</v>
      </c>
      <c r="P381" s="45">
        <f>IF(MotorPHSales[[#This Row],[Segment]]="Entry-level",MotorPHSales[[#This Row],[UnitPrice]]/(1+30%),IF(MotorPHSales[[#This Row],[Segment]]="Mid-range",MotorPHSales[[#This Row],[UnitPrice]]/(1+35%),MotorPHSales[[#This Row],[UnitPrice]]/(1+40%)))*MotorPHSales[[#This Row],[Quantity]]</f>
        <v>6923076.9230769221</v>
      </c>
      <c r="Q381" s="44" t="str">
        <f>INDEX(CLEANED_MotorPH_Products_List_2!H:H,MATCH(MotorPHSales[[#This Row],[Product]],CLEANED_MotorPH_Products_List_2!$B:$B,0))</f>
        <v>6-speed</v>
      </c>
    </row>
    <row r="382" spans="1:17" ht="15.75" x14ac:dyDescent="0.3">
      <c r="A382" s="43">
        <v>45828</v>
      </c>
      <c r="B382" s="44" t="str">
        <f>TEXT(MotorPHSales[[#This Row],[Date]],"mmmm")</f>
        <v>June</v>
      </c>
      <c r="C382" s="44">
        <f>DAY(MotorPHSales[[#This Row],[Date]])</f>
        <v>20</v>
      </c>
      <c r="D382" s="44">
        <f>YEAR(MotorPHSales[[#This Row],[Date]])</f>
        <v>2025</v>
      </c>
      <c r="E382" s="44" t="s">
        <v>196</v>
      </c>
      <c r="F382" s="44" t="s">
        <v>14</v>
      </c>
      <c r="G382" s="45">
        <v>250000</v>
      </c>
      <c r="H382" s="44">
        <v>7</v>
      </c>
      <c r="I382" s="45">
        <v>1750000</v>
      </c>
      <c r="J382" s="44" t="s">
        <v>198</v>
      </c>
      <c r="K382" s="44" t="str">
        <f>INDEX(CLEANED_MotorPH_Products_List_2!C:C,MATCH(MotorPHSales[[#This Row],[Product]],CLEANED_MotorPH_Products_List_2!$B:$B,0))</f>
        <v>Classic</v>
      </c>
      <c r="L382" s="44" t="str">
        <f>INDEX(CLEANED_MotorPH_Products_List_2!E:E,MATCH(MotorPHSales[[#This Row],[Product]],CLEANED_MotorPH_Products_List_2!$B:$B,0))</f>
        <v>Single cylinder</v>
      </c>
      <c r="M382" s="44" t="str">
        <f>INDEX(CLEANED_MotorPH_Products_List_2!F:F,MATCH(MotorPHSales[[#This Row],[Product]],CLEANED_MotorPH_Products_List_2!$B:$B,0))</f>
        <v>air-cooled</v>
      </c>
      <c r="N382" s="44" t="str">
        <f>INDEX(CLEANED_MotorPH_Products_List_2!G:G,MATCH(MotorPHSales[[#This Row],[Product]],CLEANED_MotorPH_Products_List_2!$B:$B,0))</f>
        <v>349cc</v>
      </c>
      <c r="O382" s="44" t="str">
        <f>INDEX(CLEANED_MotorPH_Products_List_2!K:K,MATCH(MotorPHSales[[#This Row],[Product]],CLEANED_MotorPH_Products_List_2!B:B,0))</f>
        <v>Mid-range</v>
      </c>
      <c r="P382" s="45">
        <f>IF(MotorPHSales[[#This Row],[Segment]]="Entry-level",MotorPHSales[[#This Row],[UnitPrice]]/(1+30%),IF(MotorPHSales[[#This Row],[Segment]]="Mid-range",MotorPHSales[[#This Row],[UnitPrice]]/(1+35%),MotorPHSales[[#This Row],[UnitPrice]]/(1+40%)))*MotorPHSales[[#This Row],[Quantity]]</f>
        <v>1296296.2962962962</v>
      </c>
      <c r="Q382" s="44" t="str">
        <f>INDEX(CLEANED_MotorPH_Products_List_2!H:H,MATCH(MotorPHSales[[#This Row],[Product]],CLEANED_MotorPH_Products_List_2!$B:$B,0))</f>
        <v>5-speed</v>
      </c>
    </row>
    <row r="383" spans="1:17" ht="15.75" x14ac:dyDescent="0.3">
      <c r="A383" s="43">
        <v>45873</v>
      </c>
      <c r="B383" s="44" t="str">
        <f>TEXT(MotorPHSales[[#This Row],[Date]],"mmmm")</f>
        <v>August</v>
      </c>
      <c r="C383" s="44">
        <f>DAY(MotorPHSales[[#This Row],[Date]])</f>
        <v>4</v>
      </c>
      <c r="D383" s="44">
        <f>YEAR(MotorPHSales[[#This Row],[Date]])</f>
        <v>2025</v>
      </c>
      <c r="E383" s="44" t="s">
        <v>194</v>
      </c>
      <c r="F383" s="44" t="s">
        <v>34</v>
      </c>
      <c r="G383" s="45">
        <v>320000</v>
      </c>
      <c r="H383" s="44">
        <v>42</v>
      </c>
      <c r="I383" s="45">
        <v>13440000</v>
      </c>
      <c r="J383" s="44" t="s">
        <v>197</v>
      </c>
      <c r="K383" s="44" t="str">
        <f>INDEX(CLEANED_MotorPH_Products_List_2!C:C,MATCH(MotorPHSales[[#This Row],[Product]],CLEANED_MotorPH_Products_List_2!$B:$B,0))</f>
        <v>Adventure</v>
      </c>
      <c r="L383" s="44" t="str">
        <f>INDEX(CLEANED_MotorPH_Products_List_2!E:E,MATCH(MotorPHSales[[#This Row],[Product]],CLEANED_MotorPH_Products_List_2!$B:$B,0))</f>
        <v>Single cylinder</v>
      </c>
      <c r="M383" s="44" t="str">
        <f>INDEX(CLEANED_MotorPH_Products_List_2!F:F,MATCH(MotorPHSales[[#This Row],[Product]],CLEANED_MotorPH_Products_List_2!$B:$B,0))</f>
        <v>liquid-cooled</v>
      </c>
      <c r="N383" s="44" t="str">
        <f>INDEX(CLEANED_MotorPH_Products_List_2!G:G,MATCH(MotorPHSales[[#This Row],[Product]],CLEANED_MotorPH_Products_List_2!$B:$B,0))</f>
        <v>313cc</v>
      </c>
      <c r="O383" s="44" t="str">
        <f>INDEX(CLEANED_MotorPH_Products_List_2!K:K,MATCH(MotorPHSales[[#This Row],[Product]],CLEANED_MotorPH_Products_List_2!B:B,0))</f>
        <v>Mid-range</v>
      </c>
      <c r="P383" s="45">
        <f>IF(MotorPHSales[[#This Row],[Segment]]="Entry-level",MotorPHSales[[#This Row],[UnitPrice]]/(1+30%),IF(MotorPHSales[[#This Row],[Segment]]="Mid-range",MotorPHSales[[#This Row],[UnitPrice]]/(1+35%),MotorPHSales[[#This Row],[UnitPrice]]/(1+40%)))*MotorPHSales[[#This Row],[Quantity]]</f>
        <v>9955555.5555555541</v>
      </c>
      <c r="Q383" s="44" t="str">
        <f>INDEX(CLEANED_MotorPH_Products_List_2!H:H,MATCH(MotorPHSales[[#This Row],[Product]],CLEANED_MotorPH_Products_List_2!$B:$B,0))</f>
        <v>6-speed</v>
      </c>
    </row>
    <row r="384" spans="1:17" ht="15.75" x14ac:dyDescent="0.3">
      <c r="A384" s="43">
        <v>45816</v>
      </c>
      <c r="B384" s="44" t="str">
        <f>TEXT(MotorPHSales[[#This Row],[Date]],"mmmm")</f>
        <v>June</v>
      </c>
      <c r="C384" s="44">
        <f>DAY(MotorPHSales[[#This Row],[Date]])</f>
        <v>8</v>
      </c>
      <c r="D384" s="44">
        <f>YEAR(MotorPHSales[[#This Row],[Date]])</f>
        <v>2025</v>
      </c>
      <c r="E384" s="44" t="s">
        <v>194</v>
      </c>
      <c r="F384" s="44" t="s">
        <v>90</v>
      </c>
      <c r="G384" s="45">
        <v>165000</v>
      </c>
      <c r="H384" s="44">
        <v>15</v>
      </c>
      <c r="I384" s="45">
        <v>2475000</v>
      </c>
      <c r="J384" s="44" t="s">
        <v>195</v>
      </c>
      <c r="K384" s="44" t="str">
        <f>INDEX(CLEANED_MotorPH_Products_List_2!C:C,MATCH(MotorPHSales[[#This Row],[Product]],CLEANED_MotorPH_Products_List_2!$B:$B,0))</f>
        <v>Sport</v>
      </c>
      <c r="L384" s="44" t="str">
        <f>INDEX(CLEANED_MotorPH_Products_List_2!E:E,MATCH(MotorPHSales[[#This Row],[Product]],CLEANED_MotorPH_Products_List_2!$B:$B,0))</f>
        <v>Single cylinder</v>
      </c>
      <c r="M384" s="44" t="str">
        <f>INDEX(CLEANED_MotorPH_Products_List_2!F:F,MATCH(MotorPHSales[[#This Row],[Product]],CLEANED_MotorPH_Products_List_2!$B:$B,0))</f>
        <v>liquid-cooled</v>
      </c>
      <c r="N384" s="44" t="str">
        <f>INDEX(CLEANED_MotorPH_Products_List_2!G:G,MATCH(MotorPHSales[[#This Row],[Product]],CLEANED_MotorPH_Products_List_2!$B:$B,0))</f>
        <v>292cc</v>
      </c>
      <c r="O384" s="44" t="str">
        <f>INDEX(CLEANED_MotorPH_Products_List_2!K:K,MATCH(MotorPHSales[[#This Row],[Product]],CLEANED_MotorPH_Products_List_2!B:B,0))</f>
        <v>Mid-range</v>
      </c>
      <c r="P384" s="45">
        <f>IF(MotorPHSales[[#This Row],[Segment]]="Entry-level",MotorPHSales[[#This Row],[UnitPrice]]/(1+30%),IF(MotorPHSales[[#This Row],[Segment]]="Mid-range",MotorPHSales[[#This Row],[UnitPrice]]/(1+35%),MotorPHSales[[#This Row],[UnitPrice]]/(1+40%)))*MotorPHSales[[#This Row],[Quantity]]</f>
        <v>1833333.3333333333</v>
      </c>
      <c r="Q384" s="44" t="str">
        <f>INDEX(CLEANED_MotorPH_Products_List_2!H:H,MATCH(MotorPHSales[[#This Row],[Product]],CLEANED_MotorPH_Products_List_2!$B:$B,0))</f>
        <v>6-speed</v>
      </c>
    </row>
    <row r="385" spans="1:17" ht="15.75" x14ac:dyDescent="0.3">
      <c r="A385" s="43">
        <v>45824</v>
      </c>
      <c r="B385" s="44" t="str">
        <f>TEXT(MotorPHSales[[#This Row],[Date]],"mmmm")</f>
        <v>June</v>
      </c>
      <c r="C385" s="44">
        <f>DAY(MotorPHSales[[#This Row],[Date]])</f>
        <v>16</v>
      </c>
      <c r="D385" s="44">
        <f>YEAR(MotorPHSales[[#This Row],[Date]])</f>
        <v>2025</v>
      </c>
      <c r="E385" s="44" t="s">
        <v>196</v>
      </c>
      <c r="F385" s="44" t="s">
        <v>59</v>
      </c>
      <c r="G385" s="45">
        <v>67900</v>
      </c>
      <c r="H385" s="44">
        <v>10</v>
      </c>
      <c r="I385" s="45">
        <v>679000</v>
      </c>
      <c r="J385" s="44" t="s">
        <v>195</v>
      </c>
      <c r="K385" s="44" t="str">
        <f>INDEX(CLEANED_MotorPH_Products_List_2!C:C,MATCH(MotorPHSales[[#This Row],[Product]],CLEANED_MotorPH_Products_List_2!$B:$B,0))</f>
        <v>Commuter</v>
      </c>
      <c r="L385" s="44" t="str">
        <f>INDEX(CLEANED_MotorPH_Products_List_2!E:E,MATCH(MotorPHSales[[#This Row],[Product]],CLEANED_MotorPH_Products_List_2!$B:$B,0))</f>
        <v>Single cylinder</v>
      </c>
      <c r="M385" s="44" t="str">
        <f>INDEX(CLEANED_MotorPH_Products_List_2!F:F,MATCH(MotorPHSales[[#This Row],[Product]],CLEANED_MotorPH_Products_List_2!$B:$B,0))</f>
        <v>air-cooled</v>
      </c>
      <c r="N385" s="44" t="str">
        <f>INDEX(CLEANED_MotorPH_Products_List_2!G:G,MATCH(MotorPHSales[[#This Row],[Product]],CLEANED_MotorPH_Products_List_2!$B:$B,0))</f>
        <v>125cc</v>
      </c>
      <c r="O385" s="44" t="str">
        <f>INDEX(CLEANED_MotorPH_Products_List_2!K:K,MATCH(MotorPHSales[[#This Row],[Product]],CLEANED_MotorPH_Products_List_2!B:B,0))</f>
        <v>Entry-level</v>
      </c>
      <c r="P385" s="45">
        <f>IF(MotorPHSales[[#This Row],[Segment]]="Entry-level",MotorPHSales[[#This Row],[UnitPrice]]/(1+30%),IF(MotorPHSales[[#This Row],[Segment]]="Mid-range",MotorPHSales[[#This Row],[UnitPrice]]/(1+35%),MotorPHSales[[#This Row],[UnitPrice]]/(1+40%)))*MotorPHSales[[#This Row],[Quantity]]</f>
        <v>522307.69230769225</v>
      </c>
      <c r="Q385" s="44" t="str">
        <f>INDEX(CLEANED_MotorPH_Products_List_2!H:H,MATCH(MotorPHSales[[#This Row],[Product]],CLEANED_MotorPH_Products_List_2!$B:$B,0))</f>
        <v>4-speed</v>
      </c>
    </row>
    <row r="386" spans="1:17" ht="15.75" x14ac:dyDescent="0.3">
      <c r="A386" s="43">
        <v>45822</v>
      </c>
      <c r="B386" s="44" t="str">
        <f>TEXT(MotorPHSales[[#This Row],[Date]],"mmmm")</f>
        <v>June</v>
      </c>
      <c r="C386" s="44">
        <f>DAY(MotorPHSales[[#This Row],[Date]])</f>
        <v>14</v>
      </c>
      <c r="D386" s="44">
        <f>YEAR(MotorPHSales[[#This Row],[Date]])</f>
        <v>2025</v>
      </c>
      <c r="E386" s="44" t="s">
        <v>194</v>
      </c>
      <c r="F386" s="44" t="s">
        <v>47</v>
      </c>
      <c r="G386" s="45">
        <v>398000</v>
      </c>
      <c r="H386" s="44">
        <v>12</v>
      </c>
      <c r="I386" s="45">
        <v>4776000</v>
      </c>
      <c r="J386" s="44" t="s">
        <v>197</v>
      </c>
      <c r="K386" s="44" t="str">
        <f>INDEX(CLEANED_MotorPH_Products_List_2!C:C,MATCH(MotorPHSales[[#This Row],[Product]],CLEANED_MotorPH_Products_List_2!$B:$B,0))</f>
        <v>Cruiser</v>
      </c>
      <c r="L386" s="44" t="str">
        <f>INDEX(CLEANED_MotorPH_Products_List_2!E:E,MATCH(MotorPHSales[[#This Row],[Product]],CLEANED_MotorPH_Products_List_2!$B:$B,0))</f>
        <v>Parallel-twin</v>
      </c>
      <c r="M386" s="44" t="str">
        <f>INDEX(CLEANED_MotorPH_Products_List_2!F:F,MATCH(MotorPHSales[[#This Row],[Product]],CLEANED_MotorPH_Products_List_2!$B:$B,0))</f>
        <v>liquid-cooled</v>
      </c>
      <c r="N386" s="44" t="str">
        <f>INDEX(CLEANED_MotorPH_Products_List_2!G:G,MATCH(MotorPHSales[[#This Row],[Product]],CLEANED_MotorPH_Products_List_2!$B:$B,0))</f>
        <v>649cc</v>
      </c>
      <c r="O386" s="44" t="str">
        <f>INDEX(CLEANED_MotorPH_Products_List_2!K:K,MATCH(MotorPHSales[[#This Row],[Product]],CLEANED_MotorPH_Products_List_2!B:B,0))</f>
        <v>Premium</v>
      </c>
      <c r="P386" s="45">
        <f>IF(MotorPHSales[[#This Row],[Segment]]="Entry-level",MotorPHSales[[#This Row],[UnitPrice]]/(1+30%),IF(MotorPHSales[[#This Row],[Segment]]="Mid-range",MotorPHSales[[#This Row],[UnitPrice]]/(1+35%),MotorPHSales[[#This Row],[UnitPrice]]/(1+40%)))*MotorPHSales[[#This Row],[Quantity]]</f>
        <v>3411428.5714285718</v>
      </c>
      <c r="Q386" s="44" t="str">
        <f>INDEX(CLEANED_MotorPH_Products_List_2!H:H,MATCH(MotorPHSales[[#This Row],[Product]],CLEANED_MotorPH_Products_List_2!$B:$B,0))</f>
        <v>6-speed</v>
      </c>
    </row>
    <row r="387" spans="1:17" ht="15.75" x14ac:dyDescent="0.3">
      <c r="A387" s="43">
        <v>45884</v>
      </c>
      <c r="B387" s="44" t="str">
        <f>TEXT(MotorPHSales[[#This Row],[Date]],"mmmm")</f>
        <v>August</v>
      </c>
      <c r="C387" s="44">
        <f>DAY(MotorPHSales[[#This Row],[Date]])</f>
        <v>15</v>
      </c>
      <c r="D387" s="44">
        <f>YEAR(MotorPHSales[[#This Row],[Date]])</f>
        <v>2025</v>
      </c>
      <c r="E387" s="44" t="s">
        <v>194</v>
      </c>
      <c r="F387" s="44" t="s">
        <v>64</v>
      </c>
      <c r="G387" s="45">
        <v>128000</v>
      </c>
      <c r="H387" s="44">
        <v>23</v>
      </c>
      <c r="I387" s="45">
        <v>2944000</v>
      </c>
      <c r="J387" s="44" t="s">
        <v>198</v>
      </c>
      <c r="K387" s="44" t="str">
        <f>INDEX(CLEANED_MotorPH_Products_List_2!C:C,MATCH(MotorPHSales[[#This Row],[Product]],CLEANED_MotorPH_Products_List_2!$B:$B,0))</f>
        <v>Scooter</v>
      </c>
      <c r="L387" s="44" t="str">
        <f>INDEX(CLEANED_MotorPH_Products_List_2!E:E,MATCH(MotorPHSales[[#This Row],[Product]],CLEANED_MotorPH_Products_List_2!$B:$B,0))</f>
        <v>Single cylinder</v>
      </c>
      <c r="M387" s="44" t="str">
        <f>INDEX(CLEANED_MotorPH_Products_List_2!F:F,MATCH(MotorPHSales[[#This Row],[Product]],CLEANED_MotorPH_Products_List_2!$B:$B,0))</f>
        <v>liquid-cooled</v>
      </c>
      <c r="N387" s="44" t="str">
        <f>INDEX(CLEANED_MotorPH_Products_List_2!G:G,MATCH(MotorPHSales[[#This Row],[Product]],CLEANED_MotorPH_Products_List_2!$B:$B,0))</f>
        <v>149cc</v>
      </c>
      <c r="O387" s="44" t="str">
        <f>INDEX(CLEANED_MotorPH_Products_List_2!K:K,MATCH(MotorPHSales[[#This Row],[Product]],CLEANED_MotorPH_Products_List_2!B:B,0))</f>
        <v>Entry-level</v>
      </c>
      <c r="P387" s="45">
        <f>IF(MotorPHSales[[#This Row],[Segment]]="Entry-level",MotorPHSales[[#This Row],[UnitPrice]]/(1+30%),IF(MotorPHSales[[#This Row],[Segment]]="Mid-range",MotorPHSales[[#This Row],[UnitPrice]]/(1+35%),MotorPHSales[[#This Row],[UnitPrice]]/(1+40%)))*MotorPHSales[[#This Row],[Quantity]]</f>
        <v>2264615.3846153845</v>
      </c>
      <c r="Q387" s="44" t="str">
        <f>INDEX(CLEANED_MotorPH_Products_List_2!H:H,MATCH(MotorPHSales[[#This Row],[Product]],CLEANED_MotorPH_Products_List_2!$B:$B,0))</f>
        <v>CVT</v>
      </c>
    </row>
    <row r="388" spans="1:17" ht="15.75" x14ac:dyDescent="0.3">
      <c r="A388" s="43">
        <v>45895</v>
      </c>
      <c r="B388" s="44" t="str">
        <f>TEXT(MotorPHSales[[#This Row],[Date]],"mmmm")</f>
        <v>August</v>
      </c>
      <c r="C388" s="44">
        <f>DAY(MotorPHSales[[#This Row],[Date]])</f>
        <v>26</v>
      </c>
      <c r="D388" s="44">
        <f>YEAR(MotorPHSales[[#This Row],[Date]])</f>
        <v>2025</v>
      </c>
      <c r="E388" s="44" t="s">
        <v>196</v>
      </c>
      <c r="F388" s="44" t="s">
        <v>22</v>
      </c>
      <c r="G388" s="45">
        <v>182000</v>
      </c>
      <c r="H388" s="44">
        <v>2</v>
      </c>
      <c r="I388" s="45">
        <v>364000</v>
      </c>
      <c r="J388" s="44" t="s">
        <v>198</v>
      </c>
      <c r="K388" s="44" t="str">
        <f>INDEX(CLEANED_MotorPH_Products_List_2!C:C,MATCH(MotorPHSales[[#This Row],[Product]],CLEANED_MotorPH_Products_List_2!$B:$B,0))</f>
        <v>Retro</v>
      </c>
      <c r="L388" s="44" t="str">
        <f>INDEX(CLEANED_MotorPH_Products_List_2!E:E,MATCH(MotorPHSales[[#This Row],[Product]],CLEANED_MotorPH_Products_List_2!$B:$B,0))</f>
        <v>Single cylinder</v>
      </c>
      <c r="M388" s="44" t="str">
        <f>INDEX(CLEANED_MotorPH_Products_List_2!F:F,MATCH(MotorPHSales[[#This Row],[Product]],CLEANED_MotorPH_Products_List_2!$B:$B,0))</f>
        <v>liquid-cooled</v>
      </c>
      <c r="N388" s="44" t="str">
        <f>INDEX(CLEANED_MotorPH_Products_List_2!G:G,MATCH(MotorPHSales[[#This Row],[Product]],CLEANED_MotorPH_Products_List_2!$B:$B,0))</f>
        <v>155cc</v>
      </c>
      <c r="O388" s="44" t="str">
        <f>INDEX(CLEANED_MotorPH_Products_List_2!K:K,MATCH(MotorPHSales[[#This Row],[Product]],CLEANED_MotorPH_Products_List_2!B:B,0))</f>
        <v>Entry-level</v>
      </c>
      <c r="P388" s="45">
        <f>IF(MotorPHSales[[#This Row],[Segment]]="Entry-level",MotorPHSales[[#This Row],[UnitPrice]]/(1+30%),IF(MotorPHSales[[#This Row],[Segment]]="Mid-range",MotorPHSales[[#This Row],[UnitPrice]]/(1+35%),MotorPHSales[[#This Row],[UnitPrice]]/(1+40%)))*MotorPHSales[[#This Row],[Quantity]]</f>
        <v>280000</v>
      </c>
      <c r="Q388" s="44" t="str">
        <f>INDEX(CLEANED_MotorPH_Products_List_2!H:H,MATCH(MotorPHSales[[#This Row],[Product]],CLEANED_MotorPH_Products_List_2!$B:$B,0))</f>
        <v>6-speed</v>
      </c>
    </row>
    <row r="389" spans="1:17" ht="15.75" x14ac:dyDescent="0.3">
      <c r="A389" s="43">
        <v>45823</v>
      </c>
      <c r="B389" s="44" t="str">
        <f>TEXT(MotorPHSales[[#This Row],[Date]],"mmmm")</f>
        <v>June</v>
      </c>
      <c r="C389" s="44">
        <f>DAY(MotorPHSales[[#This Row],[Date]])</f>
        <v>15</v>
      </c>
      <c r="D389" s="44">
        <f>YEAR(MotorPHSales[[#This Row],[Date]])</f>
        <v>2025</v>
      </c>
      <c r="E389" s="44" t="s">
        <v>194</v>
      </c>
      <c r="F389" s="44" t="s">
        <v>78</v>
      </c>
      <c r="G389" s="45">
        <v>99900</v>
      </c>
      <c r="H389" s="44">
        <v>16</v>
      </c>
      <c r="I389" s="45">
        <v>1598400</v>
      </c>
      <c r="J389" s="44" t="s">
        <v>198</v>
      </c>
      <c r="K389" s="44" t="str">
        <f>INDEX(CLEANED_MotorPH_Products_List_2!C:C,MATCH(MotorPHSales[[#This Row],[Product]],CLEANED_MotorPH_Products_List_2!$B:$B,0))</f>
        <v>Street</v>
      </c>
      <c r="L389" s="44" t="str">
        <f>INDEX(CLEANED_MotorPH_Products_List_2!E:E,MATCH(MotorPHSales[[#This Row],[Product]],CLEANED_MotorPH_Products_List_2!$B:$B,0))</f>
        <v>Single cylinder</v>
      </c>
      <c r="M389" s="44" t="str">
        <f>INDEX(CLEANED_MotorPH_Products_List_2!F:F,MATCH(MotorPHSales[[#This Row],[Product]],CLEANED_MotorPH_Products_List_2!$B:$B,0))</f>
        <v>air-cooled</v>
      </c>
      <c r="N389" s="44" t="str">
        <f>INDEX(CLEANED_MotorPH_Products_List_2!G:G,MATCH(MotorPHSales[[#This Row],[Product]],CLEANED_MotorPH_Products_List_2!$B:$B,0))</f>
        <v>149cc</v>
      </c>
      <c r="O389" s="44" t="str">
        <f>INDEX(CLEANED_MotorPH_Products_List_2!K:K,MATCH(MotorPHSales[[#This Row],[Product]],CLEANED_MotorPH_Products_List_2!B:B,0))</f>
        <v>Entry-level</v>
      </c>
      <c r="P389" s="45">
        <f>IF(MotorPHSales[[#This Row],[Segment]]="Entry-level",MotorPHSales[[#This Row],[UnitPrice]]/(1+30%),IF(MotorPHSales[[#This Row],[Segment]]="Mid-range",MotorPHSales[[#This Row],[UnitPrice]]/(1+35%),MotorPHSales[[#This Row],[UnitPrice]]/(1+40%)))*MotorPHSales[[#This Row],[Quantity]]</f>
        <v>1229538.4615384615</v>
      </c>
      <c r="Q389" s="44" t="str">
        <f>INDEX(CLEANED_MotorPH_Products_List_2!H:H,MATCH(MotorPHSales[[#This Row],[Product]],CLEANED_MotorPH_Products_List_2!$B:$B,0))</f>
        <v>5-speed</v>
      </c>
    </row>
    <row r="390" spans="1:17" ht="15.75" x14ac:dyDescent="0.3">
      <c r="A390" s="43">
        <v>45900</v>
      </c>
      <c r="B390" s="44" t="str">
        <f>TEXT(MotorPHSales[[#This Row],[Date]],"mmmm")</f>
        <v>August</v>
      </c>
      <c r="C390" s="44">
        <f>DAY(MotorPHSales[[#This Row],[Date]])</f>
        <v>31</v>
      </c>
      <c r="D390" s="44">
        <f>YEAR(MotorPHSales[[#This Row],[Date]])</f>
        <v>2025</v>
      </c>
      <c r="E390" s="44" t="s">
        <v>194</v>
      </c>
      <c r="F390" s="44" t="s">
        <v>16</v>
      </c>
      <c r="G390" s="45">
        <v>165000</v>
      </c>
      <c r="H390" s="44">
        <v>38</v>
      </c>
      <c r="I390" s="45">
        <v>6270000</v>
      </c>
      <c r="J390" s="44" t="s">
        <v>197</v>
      </c>
      <c r="K390" s="44" t="str">
        <f>INDEX(CLEANED_MotorPH_Products_List_2!C:C,MATCH(MotorPHSales[[#This Row],[Product]],CLEANED_MotorPH_Products_List_2!$B:$B,0))</f>
        <v>Naked bike</v>
      </c>
      <c r="L390" s="44" t="str">
        <f>INDEX(CLEANED_MotorPH_Products_List_2!E:E,MATCH(MotorPHSales[[#This Row],[Product]],CLEANED_MotorPH_Products_List_2!$B:$B,0))</f>
        <v>Single cylinder</v>
      </c>
      <c r="M390" s="44" t="str">
        <f>INDEX(CLEANED_MotorPH_Products_List_2!F:F,MATCH(MotorPHSales[[#This Row],[Product]],CLEANED_MotorPH_Products_List_2!$B:$B,0))</f>
        <v>liquid-cooled</v>
      </c>
      <c r="N390" s="44" t="str">
        <f>INDEX(CLEANED_MotorPH_Products_List_2!G:G,MATCH(MotorPHSales[[#This Row],[Product]],CLEANED_MotorPH_Products_List_2!$B:$B,0))</f>
        <v>292cc</v>
      </c>
      <c r="O390" s="44" t="str">
        <f>INDEX(CLEANED_MotorPH_Products_List_2!K:K,MATCH(MotorPHSales[[#This Row],[Product]],CLEANED_MotorPH_Products_List_2!B:B,0))</f>
        <v>Mid-range</v>
      </c>
      <c r="P390" s="45">
        <f>IF(MotorPHSales[[#This Row],[Segment]]="Entry-level",MotorPHSales[[#This Row],[UnitPrice]]/(1+30%),IF(MotorPHSales[[#This Row],[Segment]]="Mid-range",MotorPHSales[[#This Row],[UnitPrice]]/(1+35%),MotorPHSales[[#This Row],[UnitPrice]]/(1+40%)))*MotorPHSales[[#This Row],[Quantity]]</f>
        <v>4644444.444444444</v>
      </c>
      <c r="Q390" s="44" t="str">
        <f>INDEX(CLEANED_MotorPH_Products_List_2!H:H,MATCH(MotorPHSales[[#This Row],[Product]],CLEANED_MotorPH_Products_List_2!$B:$B,0))</f>
        <v>6-speed</v>
      </c>
    </row>
    <row r="391" spans="1:17" ht="15.75" x14ac:dyDescent="0.3">
      <c r="A391" s="43">
        <v>45874</v>
      </c>
      <c r="B391" s="44" t="str">
        <f>TEXT(MotorPHSales[[#This Row],[Date]],"mmmm")</f>
        <v>August</v>
      </c>
      <c r="C391" s="44">
        <f>DAY(MotorPHSales[[#This Row],[Date]])</f>
        <v>5</v>
      </c>
      <c r="D391" s="44">
        <f>YEAR(MotorPHSales[[#This Row],[Date]])</f>
        <v>2025</v>
      </c>
      <c r="E391" s="44" t="s">
        <v>196</v>
      </c>
      <c r="F391" s="44" t="s">
        <v>24</v>
      </c>
      <c r="G391" s="45">
        <v>199900</v>
      </c>
      <c r="H391" s="44">
        <v>7</v>
      </c>
      <c r="I391" s="45">
        <v>1399300</v>
      </c>
      <c r="J391" s="44" t="s">
        <v>197</v>
      </c>
      <c r="K391" s="44" t="str">
        <f>INDEX(CLEANED_MotorPH_Products_List_2!C:C,MATCH(MotorPHSales[[#This Row],[Product]],CLEANED_MotorPH_Products_List_2!$B:$B,0))</f>
        <v>Sport touring</v>
      </c>
      <c r="L391" s="44" t="str">
        <f>INDEX(CLEANED_MotorPH_Products_List_2!E:E,MATCH(MotorPHSales[[#This Row],[Product]],CLEANED_MotorPH_Products_List_2!$B:$B,0))</f>
        <v>Single cylinder</v>
      </c>
      <c r="M391" s="44" t="str">
        <f>INDEX(CLEANED_MotorPH_Products_List_2!F:F,MATCH(MotorPHSales[[#This Row],[Product]],CLEANED_MotorPH_Products_List_2!$B:$B,0))</f>
        <v>liquid-cooled</v>
      </c>
      <c r="N391" s="44" t="str">
        <f>INDEX(CLEANED_MotorPH_Products_List_2!G:G,MATCH(MotorPHSales[[#This Row],[Product]],CLEANED_MotorPH_Products_List_2!$B:$B,0))</f>
        <v>373cc</v>
      </c>
      <c r="O391" s="44" t="str">
        <f>INDEX(CLEANED_MotorPH_Products_List_2!K:K,MATCH(MotorPHSales[[#This Row],[Product]],CLEANED_MotorPH_Products_List_2!B:B,0))</f>
        <v>Mid-range</v>
      </c>
      <c r="P391" s="45">
        <f>IF(MotorPHSales[[#This Row],[Segment]]="Entry-level",MotorPHSales[[#This Row],[UnitPrice]]/(1+30%),IF(MotorPHSales[[#This Row],[Segment]]="Mid-range",MotorPHSales[[#This Row],[UnitPrice]]/(1+35%),MotorPHSales[[#This Row],[UnitPrice]]/(1+40%)))*MotorPHSales[[#This Row],[Quantity]]</f>
        <v>1036518.5185185185</v>
      </c>
      <c r="Q391" s="44" t="str">
        <f>INDEX(CLEANED_MotorPH_Products_List_2!H:H,MATCH(MotorPHSales[[#This Row],[Product]],CLEANED_MotorPH_Products_List_2!$B:$B,0))</f>
        <v>6-speed</v>
      </c>
    </row>
    <row r="392" spans="1:17" ht="15.75" x14ac:dyDescent="0.3">
      <c r="A392" s="43">
        <v>45840</v>
      </c>
      <c r="B392" s="44" t="str">
        <f>TEXT(MotorPHSales[[#This Row],[Date]],"mmmm")</f>
        <v>July</v>
      </c>
      <c r="C392" s="44">
        <f>DAY(MotorPHSales[[#This Row],[Date]])</f>
        <v>2</v>
      </c>
      <c r="D392" s="44">
        <f>YEAR(MotorPHSales[[#This Row],[Date]])</f>
        <v>2025</v>
      </c>
      <c r="E392" s="44" t="s">
        <v>194</v>
      </c>
      <c r="F392" s="44" t="s">
        <v>46</v>
      </c>
      <c r="G392" s="45">
        <v>124000</v>
      </c>
      <c r="H392" s="44">
        <v>31</v>
      </c>
      <c r="I392" s="45">
        <v>3844000</v>
      </c>
      <c r="J392" s="44" t="s">
        <v>198</v>
      </c>
      <c r="K392" s="44" t="str">
        <f>INDEX(CLEANED_MotorPH_Products_List_2!C:C,MATCH(MotorPHSales[[#This Row],[Product]],CLEANED_MotorPH_Products_List_2!$B:$B,0))</f>
        <v>Scooter</v>
      </c>
      <c r="L392" s="44" t="str">
        <f>INDEX(CLEANED_MotorPH_Products_List_2!E:E,MATCH(MotorPHSales[[#This Row],[Product]],CLEANED_MotorPH_Products_List_2!$B:$B,0))</f>
        <v>Single cylinder</v>
      </c>
      <c r="M392" s="44" t="str">
        <f>INDEX(CLEANED_MotorPH_Products_List_2!F:F,MATCH(MotorPHSales[[#This Row],[Product]],CLEANED_MotorPH_Products_List_2!$B:$B,0))</f>
        <v>liquid-cooled</v>
      </c>
      <c r="N392" s="44" t="str">
        <f>INDEX(CLEANED_MotorPH_Products_List_2!G:G,MATCH(MotorPHSales[[#This Row],[Product]],CLEANED_MotorPH_Products_List_2!$B:$B,0))</f>
        <v>155cc</v>
      </c>
      <c r="O392" s="44" t="str">
        <f>INDEX(CLEANED_MotorPH_Products_List_2!K:K,MATCH(MotorPHSales[[#This Row],[Product]],CLEANED_MotorPH_Products_List_2!B:B,0))</f>
        <v>Entry-level</v>
      </c>
      <c r="P392" s="45">
        <f>IF(MotorPHSales[[#This Row],[Segment]]="Entry-level",MotorPHSales[[#This Row],[UnitPrice]]/(1+30%),IF(MotorPHSales[[#This Row],[Segment]]="Mid-range",MotorPHSales[[#This Row],[UnitPrice]]/(1+35%),MotorPHSales[[#This Row],[UnitPrice]]/(1+40%)))*MotorPHSales[[#This Row],[Quantity]]</f>
        <v>2956923.0769230765</v>
      </c>
      <c r="Q392" s="44" t="str">
        <f>INDEX(CLEANED_MotorPH_Products_List_2!H:H,MATCH(MotorPHSales[[#This Row],[Product]],CLEANED_MotorPH_Products_List_2!$B:$B,0))</f>
        <v>CVT</v>
      </c>
    </row>
    <row r="393" spans="1:17" ht="15.75" x14ac:dyDescent="0.3">
      <c r="A393" s="43">
        <v>45895</v>
      </c>
      <c r="B393" s="44" t="str">
        <f>TEXT(MotorPHSales[[#This Row],[Date]],"mmmm")</f>
        <v>August</v>
      </c>
      <c r="C393" s="44">
        <f>DAY(MotorPHSales[[#This Row],[Date]])</f>
        <v>26</v>
      </c>
      <c r="D393" s="44">
        <f>YEAR(MotorPHSales[[#This Row],[Date]])</f>
        <v>2025</v>
      </c>
      <c r="E393" s="44" t="s">
        <v>194</v>
      </c>
      <c r="F393" s="44" t="s">
        <v>99</v>
      </c>
      <c r="G393" s="45">
        <v>689000</v>
      </c>
      <c r="H393" s="44">
        <v>15</v>
      </c>
      <c r="I393" s="45">
        <v>10335000</v>
      </c>
      <c r="J393" s="44" t="s">
        <v>198</v>
      </c>
      <c r="K393" s="44" t="str">
        <f>INDEX(CLEANED_MotorPH_Products_List_2!C:C,MATCH(MotorPHSales[[#This Row],[Product]],CLEANED_MotorPH_Products_List_2!$B:$B,0))</f>
        <v>Heritage</v>
      </c>
      <c r="L393" s="44" t="str">
        <f>INDEX(CLEANED_MotorPH_Products_List_2!E:E,MATCH(MotorPHSales[[#This Row],[Product]],CLEANED_MotorPH_Products_List_2!$B:$B,0))</f>
        <v>V-twin</v>
      </c>
      <c r="M393" s="44" t="str">
        <f>INDEX(CLEANED_MotorPH_Products_List_2!F:F,MATCH(MotorPHSales[[#This Row],[Product]],CLEANED_MotorPH_Products_List_2!$B:$B,0))</f>
        <v>air-cooled</v>
      </c>
      <c r="N393" s="44" t="str">
        <f>INDEX(CLEANED_MotorPH_Products_List_2!G:G,MATCH(MotorPHSales[[#This Row],[Product]],CLEANED_MotorPH_Products_List_2!$B:$B,0))</f>
        <v>853cc</v>
      </c>
      <c r="O393" s="44" t="str">
        <f>INDEX(CLEANED_MotorPH_Products_List_2!K:K,MATCH(MotorPHSales[[#This Row],[Product]],CLEANED_MotorPH_Products_List_2!B:B,0))</f>
        <v>Premium</v>
      </c>
      <c r="P393" s="45">
        <f>IF(MotorPHSales[[#This Row],[Segment]]="Entry-level",MotorPHSales[[#This Row],[UnitPrice]]/(1+30%),IF(MotorPHSales[[#This Row],[Segment]]="Mid-range",MotorPHSales[[#This Row],[UnitPrice]]/(1+35%),MotorPHSales[[#This Row],[UnitPrice]]/(1+40%)))*MotorPHSales[[#This Row],[Quantity]]</f>
        <v>7382142.8571428573</v>
      </c>
      <c r="Q393" s="44" t="str">
        <f>INDEX(CLEANED_MotorPH_Products_List_2!H:H,MATCH(MotorPHSales[[#This Row],[Product]],CLEANED_MotorPH_Products_List_2!$B:$B,0))</f>
        <v>6-speed</v>
      </c>
    </row>
    <row r="394" spans="1:17" ht="15.75" x14ac:dyDescent="0.3">
      <c r="A394" s="43">
        <v>45871</v>
      </c>
      <c r="B394" s="44" t="str">
        <f>TEXT(MotorPHSales[[#This Row],[Date]],"mmmm")</f>
        <v>August</v>
      </c>
      <c r="C394" s="44">
        <f>DAY(MotorPHSales[[#This Row],[Date]])</f>
        <v>2</v>
      </c>
      <c r="D394" s="44">
        <f>YEAR(MotorPHSales[[#This Row],[Date]])</f>
        <v>2025</v>
      </c>
      <c r="E394" s="44" t="s">
        <v>194</v>
      </c>
      <c r="F394" s="44" t="s">
        <v>38</v>
      </c>
      <c r="G394" s="45">
        <v>295000</v>
      </c>
      <c r="H394" s="44">
        <v>4</v>
      </c>
      <c r="I394" s="45">
        <v>1180000</v>
      </c>
      <c r="J394" s="44" t="s">
        <v>198</v>
      </c>
      <c r="K394" s="44" t="str">
        <f>INDEX(CLEANED_MotorPH_Products_List_2!C:C,MATCH(MotorPHSales[[#This Row],[Product]],CLEANED_MotorPH_Products_List_2!$B:$B,0))</f>
        <v>Scrambler</v>
      </c>
      <c r="L394" s="44" t="str">
        <f>INDEX(CLEANED_MotorPH_Products_List_2!E:E,MATCH(MotorPHSales[[#This Row],[Product]],CLEANED_MotorPH_Products_List_2!$B:$B,0))</f>
        <v>Single cylinder</v>
      </c>
      <c r="M394" s="44" t="str">
        <f>INDEX(CLEANED_MotorPH_Products_List_2!F:F,MATCH(MotorPHSales[[#This Row],[Product]],CLEANED_MotorPH_Products_List_2!$B:$B,0))</f>
        <v>liquid-cooled</v>
      </c>
      <c r="N394" s="44" t="str">
        <f>INDEX(CLEANED_MotorPH_Products_List_2!G:G,MATCH(MotorPHSales[[#This Row],[Product]],CLEANED_MotorPH_Products_List_2!$B:$B,0))</f>
        <v>373cc</v>
      </c>
      <c r="O394" s="44" t="str">
        <f>INDEX(CLEANED_MotorPH_Products_List_2!K:K,MATCH(MotorPHSales[[#This Row],[Product]],CLEANED_MotorPH_Products_List_2!B:B,0))</f>
        <v>Mid-range</v>
      </c>
      <c r="P394" s="45">
        <f>IF(MotorPHSales[[#This Row],[Segment]]="Entry-level",MotorPHSales[[#This Row],[UnitPrice]]/(1+30%),IF(MotorPHSales[[#This Row],[Segment]]="Mid-range",MotorPHSales[[#This Row],[UnitPrice]]/(1+35%),MotorPHSales[[#This Row],[UnitPrice]]/(1+40%)))*MotorPHSales[[#This Row],[Quantity]]</f>
        <v>874074.07407407404</v>
      </c>
      <c r="Q394" s="44" t="str">
        <f>INDEX(CLEANED_MotorPH_Products_List_2!H:H,MATCH(MotorPHSales[[#This Row],[Product]],CLEANED_MotorPH_Products_List_2!$B:$B,0))</f>
        <v>6-speed</v>
      </c>
    </row>
    <row r="395" spans="1:17" ht="15.75" x14ac:dyDescent="0.3">
      <c r="A395" s="43">
        <v>45894</v>
      </c>
      <c r="B395" s="44" t="str">
        <f>TEXT(MotorPHSales[[#This Row],[Date]],"mmmm")</f>
        <v>August</v>
      </c>
      <c r="C395" s="44">
        <f>DAY(MotorPHSales[[#This Row],[Date]])</f>
        <v>25</v>
      </c>
      <c r="D395" s="44">
        <f>YEAR(MotorPHSales[[#This Row],[Date]])</f>
        <v>2025</v>
      </c>
      <c r="E395" s="44" t="s">
        <v>196</v>
      </c>
      <c r="F395" s="44" t="s">
        <v>22</v>
      </c>
      <c r="G395" s="45">
        <v>182000</v>
      </c>
      <c r="H395" s="44">
        <v>19</v>
      </c>
      <c r="I395" s="45">
        <v>3458000</v>
      </c>
      <c r="J395" s="44" t="s">
        <v>198</v>
      </c>
      <c r="K395" s="44" t="str">
        <f>INDEX(CLEANED_MotorPH_Products_List_2!C:C,MATCH(MotorPHSales[[#This Row],[Product]],CLEANED_MotorPH_Products_List_2!$B:$B,0))</f>
        <v>Retro</v>
      </c>
      <c r="L395" s="44" t="str">
        <f>INDEX(CLEANED_MotorPH_Products_List_2!E:E,MATCH(MotorPHSales[[#This Row],[Product]],CLEANED_MotorPH_Products_List_2!$B:$B,0))</f>
        <v>Single cylinder</v>
      </c>
      <c r="M395" s="44" t="str">
        <f>INDEX(CLEANED_MotorPH_Products_List_2!F:F,MATCH(MotorPHSales[[#This Row],[Product]],CLEANED_MotorPH_Products_List_2!$B:$B,0))</f>
        <v>liquid-cooled</v>
      </c>
      <c r="N395" s="44" t="str">
        <f>INDEX(CLEANED_MotorPH_Products_List_2!G:G,MATCH(MotorPHSales[[#This Row],[Product]],CLEANED_MotorPH_Products_List_2!$B:$B,0))</f>
        <v>155cc</v>
      </c>
      <c r="O395" s="44" t="str">
        <f>INDEX(CLEANED_MotorPH_Products_List_2!K:K,MATCH(MotorPHSales[[#This Row],[Product]],CLEANED_MotorPH_Products_List_2!B:B,0))</f>
        <v>Entry-level</v>
      </c>
      <c r="P395" s="45">
        <f>IF(MotorPHSales[[#This Row],[Segment]]="Entry-level",MotorPHSales[[#This Row],[UnitPrice]]/(1+30%),IF(MotorPHSales[[#This Row],[Segment]]="Mid-range",MotorPHSales[[#This Row],[UnitPrice]]/(1+35%),MotorPHSales[[#This Row],[UnitPrice]]/(1+40%)))*MotorPHSales[[#This Row],[Quantity]]</f>
        <v>2660000</v>
      </c>
      <c r="Q395" s="44" t="str">
        <f>INDEX(CLEANED_MotorPH_Products_List_2!H:H,MATCH(MotorPHSales[[#This Row],[Product]],CLEANED_MotorPH_Products_List_2!$B:$B,0))</f>
        <v>6-speed</v>
      </c>
    </row>
    <row r="396" spans="1:17" ht="15.75" x14ac:dyDescent="0.3">
      <c r="A396" s="43">
        <v>45859</v>
      </c>
      <c r="B396" s="44" t="str">
        <f>TEXT(MotorPHSales[[#This Row],[Date]],"mmmm")</f>
        <v>July</v>
      </c>
      <c r="C396" s="44">
        <f>DAY(MotorPHSales[[#This Row],[Date]])</f>
        <v>21</v>
      </c>
      <c r="D396" s="44">
        <f>YEAR(MotorPHSales[[#This Row],[Date]])</f>
        <v>2025</v>
      </c>
      <c r="E396" s="44" t="s">
        <v>196</v>
      </c>
      <c r="F396" s="44" t="s">
        <v>36</v>
      </c>
      <c r="G396" s="45">
        <v>129000</v>
      </c>
      <c r="H396" s="44">
        <v>47</v>
      </c>
      <c r="I396" s="45">
        <v>6063000</v>
      </c>
      <c r="J396" s="44" t="s">
        <v>197</v>
      </c>
      <c r="K396" s="44" t="str">
        <f>INDEX(CLEANED_MotorPH_Products_List_2!C:C,MATCH(MotorPHSales[[#This Row],[Product]],CLEANED_MotorPH_Products_List_2!$B:$B,0))</f>
        <v>Naked bike</v>
      </c>
      <c r="L396" s="44" t="str">
        <f>INDEX(CLEANED_MotorPH_Products_List_2!E:E,MATCH(MotorPHSales[[#This Row],[Product]],CLEANED_MotorPH_Products_List_2!$B:$B,0))</f>
        <v>Single cylinder</v>
      </c>
      <c r="M396" s="44" t="str">
        <f>INDEX(CLEANED_MotorPH_Products_List_2!F:F,MATCH(MotorPHSales[[#This Row],[Product]],CLEANED_MotorPH_Products_List_2!$B:$B,0))</f>
        <v>oil-cooled</v>
      </c>
      <c r="N396" s="44" t="str">
        <f>INDEX(CLEANED_MotorPH_Products_List_2!G:G,MATCH(MotorPHSales[[#This Row],[Product]],CLEANED_MotorPH_Products_List_2!$B:$B,0))</f>
        <v>197cc</v>
      </c>
      <c r="O396" s="44" t="str">
        <f>INDEX(CLEANED_MotorPH_Products_List_2!K:K,MATCH(MotorPHSales[[#This Row],[Product]],CLEANED_MotorPH_Products_List_2!B:B,0))</f>
        <v>Entry-level</v>
      </c>
      <c r="P396" s="45">
        <f>IF(MotorPHSales[[#This Row],[Segment]]="Entry-level",MotorPHSales[[#This Row],[UnitPrice]]/(1+30%),IF(MotorPHSales[[#This Row],[Segment]]="Mid-range",MotorPHSales[[#This Row],[UnitPrice]]/(1+35%),MotorPHSales[[#This Row],[UnitPrice]]/(1+40%)))*MotorPHSales[[#This Row],[Quantity]]</f>
        <v>4663846.153846154</v>
      </c>
      <c r="Q396" s="44" t="str">
        <f>INDEX(CLEANED_MotorPH_Products_List_2!H:H,MATCH(MotorPHSales[[#This Row],[Product]],CLEANED_MotorPH_Products_List_2!$B:$B,0))</f>
        <v>5-speed</v>
      </c>
    </row>
    <row r="397" spans="1:17" ht="15.75" x14ac:dyDescent="0.3">
      <c r="A397" s="43">
        <v>45833</v>
      </c>
      <c r="B397" s="44" t="str">
        <f>TEXT(MotorPHSales[[#This Row],[Date]],"mmmm")</f>
        <v>June</v>
      </c>
      <c r="C397" s="44">
        <f>DAY(MotorPHSales[[#This Row],[Date]])</f>
        <v>25</v>
      </c>
      <c r="D397" s="44">
        <f>YEAR(MotorPHSales[[#This Row],[Date]])</f>
        <v>2025</v>
      </c>
      <c r="E397" s="44" t="s">
        <v>194</v>
      </c>
      <c r="F397" s="44" t="s">
        <v>40</v>
      </c>
      <c r="G397" s="45">
        <v>210000</v>
      </c>
      <c r="H397" s="44">
        <v>1</v>
      </c>
      <c r="I397" s="45">
        <v>210000</v>
      </c>
      <c r="J397" s="44" t="s">
        <v>195</v>
      </c>
      <c r="K397" s="44" t="str">
        <f>INDEX(CLEANED_MotorPH_Products_List_2!C:C,MATCH(MotorPHSales[[#This Row],[Product]],CLEANED_MotorPH_Products_List_2!$B:$B,0))</f>
        <v>Scooter</v>
      </c>
      <c r="L397" s="44" t="str">
        <f>INDEX(CLEANED_MotorPH_Products_List_2!E:E,MATCH(MotorPHSales[[#This Row],[Product]],CLEANED_MotorPH_Products_List_2!$B:$B,0))</f>
        <v>Single cylinder</v>
      </c>
      <c r="M397" s="44" t="str">
        <f>INDEX(CLEANED_MotorPH_Products_List_2!F:F,MATCH(MotorPHSales[[#This Row],[Product]],CLEANED_MotorPH_Products_List_2!$B:$B,0))</f>
        <v>air-cooled</v>
      </c>
      <c r="N397" s="44" t="str">
        <f>INDEX(CLEANED_MotorPH_Products_List_2!G:G,MATCH(MotorPHSales[[#This Row],[Product]],CLEANED_MotorPH_Products_List_2!$B:$B,0))</f>
        <v>150cc</v>
      </c>
      <c r="O397" s="44" t="str">
        <f>INDEX(CLEANED_MotorPH_Products_List_2!K:K,MATCH(MotorPHSales[[#This Row],[Product]],CLEANED_MotorPH_Products_List_2!B:B,0))</f>
        <v>Entry-level</v>
      </c>
      <c r="P397" s="45">
        <f>IF(MotorPHSales[[#This Row],[Segment]]="Entry-level",MotorPHSales[[#This Row],[UnitPrice]]/(1+30%),IF(MotorPHSales[[#This Row],[Segment]]="Mid-range",MotorPHSales[[#This Row],[UnitPrice]]/(1+35%),MotorPHSales[[#This Row],[UnitPrice]]/(1+40%)))*MotorPHSales[[#This Row],[Quantity]]</f>
        <v>161538.46153846153</v>
      </c>
      <c r="Q397" s="44" t="str">
        <f>INDEX(CLEANED_MotorPH_Products_List_2!H:H,MATCH(MotorPHSales[[#This Row],[Product]],CLEANED_MotorPH_Products_List_2!$B:$B,0))</f>
        <v>CVT</v>
      </c>
    </row>
    <row r="398" spans="1:17" ht="15.75" x14ac:dyDescent="0.3">
      <c r="A398" s="43">
        <v>45866</v>
      </c>
      <c r="B398" s="44" t="str">
        <f>TEXT(MotorPHSales[[#This Row],[Date]],"mmmm")</f>
        <v>July</v>
      </c>
      <c r="C398" s="44">
        <f>DAY(MotorPHSales[[#This Row],[Date]])</f>
        <v>28</v>
      </c>
      <c r="D398" s="44">
        <f>YEAR(MotorPHSales[[#This Row],[Date]])</f>
        <v>2025</v>
      </c>
      <c r="E398" s="44" t="s">
        <v>194</v>
      </c>
      <c r="F398" s="44" t="s">
        <v>68</v>
      </c>
      <c r="G398" s="45">
        <v>248000</v>
      </c>
      <c r="H398" s="44">
        <v>3</v>
      </c>
      <c r="I398" s="45">
        <v>744000</v>
      </c>
      <c r="J398" s="44" t="s">
        <v>195</v>
      </c>
      <c r="K398" s="44" t="str">
        <f>INDEX(CLEANED_MotorPH_Products_List_2!C:C,MATCH(MotorPHSales[[#This Row],[Product]],CLEANED_MotorPH_Products_List_2!$B:$B,0))</f>
        <v>Adventure</v>
      </c>
      <c r="L398" s="44" t="str">
        <f>INDEX(CLEANED_MotorPH_Products_List_2!E:E,MATCH(MotorPHSales[[#This Row],[Product]],CLEANED_MotorPH_Products_List_2!$B:$B,0))</f>
        <v>Single cylinder</v>
      </c>
      <c r="M398" s="44" t="str">
        <f>INDEX(CLEANED_MotorPH_Products_List_2!F:F,MATCH(MotorPHSales[[#This Row],[Product]],CLEANED_MotorPH_Products_List_2!$B:$B,0))</f>
        <v>liquid-cooled</v>
      </c>
      <c r="N398" s="44" t="str">
        <f>INDEX(CLEANED_MotorPH_Products_List_2!G:G,MATCH(MotorPHSales[[#This Row],[Product]],CLEANED_MotorPH_Products_List_2!$B:$B,0))</f>
        <v>312cc</v>
      </c>
      <c r="O398" s="44" t="str">
        <f>INDEX(CLEANED_MotorPH_Products_List_2!K:K,MATCH(MotorPHSales[[#This Row],[Product]],CLEANED_MotorPH_Products_List_2!B:B,0))</f>
        <v>Mid-range</v>
      </c>
      <c r="P398" s="45">
        <f>IF(MotorPHSales[[#This Row],[Segment]]="Entry-level",MotorPHSales[[#This Row],[UnitPrice]]/(1+30%),IF(MotorPHSales[[#This Row],[Segment]]="Mid-range",MotorPHSales[[#This Row],[UnitPrice]]/(1+35%),MotorPHSales[[#This Row],[UnitPrice]]/(1+40%)))*MotorPHSales[[#This Row],[Quantity]]</f>
        <v>551111.11111111101</v>
      </c>
      <c r="Q398" s="44" t="str">
        <f>INDEX(CLEANED_MotorPH_Products_List_2!H:H,MATCH(MotorPHSales[[#This Row],[Product]],CLEANED_MotorPH_Products_List_2!$B:$B,0))</f>
        <v>6-speed</v>
      </c>
    </row>
    <row r="399" spans="1:17" ht="15.75" x14ac:dyDescent="0.3">
      <c r="A399" s="43">
        <v>45871</v>
      </c>
      <c r="B399" s="44" t="str">
        <f>TEXT(MotorPHSales[[#This Row],[Date]],"mmmm")</f>
        <v>August</v>
      </c>
      <c r="C399" s="44">
        <f>DAY(MotorPHSales[[#This Row],[Date]])</f>
        <v>2</v>
      </c>
      <c r="D399" s="44">
        <f>YEAR(MotorPHSales[[#This Row],[Date]])</f>
        <v>2025</v>
      </c>
      <c r="E399" s="44" t="s">
        <v>194</v>
      </c>
      <c r="F399" s="44" t="s">
        <v>57</v>
      </c>
      <c r="G399" s="45">
        <v>125900</v>
      </c>
      <c r="H399" s="44">
        <v>16</v>
      </c>
      <c r="I399" s="45">
        <v>2014400</v>
      </c>
      <c r="J399" s="44" t="s">
        <v>197</v>
      </c>
      <c r="K399" s="44" t="str">
        <f>INDEX(CLEANED_MotorPH_Products_List_2!C:C,MATCH(MotorPHSales[[#This Row],[Product]],CLEANED_MotorPH_Products_List_2!$B:$B,0))</f>
        <v>Underbone</v>
      </c>
      <c r="L399" s="44" t="str">
        <f>INDEX(CLEANED_MotorPH_Products_List_2!E:E,MATCH(MotorPHSales[[#This Row],[Product]],CLEANED_MotorPH_Products_List_2!$B:$B,0))</f>
        <v>Single cylinder</v>
      </c>
      <c r="M399" s="44" t="str">
        <f>INDEX(CLEANED_MotorPH_Products_List_2!F:F,MATCH(MotorPHSales[[#This Row],[Product]],CLEANED_MotorPH_Products_List_2!$B:$B,0))</f>
        <v>liquid-cooled</v>
      </c>
      <c r="N399" s="44" t="str">
        <f>INDEX(CLEANED_MotorPH_Products_List_2!G:G,MATCH(MotorPHSales[[#This Row],[Product]],CLEANED_MotorPH_Products_List_2!$B:$B,0))</f>
        <v>155cc</v>
      </c>
      <c r="O399" s="44" t="str">
        <f>INDEX(CLEANED_MotorPH_Products_List_2!K:K,MATCH(MotorPHSales[[#This Row],[Product]],CLEANED_MotorPH_Products_List_2!B:B,0))</f>
        <v>Entry-level</v>
      </c>
      <c r="P399" s="45">
        <f>IF(MotorPHSales[[#This Row],[Segment]]="Entry-level",MotorPHSales[[#This Row],[UnitPrice]]/(1+30%),IF(MotorPHSales[[#This Row],[Segment]]="Mid-range",MotorPHSales[[#This Row],[UnitPrice]]/(1+35%),MotorPHSales[[#This Row],[UnitPrice]]/(1+40%)))*MotorPHSales[[#This Row],[Quantity]]</f>
        <v>1549538.4615384615</v>
      </c>
      <c r="Q399" s="44" t="str">
        <f>INDEX(CLEANED_MotorPH_Products_List_2!H:H,MATCH(MotorPHSales[[#This Row],[Product]],CLEANED_MotorPH_Products_List_2!$B:$B,0))</f>
        <v>6-speed</v>
      </c>
    </row>
    <row r="400" spans="1:17" ht="15.75" x14ac:dyDescent="0.3">
      <c r="A400" s="43">
        <v>45870</v>
      </c>
      <c r="B400" s="44" t="str">
        <f>TEXT(MotorPHSales[[#This Row],[Date]],"mmmm")</f>
        <v>August</v>
      </c>
      <c r="C400" s="44">
        <f>DAY(MotorPHSales[[#This Row],[Date]])</f>
        <v>1</v>
      </c>
      <c r="D400" s="44">
        <f>YEAR(MotorPHSales[[#This Row],[Date]])</f>
        <v>2025</v>
      </c>
      <c r="E400" s="44" t="s">
        <v>196</v>
      </c>
      <c r="F400" s="44" t="s">
        <v>97</v>
      </c>
      <c r="G400" s="45">
        <v>269000</v>
      </c>
      <c r="H400" s="44">
        <v>9</v>
      </c>
      <c r="I400" s="45">
        <v>2421000</v>
      </c>
      <c r="J400" s="44" t="s">
        <v>195</v>
      </c>
      <c r="K400" s="44" t="str">
        <f>INDEX(CLEANED_MotorPH_Products_List_2!C:C,MATCH(MotorPHSales[[#This Row],[Product]],CLEANED_MotorPH_Products_List_2!$B:$B,0))</f>
        <v>Cafe racer</v>
      </c>
      <c r="L400" s="44" t="str">
        <f>INDEX(CLEANED_MotorPH_Products_List_2!E:E,MATCH(MotorPHSales[[#This Row],[Product]],CLEANED_MotorPH_Products_List_2!$B:$B,0))</f>
        <v>Single cylinder</v>
      </c>
      <c r="M400" s="44" t="str">
        <f>INDEX(CLEANED_MotorPH_Products_List_2!F:F,MATCH(MotorPHSales[[#This Row],[Product]],CLEANED_MotorPH_Products_List_2!$B:$B,0))</f>
        <v>liquid-cooled</v>
      </c>
      <c r="N400" s="44" t="str">
        <f>INDEX(CLEANED_MotorPH_Products_List_2!G:G,MATCH(MotorPHSales[[#This Row],[Product]],CLEANED_MotorPH_Products_List_2!$B:$B,0))</f>
        <v>348cc</v>
      </c>
      <c r="O400" s="44" t="str">
        <f>INDEX(CLEANED_MotorPH_Products_List_2!K:K,MATCH(MotorPHSales[[#This Row],[Product]],CLEANED_MotorPH_Products_List_2!B:B,0))</f>
        <v>Mid-range</v>
      </c>
      <c r="P400" s="45">
        <f>IF(MotorPHSales[[#This Row],[Segment]]="Entry-level",MotorPHSales[[#This Row],[UnitPrice]]/(1+30%),IF(MotorPHSales[[#This Row],[Segment]]="Mid-range",MotorPHSales[[#This Row],[UnitPrice]]/(1+35%),MotorPHSales[[#This Row],[UnitPrice]]/(1+40%)))*MotorPHSales[[#This Row],[Quantity]]</f>
        <v>1793333.3333333333</v>
      </c>
      <c r="Q400" s="44" t="str">
        <f>INDEX(CLEANED_MotorPH_Products_List_2!H:H,MATCH(MotorPHSales[[#This Row],[Product]],CLEANED_MotorPH_Products_List_2!$B:$B,0))</f>
        <v>6-speed</v>
      </c>
    </row>
    <row r="401" spans="1:17" ht="15.75" x14ac:dyDescent="0.3">
      <c r="A401" s="43">
        <v>45830</v>
      </c>
      <c r="B401" s="44" t="str">
        <f>TEXT(MotorPHSales[[#This Row],[Date]],"mmmm")</f>
        <v>June</v>
      </c>
      <c r="C401" s="44">
        <f>DAY(MotorPHSales[[#This Row],[Date]])</f>
        <v>22</v>
      </c>
      <c r="D401" s="44">
        <f>YEAR(MotorPHSales[[#This Row],[Date]])</f>
        <v>2025</v>
      </c>
      <c r="E401" s="44" t="s">
        <v>194</v>
      </c>
      <c r="F401" s="44" t="s">
        <v>8</v>
      </c>
      <c r="G401" s="45">
        <v>178000</v>
      </c>
      <c r="H401" s="44">
        <v>41</v>
      </c>
      <c r="I401" s="45">
        <v>7298000</v>
      </c>
      <c r="J401" s="44" t="s">
        <v>195</v>
      </c>
      <c r="K401" s="44" t="str">
        <f>INDEX(CLEANED_MotorPH_Products_List_2!C:C,MATCH(MotorPHSales[[#This Row],[Product]],CLEANED_MotorPH_Products_List_2!$B:$B,0))</f>
        <v>Naked bike</v>
      </c>
      <c r="L401" s="44" t="str">
        <f>INDEX(CLEANED_MotorPH_Products_List_2!E:E,MATCH(MotorPHSales[[#This Row],[Product]],CLEANED_MotorPH_Products_List_2!$B:$B,0))</f>
        <v>Single cylinder</v>
      </c>
      <c r="M401" s="44" t="str">
        <f>INDEX(CLEANED_MotorPH_Products_List_2!F:F,MATCH(MotorPHSales[[#This Row],[Product]],CLEANED_MotorPH_Products_List_2!$B:$B,0))</f>
        <v>liquid-cooled</v>
      </c>
      <c r="N401" s="44" t="str">
        <f>INDEX(CLEANED_MotorPH_Products_List_2!G:G,MATCH(MotorPHSales[[#This Row],[Product]],CLEANED_MotorPH_Products_List_2!$B:$B,0))</f>
        <v>155cc</v>
      </c>
      <c r="O401" s="44" t="str">
        <f>INDEX(CLEANED_MotorPH_Products_List_2!K:K,MATCH(MotorPHSales[[#This Row],[Product]],CLEANED_MotorPH_Products_List_2!B:B,0))</f>
        <v>Entry-level</v>
      </c>
      <c r="P401" s="45">
        <f>IF(MotorPHSales[[#This Row],[Segment]]="Entry-level",MotorPHSales[[#This Row],[UnitPrice]]/(1+30%),IF(MotorPHSales[[#This Row],[Segment]]="Mid-range",MotorPHSales[[#This Row],[UnitPrice]]/(1+35%),MotorPHSales[[#This Row],[UnitPrice]]/(1+40%)))*MotorPHSales[[#This Row],[Quantity]]</f>
        <v>5613846.1538461531</v>
      </c>
      <c r="Q401" s="44" t="str">
        <f>INDEX(CLEANED_MotorPH_Products_List_2!H:H,MATCH(MotorPHSales[[#This Row],[Product]],CLEANED_MotorPH_Products_List_2!$B:$B,0))</f>
        <v>6-speed</v>
      </c>
    </row>
    <row r="402" spans="1:17" ht="15.75" x14ac:dyDescent="0.3">
      <c r="A402" s="43">
        <v>45866</v>
      </c>
      <c r="B402" s="44" t="str">
        <f>TEXT(MotorPHSales[[#This Row],[Date]],"mmmm")</f>
        <v>July</v>
      </c>
      <c r="C402" s="44">
        <f>DAY(MotorPHSales[[#This Row],[Date]])</f>
        <v>28</v>
      </c>
      <c r="D402" s="44">
        <f>YEAR(MotorPHSales[[#This Row],[Date]])</f>
        <v>2025</v>
      </c>
      <c r="E402" s="44" t="s">
        <v>196</v>
      </c>
      <c r="F402" s="44" t="s">
        <v>38</v>
      </c>
      <c r="G402" s="45">
        <v>295000</v>
      </c>
      <c r="H402" s="44">
        <v>17</v>
      </c>
      <c r="I402" s="45">
        <v>5015000</v>
      </c>
      <c r="J402" s="44" t="s">
        <v>197</v>
      </c>
      <c r="K402" s="44" t="str">
        <f>INDEX(CLEANED_MotorPH_Products_List_2!C:C,MATCH(MotorPHSales[[#This Row],[Product]],CLEANED_MotorPH_Products_List_2!$B:$B,0))</f>
        <v>Scrambler</v>
      </c>
      <c r="L402" s="44" t="str">
        <f>INDEX(CLEANED_MotorPH_Products_List_2!E:E,MATCH(MotorPHSales[[#This Row],[Product]],CLEANED_MotorPH_Products_List_2!$B:$B,0))</f>
        <v>Single cylinder</v>
      </c>
      <c r="M402" s="44" t="str">
        <f>INDEX(CLEANED_MotorPH_Products_List_2!F:F,MATCH(MotorPHSales[[#This Row],[Product]],CLEANED_MotorPH_Products_List_2!$B:$B,0))</f>
        <v>liquid-cooled</v>
      </c>
      <c r="N402" s="44" t="str">
        <f>INDEX(CLEANED_MotorPH_Products_List_2!G:G,MATCH(MotorPHSales[[#This Row],[Product]],CLEANED_MotorPH_Products_List_2!$B:$B,0))</f>
        <v>373cc</v>
      </c>
      <c r="O402" s="44" t="str">
        <f>INDEX(CLEANED_MotorPH_Products_List_2!K:K,MATCH(MotorPHSales[[#This Row],[Product]],CLEANED_MotorPH_Products_List_2!B:B,0))</f>
        <v>Mid-range</v>
      </c>
      <c r="P402" s="45">
        <f>IF(MotorPHSales[[#This Row],[Segment]]="Entry-level",MotorPHSales[[#This Row],[UnitPrice]]/(1+30%),IF(MotorPHSales[[#This Row],[Segment]]="Mid-range",MotorPHSales[[#This Row],[UnitPrice]]/(1+35%),MotorPHSales[[#This Row],[UnitPrice]]/(1+40%)))*MotorPHSales[[#This Row],[Quantity]]</f>
        <v>3714814.8148148148</v>
      </c>
      <c r="Q402" s="44" t="str">
        <f>INDEX(CLEANED_MotorPH_Products_List_2!H:H,MATCH(MotorPHSales[[#This Row],[Product]],CLEANED_MotorPH_Products_List_2!$B:$B,0))</f>
        <v>6-speed</v>
      </c>
    </row>
    <row r="403" spans="1:17" ht="15.75" x14ac:dyDescent="0.3">
      <c r="A403" s="43">
        <v>45866</v>
      </c>
      <c r="B403" s="44" t="str">
        <f>TEXT(MotorPHSales[[#This Row],[Date]],"mmmm")</f>
        <v>July</v>
      </c>
      <c r="C403" s="44">
        <f>DAY(MotorPHSales[[#This Row],[Date]])</f>
        <v>28</v>
      </c>
      <c r="D403" s="44">
        <f>YEAR(MotorPHSales[[#This Row],[Date]])</f>
        <v>2025</v>
      </c>
      <c r="E403" s="44" t="s">
        <v>196</v>
      </c>
      <c r="F403" s="44" t="s">
        <v>18</v>
      </c>
      <c r="G403" s="45">
        <v>328000</v>
      </c>
      <c r="H403" s="44">
        <v>43</v>
      </c>
      <c r="I403" s="45">
        <v>14104000</v>
      </c>
      <c r="J403" s="44" t="s">
        <v>198</v>
      </c>
      <c r="K403" s="44" t="str">
        <f>INDEX(CLEANED_MotorPH_Products_List_2!C:C,MATCH(MotorPHSales[[#This Row],[Product]],CLEANED_MotorPH_Products_List_2!$B:$B,0))</f>
        <v>Cafe racer</v>
      </c>
      <c r="L403" s="44" t="str">
        <f>INDEX(CLEANED_MotorPH_Products_List_2!E:E,MATCH(MotorPHSales[[#This Row],[Product]],CLEANED_MotorPH_Products_List_2!$B:$B,0))</f>
        <v>Twin cylinder</v>
      </c>
      <c r="M403" s="44" t="str">
        <f>INDEX(CLEANED_MotorPH_Products_List_2!F:F,MATCH(MotorPHSales[[#This Row],[Product]],CLEANED_MotorPH_Products_List_2!$B:$B,0))</f>
        <v>air-cooled</v>
      </c>
      <c r="N403" s="44" t="str">
        <f>INDEX(CLEANED_MotorPH_Products_List_2!G:G,MATCH(MotorPHSales[[#This Row],[Product]],CLEANED_MotorPH_Products_List_2!$B:$B,0))</f>
        <v>471cc</v>
      </c>
      <c r="O403" s="44" t="str">
        <f>INDEX(CLEANED_MotorPH_Products_List_2!K:K,MATCH(MotorPHSales[[#This Row],[Product]],CLEANED_MotorPH_Products_List_2!B:B,0))</f>
        <v>Mid-range</v>
      </c>
      <c r="P403" s="45">
        <f>IF(MotorPHSales[[#This Row],[Segment]]="Entry-level",MotorPHSales[[#This Row],[UnitPrice]]/(1+30%),IF(MotorPHSales[[#This Row],[Segment]]="Mid-range",MotorPHSales[[#This Row],[UnitPrice]]/(1+35%),MotorPHSales[[#This Row],[UnitPrice]]/(1+40%)))*MotorPHSales[[#This Row],[Quantity]]</f>
        <v>10447407.407407407</v>
      </c>
      <c r="Q403" s="44" t="str">
        <f>INDEX(CLEANED_MotorPH_Products_List_2!H:H,MATCH(MotorPHSales[[#This Row],[Product]],CLEANED_MotorPH_Products_List_2!$B:$B,0))</f>
        <v>6-speed</v>
      </c>
    </row>
    <row r="404" spans="1:17" ht="15.75" x14ac:dyDescent="0.3">
      <c r="A404" s="43">
        <v>45894</v>
      </c>
      <c r="B404" s="44" t="str">
        <f>TEXT(MotorPHSales[[#This Row],[Date]],"mmmm")</f>
        <v>August</v>
      </c>
      <c r="C404" s="44">
        <f>DAY(MotorPHSales[[#This Row],[Date]])</f>
        <v>25</v>
      </c>
      <c r="D404" s="44">
        <f>YEAR(MotorPHSales[[#This Row],[Date]])</f>
        <v>2025</v>
      </c>
      <c r="E404" s="44" t="s">
        <v>194</v>
      </c>
      <c r="F404" s="44" t="s">
        <v>68</v>
      </c>
      <c r="G404" s="45">
        <v>248000</v>
      </c>
      <c r="H404" s="44">
        <v>44</v>
      </c>
      <c r="I404" s="45">
        <v>10912000</v>
      </c>
      <c r="J404" s="44" t="s">
        <v>195</v>
      </c>
      <c r="K404" s="44" t="str">
        <f>INDEX(CLEANED_MotorPH_Products_List_2!C:C,MATCH(MotorPHSales[[#This Row],[Product]],CLEANED_MotorPH_Products_List_2!$B:$B,0))</f>
        <v>Adventure</v>
      </c>
      <c r="L404" s="44" t="str">
        <f>INDEX(CLEANED_MotorPH_Products_List_2!E:E,MATCH(MotorPHSales[[#This Row],[Product]],CLEANED_MotorPH_Products_List_2!$B:$B,0))</f>
        <v>Single cylinder</v>
      </c>
      <c r="M404" s="44" t="str">
        <f>INDEX(CLEANED_MotorPH_Products_List_2!F:F,MATCH(MotorPHSales[[#This Row],[Product]],CLEANED_MotorPH_Products_List_2!$B:$B,0))</f>
        <v>liquid-cooled</v>
      </c>
      <c r="N404" s="44" t="str">
        <f>INDEX(CLEANED_MotorPH_Products_List_2!G:G,MATCH(MotorPHSales[[#This Row],[Product]],CLEANED_MotorPH_Products_List_2!$B:$B,0))</f>
        <v>312cc</v>
      </c>
      <c r="O404" s="44" t="str">
        <f>INDEX(CLEANED_MotorPH_Products_List_2!K:K,MATCH(MotorPHSales[[#This Row],[Product]],CLEANED_MotorPH_Products_List_2!B:B,0))</f>
        <v>Mid-range</v>
      </c>
      <c r="P404" s="45">
        <f>IF(MotorPHSales[[#This Row],[Segment]]="Entry-level",MotorPHSales[[#This Row],[UnitPrice]]/(1+30%),IF(MotorPHSales[[#This Row],[Segment]]="Mid-range",MotorPHSales[[#This Row],[UnitPrice]]/(1+35%),MotorPHSales[[#This Row],[UnitPrice]]/(1+40%)))*MotorPHSales[[#This Row],[Quantity]]</f>
        <v>8082962.9629629618</v>
      </c>
      <c r="Q404" s="44" t="str">
        <f>INDEX(CLEANED_MotorPH_Products_List_2!H:H,MATCH(MotorPHSales[[#This Row],[Product]],CLEANED_MotorPH_Products_List_2!$B:$B,0))</f>
        <v>6-speed</v>
      </c>
    </row>
    <row r="405" spans="1:17" ht="15.75" x14ac:dyDescent="0.3">
      <c r="A405" s="43">
        <v>45857</v>
      </c>
      <c r="B405" s="44" t="str">
        <f>TEXT(MotorPHSales[[#This Row],[Date]],"mmmm")</f>
        <v>July</v>
      </c>
      <c r="C405" s="44">
        <f>DAY(MotorPHSales[[#This Row],[Date]])</f>
        <v>19</v>
      </c>
      <c r="D405" s="44">
        <f>YEAR(MotorPHSales[[#This Row],[Date]])</f>
        <v>2025</v>
      </c>
      <c r="E405" s="44" t="s">
        <v>196</v>
      </c>
      <c r="F405" s="44" t="s">
        <v>49</v>
      </c>
      <c r="G405" s="45">
        <v>68900</v>
      </c>
      <c r="H405" s="44">
        <v>1</v>
      </c>
      <c r="I405" s="45">
        <v>68900</v>
      </c>
      <c r="J405" s="44" t="s">
        <v>197</v>
      </c>
      <c r="K405" s="44" t="str">
        <f>INDEX(CLEANED_MotorPH_Products_List_2!C:C,MATCH(MotorPHSales[[#This Row],[Product]],CLEANED_MotorPH_Products_List_2!$B:$B,0))</f>
        <v>Standard</v>
      </c>
      <c r="L405" s="44" t="str">
        <f>INDEX(CLEANED_MotorPH_Products_List_2!E:E,MATCH(MotorPHSales[[#This Row],[Product]],CLEANED_MotorPH_Products_List_2!$B:$B,0))</f>
        <v>Single cylinder</v>
      </c>
      <c r="M405" s="44" t="str">
        <f>INDEX(CLEANED_MotorPH_Products_List_2!F:F,MATCH(MotorPHSales[[#This Row],[Product]],CLEANED_MotorPH_Products_List_2!$B:$B,0))</f>
        <v>air-cooled</v>
      </c>
      <c r="N405" s="44" t="str">
        <f>INDEX(CLEANED_MotorPH_Products_List_2!G:G,MATCH(MotorPHSales[[#This Row],[Product]],CLEANED_MotorPH_Products_List_2!$B:$B,0))</f>
        <v>149cc</v>
      </c>
      <c r="O405" s="44" t="str">
        <f>INDEX(CLEANED_MotorPH_Products_List_2!K:K,MATCH(MotorPHSales[[#This Row],[Product]],CLEANED_MotorPH_Products_List_2!B:B,0))</f>
        <v>Entry-level</v>
      </c>
      <c r="P405" s="45">
        <f>IF(MotorPHSales[[#This Row],[Segment]]="Entry-level",MotorPHSales[[#This Row],[UnitPrice]]/(1+30%),IF(MotorPHSales[[#This Row],[Segment]]="Mid-range",MotorPHSales[[#This Row],[UnitPrice]]/(1+35%),MotorPHSales[[#This Row],[UnitPrice]]/(1+40%)))*MotorPHSales[[#This Row],[Quantity]]</f>
        <v>53000</v>
      </c>
      <c r="Q405" s="44" t="str">
        <f>INDEX(CLEANED_MotorPH_Products_List_2!H:H,MATCH(MotorPHSales[[#This Row],[Product]],CLEANED_MotorPH_Products_List_2!$B:$B,0))</f>
        <v>5-speed</v>
      </c>
    </row>
    <row r="406" spans="1:17" ht="15.75" x14ac:dyDescent="0.3">
      <c r="A406" s="43">
        <v>45860</v>
      </c>
      <c r="B406" s="44" t="str">
        <f>TEXT(MotorPHSales[[#This Row],[Date]],"mmmm")</f>
        <v>July</v>
      </c>
      <c r="C406" s="44">
        <f>DAY(MotorPHSales[[#This Row],[Date]])</f>
        <v>22</v>
      </c>
      <c r="D406" s="44">
        <f>YEAR(MotorPHSales[[#This Row],[Date]])</f>
        <v>2025</v>
      </c>
      <c r="E406" s="44" t="s">
        <v>196</v>
      </c>
      <c r="F406" s="44" t="s">
        <v>86</v>
      </c>
      <c r="G406" s="45">
        <v>650000</v>
      </c>
      <c r="H406" s="44">
        <v>3</v>
      </c>
      <c r="I406" s="45">
        <v>1950000</v>
      </c>
      <c r="J406" s="44" t="s">
        <v>197</v>
      </c>
      <c r="K406" s="44" t="str">
        <f>INDEX(CLEANED_MotorPH_Products_List_2!C:C,MATCH(MotorPHSales[[#This Row],[Product]],CLEANED_MotorPH_Products_List_2!$B:$B,0))</f>
        <v>Cruiser</v>
      </c>
      <c r="L406" s="44" t="str">
        <f>INDEX(CLEANED_MotorPH_Products_List_2!E:E,MATCH(MotorPHSales[[#This Row],[Product]],CLEANED_MotorPH_Products_List_2!$B:$B,0))</f>
        <v>Parallel-twin</v>
      </c>
      <c r="M406" s="44" t="str">
        <f>INDEX(CLEANED_MotorPH_Products_List_2!F:F,MATCH(MotorPHSales[[#This Row],[Product]],CLEANED_MotorPH_Products_List_2!$B:$B,0))</f>
        <v>liquid-cooled</v>
      </c>
      <c r="N406" s="44" t="str">
        <f>INDEX(CLEANED_MotorPH_Products_List_2!G:G,MATCH(MotorPHSales[[#This Row],[Product]],CLEANED_MotorPH_Products_List_2!$B:$B,0))</f>
        <v>1084cc</v>
      </c>
      <c r="O406" s="44" t="str">
        <f>INDEX(CLEANED_MotorPH_Products_List_2!K:K,MATCH(MotorPHSales[[#This Row],[Product]],CLEANED_MotorPH_Products_List_2!B:B,0))</f>
        <v>Premium</v>
      </c>
      <c r="P406" s="45">
        <f>IF(MotorPHSales[[#This Row],[Segment]]="Entry-level",MotorPHSales[[#This Row],[UnitPrice]]/(1+30%),IF(MotorPHSales[[#This Row],[Segment]]="Mid-range",MotorPHSales[[#This Row],[UnitPrice]]/(1+35%),MotorPHSales[[#This Row],[UnitPrice]]/(1+40%)))*MotorPHSales[[#This Row],[Quantity]]</f>
        <v>1392857.142857143</v>
      </c>
      <c r="Q406" s="44" t="str">
        <f>INDEX(CLEANED_MotorPH_Products_List_2!H:H,MATCH(MotorPHSales[[#This Row],[Product]],CLEANED_MotorPH_Products_List_2!$B:$B,0))</f>
        <v>6-speed</v>
      </c>
    </row>
    <row r="407" spans="1:17" ht="15.75" x14ac:dyDescent="0.3">
      <c r="A407" s="43">
        <v>45850</v>
      </c>
      <c r="B407" s="44" t="str">
        <f>TEXT(MotorPHSales[[#This Row],[Date]],"mmmm")</f>
        <v>July</v>
      </c>
      <c r="C407" s="44">
        <f>DAY(MotorPHSales[[#This Row],[Date]])</f>
        <v>12</v>
      </c>
      <c r="D407" s="44">
        <f>YEAR(MotorPHSales[[#This Row],[Date]])</f>
        <v>2025</v>
      </c>
      <c r="E407" s="44" t="s">
        <v>194</v>
      </c>
      <c r="F407" s="44" t="s">
        <v>90</v>
      </c>
      <c r="G407" s="45">
        <v>165000</v>
      </c>
      <c r="H407" s="44">
        <v>20</v>
      </c>
      <c r="I407" s="45">
        <v>3300000</v>
      </c>
      <c r="J407" s="44" t="s">
        <v>198</v>
      </c>
      <c r="K407" s="44" t="str">
        <f>INDEX(CLEANED_MotorPH_Products_List_2!C:C,MATCH(MotorPHSales[[#This Row],[Product]],CLEANED_MotorPH_Products_List_2!$B:$B,0))</f>
        <v>Sport</v>
      </c>
      <c r="L407" s="44" t="str">
        <f>INDEX(CLEANED_MotorPH_Products_List_2!E:E,MATCH(MotorPHSales[[#This Row],[Product]],CLEANED_MotorPH_Products_List_2!$B:$B,0))</f>
        <v>Single cylinder</v>
      </c>
      <c r="M407" s="44" t="str">
        <f>INDEX(CLEANED_MotorPH_Products_List_2!F:F,MATCH(MotorPHSales[[#This Row],[Product]],CLEANED_MotorPH_Products_List_2!$B:$B,0))</f>
        <v>liquid-cooled</v>
      </c>
      <c r="N407" s="44" t="str">
        <f>INDEX(CLEANED_MotorPH_Products_List_2!G:G,MATCH(MotorPHSales[[#This Row],[Product]],CLEANED_MotorPH_Products_List_2!$B:$B,0))</f>
        <v>292cc</v>
      </c>
      <c r="O407" s="44" t="str">
        <f>INDEX(CLEANED_MotorPH_Products_List_2!K:K,MATCH(MotorPHSales[[#This Row],[Product]],CLEANED_MotorPH_Products_List_2!B:B,0))</f>
        <v>Mid-range</v>
      </c>
      <c r="P407" s="45">
        <f>IF(MotorPHSales[[#This Row],[Segment]]="Entry-level",MotorPHSales[[#This Row],[UnitPrice]]/(1+30%),IF(MotorPHSales[[#This Row],[Segment]]="Mid-range",MotorPHSales[[#This Row],[UnitPrice]]/(1+35%),MotorPHSales[[#This Row],[UnitPrice]]/(1+40%)))*MotorPHSales[[#This Row],[Quantity]]</f>
        <v>2444444.4444444445</v>
      </c>
      <c r="Q407" s="44" t="str">
        <f>INDEX(CLEANED_MotorPH_Products_List_2!H:H,MATCH(MotorPHSales[[#This Row],[Product]],CLEANED_MotorPH_Products_List_2!$B:$B,0))</f>
        <v>6-speed</v>
      </c>
    </row>
    <row r="408" spans="1:17" ht="15.75" x14ac:dyDescent="0.3">
      <c r="A408" s="43">
        <v>45878</v>
      </c>
      <c r="B408" s="44" t="str">
        <f>TEXT(MotorPHSales[[#This Row],[Date]],"mmmm")</f>
        <v>August</v>
      </c>
      <c r="C408" s="44">
        <f>DAY(MotorPHSales[[#This Row],[Date]])</f>
        <v>9</v>
      </c>
      <c r="D408" s="44">
        <f>YEAR(MotorPHSales[[#This Row],[Date]])</f>
        <v>2025</v>
      </c>
      <c r="E408" s="44" t="s">
        <v>194</v>
      </c>
      <c r="F408" s="44" t="s">
        <v>59</v>
      </c>
      <c r="G408" s="45">
        <v>67900</v>
      </c>
      <c r="H408" s="44">
        <v>33</v>
      </c>
      <c r="I408" s="45">
        <v>2240700</v>
      </c>
      <c r="J408" s="44" t="s">
        <v>197</v>
      </c>
      <c r="K408" s="44" t="str">
        <f>INDEX(CLEANED_MotorPH_Products_List_2!C:C,MATCH(MotorPHSales[[#This Row],[Product]],CLEANED_MotorPH_Products_List_2!$B:$B,0))</f>
        <v>Commuter</v>
      </c>
      <c r="L408" s="44" t="str">
        <f>INDEX(CLEANED_MotorPH_Products_List_2!E:E,MATCH(MotorPHSales[[#This Row],[Product]],CLEANED_MotorPH_Products_List_2!$B:$B,0))</f>
        <v>Single cylinder</v>
      </c>
      <c r="M408" s="44" t="str">
        <f>INDEX(CLEANED_MotorPH_Products_List_2!F:F,MATCH(MotorPHSales[[#This Row],[Product]],CLEANED_MotorPH_Products_List_2!$B:$B,0))</f>
        <v>air-cooled</v>
      </c>
      <c r="N408" s="44" t="str">
        <f>INDEX(CLEANED_MotorPH_Products_List_2!G:G,MATCH(MotorPHSales[[#This Row],[Product]],CLEANED_MotorPH_Products_List_2!$B:$B,0))</f>
        <v>125cc</v>
      </c>
      <c r="O408" s="44" t="str">
        <f>INDEX(CLEANED_MotorPH_Products_List_2!K:K,MATCH(MotorPHSales[[#This Row],[Product]],CLEANED_MotorPH_Products_List_2!B:B,0))</f>
        <v>Entry-level</v>
      </c>
      <c r="P408" s="45">
        <f>IF(MotorPHSales[[#This Row],[Segment]]="Entry-level",MotorPHSales[[#This Row],[UnitPrice]]/(1+30%),IF(MotorPHSales[[#This Row],[Segment]]="Mid-range",MotorPHSales[[#This Row],[UnitPrice]]/(1+35%),MotorPHSales[[#This Row],[UnitPrice]]/(1+40%)))*MotorPHSales[[#This Row],[Quantity]]</f>
        <v>1723615.3846153845</v>
      </c>
      <c r="Q408" s="44" t="str">
        <f>INDEX(CLEANED_MotorPH_Products_List_2!H:H,MATCH(MotorPHSales[[#This Row],[Product]],CLEANED_MotorPH_Products_List_2!$B:$B,0))</f>
        <v>4-speed</v>
      </c>
    </row>
    <row r="409" spans="1:17" ht="15.75" x14ac:dyDescent="0.3">
      <c r="A409" s="43">
        <v>45823</v>
      </c>
      <c r="B409" s="44" t="str">
        <f>TEXT(MotorPHSales[[#This Row],[Date]],"mmmm")</f>
        <v>June</v>
      </c>
      <c r="C409" s="44">
        <f>DAY(MotorPHSales[[#This Row],[Date]])</f>
        <v>15</v>
      </c>
      <c r="D409" s="44">
        <f>YEAR(MotorPHSales[[#This Row],[Date]])</f>
        <v>2025</v>
      </c>
      <c r="E409" s="44" t="s">
        <v>196</v>
      </c>
      <c r="F409" s="44" t="s">
        <v>24</v>
      </c>
      <c r="G409" s="45">
        <v>199900</v>
      </c>
      <c r="H409" s="44">
        <v>41</v>
      </c>
      <c r="I409" s="45">
        <v>8195900</v>
      </c>
      <c r="J409" s="44" t="s">
        <v>198</v>
      </c>
      <c r="K409" s="44" t="str">
        <f>INDEX(CLEANED_MotorPH_Products_List_2!C:C,MATCH(MotorPHSales[[#This Row],[Product]],CLEANED_MotorPH_Products_List_2!$B:$B,0))</f>
        <v>Sport touring</v>
      </c>
      <c r="L409" s="44" t="str">
        <f>INDEX(CLEANED_MotorPH_Products_List_2!E:E,MATCH(MotorPHSales[[#This Row],[Product]],CLEANED_MotorPH_Products_List_2!$B:$B,0))</f>
        <v>Single cylinder</v>
      </c>
      <c r="M409" s="44" t="str">
        <f>INDEX(CLEANED_MotorPH_Products_List_2!F:F,MATCH(MotorPHSales[[#This Row],[Product]],CLEANED_MotorPH_Products_List_2!$B:$B,0))</f>
        <v>liquid-cooled</v>
      </c>
      <c r="N409" s="44" t="str">
        <f>INDEX(CLEANED_MotorPH_Products_List_2!G:G,MATCH(MotorPHSales[[#This Row],[Product]],CLEANED_MotorPH_Products_List_2!$B:$B,0))</f>
        <v>373cc</v>
      </c>
      <c r="O409" s="44" t="str">
        <f>INDEX(CLEANED_MotorPH_Products_List_2!K:K,MATCH(MotorPHSales[[#This Row],[Product]],CLEANED_MotorPH_Products_List_2!B:B,0))</f>
        <v>Mid-range</v>
      </c>
      <c r="P409" s="45">
        <f>IF(MotorPHSales[[#This Row],[Segment]]="Entry-level",MotorPHSales[[#This Row],[UnitPrice]]/(1+30%),IF(MotorPHSales[[#This Row],[Segment]]="Mid-range",MotorPHSales[[#This Row],[UnitPrice]]/(1+35%),MotorPHSales[[#This Row],[UnitPrice]]/(1+40%)))*MotorPHSales[[#This Row],[Quantity]]</f>
        <v>6071037.0370370373</v>
      </c>
      <c r="Q409" s="44" t="str">
        <f>INDEX(CLEANED_MotorPH_Products_List_2!H:H,MATCH(MotorPHSales[[#This Row],[Product]],CLEANED_MotorPH_Products_List_2!$B:$B,0))</f>
        <v>6-speed</v>
      </c>
    </row>
    <row r="410" spans="1:17" ht="15.75" x14ac:dyDescent="0.3">
      <c r="A410" s="43">
        <v>45862</v>
      </c>
      <c r="B410" s="44" t="str">
        <f>TEXT(MotorPHSales[[#This Row],[Date]],"mmmm")</f>
        <v>July</v>
      </c>
      <c r="C410" s="44">
        <f>DAY(MotorPHSales[[#This Row],[Date]])</f>
        <v>24</v>
      </c>
      <c r="D410" s="44">
        <f>YEAR(MotorPHSales[[#This Row],[Date]])</f>
        <v>2025</v>
      </c>
      <c r="E410" s="44" t="s">
        <v>196</v>
      </c>
      <c r="F410" s="44" t="s">
        <v>96</v>
      </c>
      <c r="G410" s="45">
        <v>80900</v>
      </c>
      <c r="H410" s="44">
        <v>11</v>
      </c>
      <c r="I410" s="45">
        <v>889900</v>
      </c>
      <c r="J410" s="44" t="s">
        <v>198</v>
      </c>
      <c r="K410" s="44" t="str">
        <f>INDEX(CLEANED_MotorPH_Products_List_2!C:C,MATCH(MotorPHSales[[#This Row],[Product]],CLEANED_MotorPH_Products_List_2!$B:$B,0))</f>
        <v>Scooter</v>
      </c>
      <c r="L410" s="44" t="str">
        <f>INDEX(CLEANED_MotorPH_Products_List_2!E:E,MATCH(MotorPHSales[[#This Row],[Product]],CLEANED_MotorPH_Products_List_2!$B:$B,0))</f>
        <v>Single cylinder</v>
      </c>
      <c r="M410" s="44" t="str">
        <f>INDEX(CLEANED_MotorPH_Products_List_2!F:F,MATCH(MotorPHSales[[#This Row],[Product]],CLEANED_MotorPH_Products_List_2!$B:$B,0))</f>
        <v>air-cooled</v>
      </c>
      <c r="N410" s="44" t="str">
        <f>INDEX(CLEANED_MotorPH_Products_List_2!G:G,MATCH(MotorPHSales[[#This Row],[Product]],CLEANED_MotorPH_Products_List_2!$B:$B,0))</f>
        <v>124cc</v>
      </c>
      <c r="O410" s="44" t="str">
        <f>INDEX(CLEANED_MotorPH_Products_List_2!K:K,MATCH(MotorPHSales[[#This Row],[Product]],CLEANED_MotorPH_Products_List_2!B:B,0))</f>
        <v>Entry-level</v>
      </c>
      <c r="P410" s="45">
        <f>IF(MotorPHSales[[#This Row],[Segment]]="Entry-level",MotorPHSales[[#This Row],[UnitPrice]]/(1+30%),IF(MotorPHSales[[#This Row],[Segment]]="Mid-range",MotorPHSales[[#This Row],[UnitPrice]]/(1+35%),MotorPHSales[[#This Row],[UnitPrice]]/(1+40%)))*MotorPHSales[[#This Row],[Quantity]]</f>
        <v>684538.4615384615</v>
      </c>
      <c r="Q410" s="44" t="str">
        <f>INDEX(CLEANED_MotorPH_Products_List_2!H:H,MATCH(MotorPHSales[[#This Row],[Product]],CLEANED_MotorPH_Products_List_2!$B:$B,0))</f>
        <v>CVT</v>
      </c>
    </row>
    <row r="411" spans="1:17" ht="15.75" x14ac:dyDescent="0.3">
      <c r="A411" s="43">
        <v>45868</v>
      </c>
      <c r="B411" s="44" t="str">
        <f>TEXT(MotorPHSales[[#This Row],[Date]],"mmmm")</f>
        <v>July</v>
      </c>
      <c r="C411" s="44">
        <f>DAY(MotorPHSales[[#This Row],[Date]])</f>
        <v>30</v>
      </c>
      <c r="D411" s="44">
        <f>YEAR(MotorPHSales[[#This Row],[Date]])</f>
        <v>2025</v>
      </c>
      <c r="E411" s="44" t="s">
        <v>194</v>
      </c>
      <c r="F411" s="44" t="s">
        <v>88</v>
      </c>
      <c r="G411" s="45">
        <v>599000</v>
      </c>
      <c r="H411" s="44">
        <v>20</v>
      </c>
      <c r="I411" s="45">
        <v>11980000</v>
      </c>
      <c r="J411" s="44" t="s">
        <v>198</v>
      </c>
      <c r="K411" s="44" t="str">
        <f>INDEX(CLEANED_MotorPH_Products_List_2!C:C,MATCH(MotorPHSales[[#This Row],[Product]],CLEANED_MotorPH_Products_List_2!$B:$B,0))</f>
        <v>Naked bike</v>
      </c>
      <c r="L411" s="44" t="str">
        <f>INDEX(CLEANED_MotorPH_Products_List_2!E:E,MATCH(MotorPHSales[[#This Row],[Product]],CLEANED_MotorPH_Products_List_2!$B:$B,0))</f>
        <v>Parallel-twin</v>
      </c>
      <c r="M411" s="44" t="str">
        <f>INDEX(CLEANED_MotorPH_Products_List_2!F:F,MATCH(MotorPHSales[[#This Row],[Product]],CLEANED_MotorPH_Products_List_2!$B:$B,0))</f>
        <v>liquid-cooled</v>
      </c>
      <c r="N411" s="44" t="str">
        <f>INDEX(CLEANED_MotorPH_Products_List_2!G:G,MATCH(MotorPHSales[[#This Row],[Product]],CLEANED_MotorPH_Products_List_2!$B:$B,0))</f>
        <v>799cc</v>
      </c>
      <c r="O411" s="44" t="str">
        <f>INDEX(CLEANED_MotorPH_Products_List_2!K:K,MATCH(MotorPHSales[[#This Row],[Product]],CLEANED_MotorPH_Products_List_2!B:B,0))</f>
        <v>Premium</v>
      </c>
      <c r="P411" s="45">
        <f>IF(MotorPHSales[[#This Row],[Segment]]="Entry-level",MotorPHSales[[#This Row],[UnitPrice]]/(1+30%),IF(MotorPHSales[[#This Row],[Segment]]="Mid-range",MotorPHSales[[#This Row],[UnitPrice]]/(1+35%),MotorPHSales[[#This Row],[UnitPrice]]/(1+40%)))*MotorPHSales[[#This Row],[Quantity]]</f>
        <v>8557142.8571428582</v>
      </c>
      <c r="Q411" s="44" t="str">
        <f>INDEX(CLEANED_MotorPH_Products_List_2!H:H,MATCH(MotorPHSales[[#This Row],[Product]],CLEANED_MotorPH_Products_List_2!$B:$B,0))</f>
        <v>6-speed</v>
      </c>
    </row>
    <row r="412" spans="1:17" ht="15.75" x14ac:dyDescent="0.3">
      <c r="A412" s="43">
        <v>45816</v>
      </c>
      <c r="B412" s="44" t="str">
        <f>TEXT(MotorPHSales[[#This Row],[Date]],"mmmm")</f>
        <v>June</v>
      </c>
      <c r="C412" s="44">
        <f>DAY(MotorPHSales[[#This Row],[Date]])</f>
        <v>8</v>
      </c>
      <c r="D412" s="44">
        <f>YEAR(MotorPHSales[[#This Row],[Date]])</f>
        <v>2025</v>
      </c>
      <c r="E412" s="44" t="s">
        <v>196</v>
      </c>
      <c r="F412" s="44" t="s">
        <v>44</v>
      </c>
      <c r="G412" s="45">
        <v>331000</v>
      </c>
      <c r="H412" s="44">
        <v>11</v>
      </c>
      <c r="I412" s="45">
        <v>3641000</v>
      </c>
      <c r="J412" s="44" t="s">
        <v>197</v>
      </c>
      <c r="K412" s="44" t="str">
        <f>INDEX(CLEANED_MotorPH_Products_List_2!C:C,MATCH(MotorPHSales[[#This Row],[Product]],CLEANED_MotorPH_Products_List_2!$B:$B,0))</f>
        <v>Naked bike</v>
      </c>
      <c r="L412" s="44" t="str">
        <f>INDEX(CLEANED_MotorPH_Products_List_2!E:E,MATCH(MotorPHSales[[#This Row],[Product]],CLEANED_MotorPH_Products_List_2!$B:$B,0))</f>
        <v>Parallel-twin</v>
      </c>
      <c r="M412" s="44" t="str">
        <f>INDEX(CLEANED_MotorPH_Products_List_2!F:F,MATCH(MotorPHSales[[#This Row],[Product]],CLEANED_MotorPH_Products_List_2!$B:$B,0))</f>
        <v>liquid-cooled</v>
      </c>
      <c r="N412" s="44" t="str">
        <f>INDEX(CLEANED_MotorPH_Products_List_2!G:G,MATCH(MotorPHSales[[#This Row],[Product]],CLEANED_MotorPH_Products_List_2!$B:$B,0))</f>
        <v>399cc</v>
      </c>
      <c r="O412" s="44" t="str">
        <f>INDEX(CLEANED_MotorPH_Products_List_2!K:K,MATCH(MotorPHSales[[#This Row],[Product]],CLEANED_MotorPH_Products_List_2!B:B,0))</f>
        <v>Mid-range</v>
      </c>
      <c r="P412" s="45">
        <f>IF(MotorPHSales[[#This Row],[Segment]]="Entry-level",MotorPHSales[[#This Row],[UnitPrice]]/(1+30%),IF(MotorPHSales[[#This Row],[Segment]]="Mid-range",MotorPHSales[[#This Row],[UnitPrice]]/(1+35%),MotorPHSales[[#This Row],[UnitPrice]]/(1+40%)))*MotorPHSales[[#This Row],[Quantity]]</f>
        <v>2697037.0370370368</v>
      </c>
      <c r="Q412" s="44" t="str">
        <f>INDEX(CLEANED_MotorPH_Products_List_2!H:H,MATCH(MotorPHSales[[#This Row],[Product]],CLEANED_MotorPH_Products_List_2!$B:$B,0))</f>
        <v>6-speed</v>
      </c>
    </row>
    <row r="413" spans="1:17" ht="15.75" x14ac:dyDescent="0.3">
      <c r="A413" s="43">
        <v>45861</v>
      </c>
      <c r="B413" s="44" t="str">
        <f>TEXT(MotorPHSales[[#This Row],[Date]],"mmmm")</f>
        <v>July</v>
      </c>
      <c r="C413" s="44">
        <f>DAY(MotorPHSales[[#This Row],[Date]])</f>
        <v>23</v>
      </c>
      <c r="D413" s="44">
        <f>YEAR(MotorPHSales[[#This Row],[Date]])</f>
        <v>2025</v>
      </c>
      <c r="E413" s="44" t="s">
        <v>196</v>
      </c>
      <c r="F413" s="44" t="s">
        <v>18</v>
      </c>
      <c r="G413" s="45">
        <v>328000</v>
      </c>
      <c r="H413" s="44">
        <v>11</v>
      </c>
      <c r="I413" s="45">
        <v>3608000</v>
      </c>
      <c r="J413" s="44" t="s">
        <v>195</v>
      </c>
      <c r="K413" s="44" t="str">
        <f>INDEX(CLEANED_MotorPH_Products_List_2!C:C,MATCH(MotorPHSales[[#This Row],[Product]],CLEANED_MotorPH_Products_List_2!$B:$B,0))</f>
        <v>Cafe racer</v>
      </c>
      <c r="L413" s="44" t="str">
        <f>INDEX(CLEANED_MotorPH_Products_List_2!E:E,MATCH(MotorPHSales[[#This Row],[Product]],CLEANED_MotorPH_Products_List_2!$B:$B,0))</f>
        <v>Twin cylinder</v>
      </c>
      <c r="M413" s="44" t="str">
        <f>INDEX(CLEANED_MotorPH_Products_List_2!F:F,MATCH(MotorPHSales[[#This Row],[Product]],CLEANED_MotorPH_Products_List_2!$B:$B,0))</f>
        <v>air-cooled</v>
      </c>
      <c r="N413" s="44" t="str">
        <f>INDEX(CLEANED_MotorPH_Products_List_2!G:G,MATCH(MotorPHSales[[#This Row],[Product]],CLEANED_MotorPH_Products_List_2!$B:$B,0))</f>
        <v>471cc</v>
      </c>
      <c r="O413" s="44" t="str">
        <f>INDEX(CLEANED_MotorPH_Products_List_2!K:K,MATCH(MotorPHSales[[#This Row],[Product]],CLEANED_MotorPH_Products_List_2!B:B,0))</f>
        <v>Mid-range</v>
      </c>
      <c r="P413" s="45">
        <f>IF(MotorPHSales[[#This Row],[Segment]]="Entry-level",MotorPHSales[[#This Row],[UnitPrice]]/(1+30%),IF(MotorPHSales[[#This Row],[Segment]]="Mid-range",MotorPHSales[[#This Row],[UnitPrice]]/(1+35%),MotorPHSales[[#This Row],[UnitPrice]]/(1+40%)))*MotorPHSales[[#This Row],[Quantity]]</f>
        <v>2672592.5925925924</v>
      </c>
      <c r="Q413" s="44" t="str">
        <f>INDEX(CLEANED_MotorPH_Products_List_2!H:H,MATCH(MotorPHSales[[#This Row],[Product]],CLEANED_MotorPH_Products_List_2!$B:$B,0))</f>
        <v>6-speed</v>
      </c>
    </row>
    <row r="414" spans="1:17" ht="15.75" x14ac:dyDescent="0.3">
      <c r="A414" s="43">
        <v>45868</v>
      </c>
      <c r="B414" s="44" t="str">
        <f>TEXT(MotorPHSales[[#This Row],[Date]],"mmmm")</f>
        <v>July</v>
      </c>
      <c r="C414" s="44">
        <f>DAY(MotorPHSales[[#This Row],[Date]])</f>
        <v>30</v>
      </c>
      <c r="D414" s="44">
        <f>YEAR(MotorPHSales[[#This Row],[Date]])</f>
        <v>2025</v>
      </c>
      <c r="E414" s="44" t="s">
        <v>194</v>
      </c>
      <c r="F414" s="44" t="s">
        <v>78</v>
      </c>
      <c r="G414" s="45">
        <v>99900</v>
      </c>
      <c r="H414" s="44">
        <v>32</v>
      </c>
      <c r="I414" s="45">
        <v>3196800</v>
      </c>
      <c r="J414" s="44" t="s">
        <v>195</v>
      </c>
      <c r="K414" s="44" t="str">
        <f>INDEX(CLEANED_MotorPH_Products_List_2!C:C,MATCH(MotorPHSales[[#This Row],[Product]],CLEANED_MotorPH_Products_List_2!$B:$B,0))</f>
        <v>Street</v>
      </c>
      <c r="L414" s="44" t="str">
        <f>INDEX(CLEANED_MotorPH_Products_List_2!E:E,MATCH(MotorPHSales[[#This Row],[Product]],CLEANED_MotorPH_Products_List_2!$B:$B,0))</f>
        <v>Single cylinder</v>
      </c>
      <c r="M414" s="44" t="str">
        <f>INDEX(CLEANED_MotorPH_Products_List_2!F:F,MATCH(MotorPHSales[[#This Row],[Product]],CLEANED_MotorPH_Products_List_2!$B:$B,0))</f>
        <v>air-cooled</v>
      </c>
      <c r="N414" s="44" t="str">
        <f>INDEX(CLEANED_MotorPH_Products_List_2!G:G,MATCH(MotorPHSales[[#This Row],[Product]],CLEANED_MotorPH_Products_List_2!$B:$B,0))</f>
        <v>149cc</v>
      </c>
      <c r="O414" s="44" t="str">
        <f>INDEX(CLEANED_MotorPH_Products_List_2!K:K,MATCH(MotorPHSales[[#This Row],[Product]],CLEANED_MotorPH_Products_List_2!B:B,0))</f>
        <v>Entry-level</v>
      </c>
      <c r="P414" s="45">
        <f>IF(MotorPHSales[[#This Row],[Segment]]="Entry-level",MotorPHSales[[#This Row],[UnitPrice]]/(1+30%),IF(MotorPHSales[[#This Row],[Segment]]="Mid-range",MotorPHSales[[#This Row],[UnitPrice]]/(1+35%),MotorPHSales[[#This Row],[UnitPrice]]/(1+40%)))*MotorPHSales[[#This Row],[Quantity]]</f>
        <v>2459076.923076923</v>
      </c>
      <c r="Q414" s="44" t="str">
        <f>INDEX(CLEANED_MotorPH_Products_List_2!H:H,MATCH(MotorPHSales[[#This Row],[Product]],CLEANED_MotorPH_Products_List_2!$B:$B,0))</f>
        <v>5-speed</v>
      </c>
    </row>
    <row r="415" spans="1:17" ht="15.75" x14ac:dyDescent="0.3">
      <c r="A415" s="43">
        <v>45813</v>
      </c>
      <c r="B415" s="44" t="str">
        <f>TEXT(MotorPHSales[[#This Row],[Date]],"mmmm")</f>
        <v>June</v>
      </c>
      <c r="C415" s="44">
        <f>DAY(MotorPHSales[[#This Row],[Date]])</f>
        <v>5</v>
      </c>
      <c r="D415" s="44">
        <f>YEAR(MotorPHSales[[#This Row],[Date]])</f>
        <v>2025</v>
      </c>
      <c r="E415" s="44" t="s">
        <v>194</v>
      </c>
      <c r="F415" s="44" t="s">
        <v>86</v>
      </c>
      <c r="G415" s="45">
        <v>650000</v>
      </c>
      <c r="H415" s="44">
        <v>20</v>
      </c>
      <c r="I415" s="45">
        <v>13000000</v>
      </c>
      <c r="J415" s="44" t="s">
        <v>195</v>
      </c>
      <c r="K415" s="44" t="str">
        <f>INDEX(CLEANED_MotorPH_Products_List_2!C:C,MATCH(MotorPHSales[[#This Row],[Product]],CLEANED_MotorPH_Products_List_2!$B:$B,0))</f>
        <v>Cruiser</v>
      </c>
      <c r="L415" s="44" t="str">
        <f>INDEX(CLEANED_MotorPH_Products_List_2!E:E,MATCH(MotorPHSales[[#This Row],[Product]],CLEANED_MotorPH_Products_List_2!$B:$B,0))</f>
        <v>Parallel-twin</v>
      </c>
      <c r="M415" s="44" t="str">
        <f>INDEX(CLEANED_MotorPH_Products_List_2!F:F,MATCH(MotorPHSales[[#This Row],[Product]],CLEANED_MotorPH_Products_List_2!$B:$B,0))</f>
        <v>liquid-cooled</v>
      </c>
      <c r="N415" s="44" t="str">
        <f>INDEX(CLEANED_MotorPH_Products_List_2!G:G,MATCH(MotorPHSales[[#This Row],[Product]],CLEANED_MotorPH_Products_List_2!$B:$B,0))</f>
        <v>1084cc</v>
      </c>
      <c r="O415" s="44" t="str">
        <f>INDEX(CLEANED_MotorPH_Products_List_2!K:K,MATCH(MotorPHSales[[#This Row],[Product]],CLEANED_MotorPH_Products_List_2!B:B,0))</f>
        <v>Premium</v>
      </c>
      <c r="P415" s="45">
        <f>IF(MotorPHSales[[#This Row],[Segment]]="Entry-level",MotorPHSales[[#This Row],[UnitPrice]]/(1+30%),IF(MotorPHSales[[#This Row],[Segment]]="Mid-range",MotorPHSales[[#This Row],[UnitPrice]]/(1+35%),MotorPHSales[[#This Row],[UnitPrice]]/(1+40%)))*MotorPHSales[[#This Row],[Quantity]]</f>
        <v>9285714.2857142873</v>
      </c>
      <c r="Q415" s="44" t="str">
        <f>INDEX(CLEANED_MotorPH_Products_List_2!H:H,MATCH(MotorPHSales[[#This Row],[Product]],CLEANED_MotorPH_Products_List_2!$B:$B,0))</f>
        <v>6-speed</v>
      </c>
    </row>
    <row r="416" spans="1:17" ht="15.75" x14ac:dyDescent="0.3">
      <c r="A416" s="43">
        <v>45876</v>
      </c>
      <c r="B416" s="44" t="str">
        <f>TEXT(MotorPHSales[[#This Row],[Date]],"mmmm")</f>
        <v>August</v>
      </c>
      <c r="C416" s="44">
        <f>DAY(MotorPHSales[[#This Row],[Date]])</f>
        <v>7</v>
      </c>
      <c r="D416" s="44">
        <f>YEAR(MotorPHSales[[#This Row],[Date]])</f>
        <v>2025</v>
      </c>
      <c r="E416" s="44" t="s">
        <v>194</v>
      </c>
      <c r="F416" s="44" t="s">
        <v>88</v>
      </c>
      <c r="G416" s="45">
        <v>599000</v>
      </c>
      <c r="H416" s="44">
        <v>1</v>
      </c>
      <c r="I416" s="45">
        <v>599000</v>
      </c>
      <c r="J416" s="44" t="s">
        <v>198</v>
      </c>
      <c r="K416" s="44" t="str">
        <f>INDEX(CLEANED_MotorPH_Products_List_2!C:C,MATCH(MotorPHSales[[#This Row],[Product]],CLEANED_MotorPH_Products_List_2!$B:$B,0))</f>
        <v>Naked bike</v>
      </c>
      <c r="L416" s="44" t="str">
        <f>INDEX(CLEANED_MotorPH_Products_List_2!E:E,MATCH(MotorPHSales[[#This Row],[Product]],CLEANED_MotorPH_Products_List_2!$B:$B,0))</f>
        <v>Parallel-twin</v>
      </c>
      <c r="M416" s="44" t="str">
        <f>INDEX(CLEANED_MotorPH_Products_List_2!F:F,MATCH(MotorPHSales[[#This Row],[Product]],CLEANED_MotorPH_Products_List_2!$B:$B,0))</f>
        <v>liquid-cooled</v>
      </c>
      <c r="N416" s="44" t="str">
        <f>INDEX(CLEANED_MotorPH_Products_List_2!G:G,MATCH(MotorPHSales[[#This Row],[Product]],CLEANED_MotorPH_Products_List_2!$B:$B,0))</f>
        <v>799cc</v>
      </c>
      <c r="O416" s="44" t="str">
        <f>INDEX(CLEANED_MotorPH_Products_List_2!K:K,MATCH(MotorPHSales[[#This Row],[Product]],CLEANED_MotorPH_Products_List_2!B:B,0))</f>
        <v>Premium</v>
      </c>
      <c r="P416" s="45">
        <f>IF(MotorPHSales[[#This Row],[Segment]]="Entry-level",MotorPHSales[[#This Row],[UnitPrice]]/(1+30%),IF(MotorPHSales[[#This Row],[Segment]]="Mid-range",MotorPHSales[[#This Row],[UnitPrice]]/(1+35%),MotorPHSales[[#This Row],[UnitPrice]]/(1+40%)))*MotorPHSales[[#This Row],[Quantity]]</f>
        <v>427857.1428571429</v>
      </c>
      <c r="Q416" s="44" t="str">
        <f>INDEX(CLEANED_MotorPH_Products_List_2!H:H,MATCH(MotorPHSales[[#This Row],[Product]],CLEANED_MotorPH_Products_List_2!$B:$B,0))</f>
        <v>6-speed</v>
      </c>
    </row>
    <row r="417" spans="1:17" ht="15.75" x14ac:dyDescent="0.3">
      <c r="A417" s="43">
        <v>45814</v>
      </c>
      <c r="B417" s="44" t="str">
        <f>TEXT(MotorPHSales[[#This Row],[Date]],"mmmm")</f>
        <v>June</v>
      </c>
      <c r="C417" s="44">
        <f>DAY(MotorPHSales[[#This Row],[Date]])</f>
        <v>6</v>
      </c>
      <c r="D417" s="44">
        <f>YEAR(MotorPHSales[[#This Row],[Date]])</f>
        <v>2025</v>
      </c>
      <c r="E417" s="44" t="s">
        <v>196</v>
      </c>
      <c r="F417" s="44" t="s">
        <v>14</v>
      </c>
      <c r="G417" s="45">
        <v>250000</v>
      </c>
      <c r="H417" s="44">
        <v>33</v>
      </c>
      <c r="I417" s="45">
        <v>8250000</v>
      </c>
      <c r="J417" s="44" t="s">
        <v>198</v>
      </c>
      <c r="K417" s="44" t="str">
        <f>INDEX(CLEANED_MotorPH_Products_List_2!C:C,MATCH(MotorPHSales[[#This Row],[Product]],CLEANED_MotorPH_Products_List_2!$B:$B,0))</f>
        <v>Classic</v>
      </c>
      <c r="L417" s="44" t="str">
        <f>INDEX(CLEANED_MotorPH_Products_List_2!E:E,MATCH(MotorPHSales[[#This Row],[Product]],CLEANED_MotorPH_Products_List_2!$B:$B,0))</f>
        <v>Single cylinder</v>
      </c>
      <c r="M417" s="44" t="str">
        <f>INDEX(CLEANED_MotorPH_Products_List_2!F:F,MATCH(MotorPHSales[[#This Row],[Product]],CLEANED_MotorPH_Products_List_2!$B:$B,0))</f>
        <v>air-cooled</v>
      </c>
      <c r="N417" s="44" t="str">
        <f>INDEX(CLEANED_MotorPH_Products_List_2!G:G,MATCH(MotorPHSales[[#This Row],[Product]],CLEANED_MotorPH_Products_List_2!$B:$B,0))</f>
        <v>349cc</v>
      </c>
      <c r="O417" s="44" t="str">
        <f>INDEX(CLEANED_MotorPH_Products_List_2!K:K,MATCH(MotorPHSales[[#This Row],[Product]],CLEANED_MotorPH_Products_List_2!B:B,0))</f>
        <v>Mid-range</v>
      </c>
      <c r="P417" s="45">
        <f>IF(MotorPHSales[[#This Row],[Segment]]="Entry-level",MotorPHSales[[#This Row],[UnitPrice]]/(1+30%),IF(MotorPHSales[[#This Row],[Segment]]="Mid-range",MotorPHSales[[#This Row],[UnitPrice]]/(1+35%),MotorPHSales[[#This Row],[UnitPrice]]/(1+40%)))*MotorPHSales[[#This Row],[Quantity]]</f>
        <v>6111111.1111111101</v>
      </c>
      <c r="Q417" s="44" t="str">
        <f>INDEX(CLEANED_MotorPH_Products_List_2!H:H,MATCH(MotorPHSales[[#This Row],[Product]],CLEANED_MotorPH_Products_List_2!$B:$B,0))</f>
        <v>5-speed</v>
      </c>
    </row>
    <row r="418" spans="1:17" ht="15.75" x14ac:dyDescent="0.3">
      <c r="A418" s="43">
        <v>45855</v>
      </c>
      <c r="B418" s="44" t="str">
        <f>TEXT(MotorPHSales[[#This Row],[Date]],"mmmm")</f>
        <v>July</v>
      </c>
      <c r="C418" s="44">
        <f>DAY(MotorPHSales[[#This Row],[Date]])</f>
        <v>17</v>
      </c>
      <c r="D418" s="44">
        <f>YEAR(MotorPHSales[[#This Row],[Date]])</f>
        <v>2025</v>
      </c>
      <c r="E418" s="44" t="s">
        <v>194</v>
      </c>
      <c r="F418" s="44" t="s">
        <v>66</v>
      </c>
      <c r="G418" s="45">
        <v>499000</v>
      </c>
      <c r="H418" s="44">
        <v>12</v>
      </c>
      <c r="I418" s="45">
        <v>5988000</v>
      </c>
      <c r="J418" s="44" t="s">
        <v>197</v>
      </c>
      <c r="K418" s="44" t="str">
        <f>INDEX(CLEANED_MotorPH_Products_List_2!C:C,MATCH(MotorPHSales[[#This Row],[Product]],CLEANED_MotorPH_Products_List_2!$B:$B,0))</f>
        <v>Cruiser</v>
      </c>
      <c r="L418" s="44" t="str">
        <f>INDEX(CLEANED_MotorPH_Products_List_2!E:E,MATCH(MotorPHSales[[#This Row],[Product]],CLEANED_MotorPH_Products_List_2!$B:$B,0))</f>
        <v>V-twin</v>
      </c>
      <c r="M418" s="44" t="str">
        <f>INDEX(CLEANED_MotorPH_Products_List_2!F:F,MATCH(MotorPHSales[[#This Row],[Product]],CLEANED_MotorPH_Products_List_2!$B:$B,0))</f>
        <v>liquid-cooled</v>
      </c>
      <c r="N418" s="44" t="str">
        <f>INDEX(CLEANED_MotorPH_Products_List_2!G:G,MATCH(MotorPHSales[[#This Row],[Product]],CLEANED_MotorPH_Products_List_2!$B:$B,0))</f>
        <v>749cc</v>
      </c>
      <c r="O418" s="44" t="str">
        <f>INDEX(CLEANED_MotorPH_Products_List_2!K:K,MATCH(MotorPHSales[[#This Row],[Product]],CLEANED_MotorPH_Products_List_2!B:B,0))</f>
        <v>Premium</v>
      </c>
      <c r="P418" s="45">
        <f>IF(MotorPHSales[[#This Row],[Segment]]="Entry-level",MotorPHSales[[#This Row],[UnitPrice]]/(1+30%),IF(MotorPHSales[[#This Row],[Segment]]="Mid-range",MotorPHSales[[#This Row],[UnitPrice]]/(1+35%),MotorPHSales[[#This Row],[UnitPrice]]/(1+40%)))*MotorPHSales[[#This Row],[Quantity]]</f>
        <v>4277142.8571428582</v>
      </c>
      <c r="Q418" s="44" t="str">
        <f>INDEX(CLEANED_MotorPH_Products_List_2!H:H,MATCH(MotorPHSales[[#This Row],[Product]],CLEANED_MotorPH_Products_List_2!$B:$B,0))</f>
        <v>6-speed</v>
      </c>
    </row>
    <row r="419" spans="1:17" ht="15.75" x14ac:dyDescent="0.3">
      <c r="A419" s="43">
        <v>45870</v>
      </c>
      <c r="B419" s="44" t="str">
        <f>TEXT(MotorPHSales[[#This Row],[Date]],"mmmm")</f>
        <v>August</v>
      </c>
      <c r="C419" s="44">
        <f>DAY(MotorPHSales[[#This Row],[Date]])</f>
        <v>1</v>
      </c>
      <c r="D419" s="44">
        <f>YEAR(MotorPHSales[[#This Row],[Date]])</f>
        <v>2025</v>
      </c>
      <c r="E419" s="44" t="s">
        <v>196</v>
      </c>
      <c r="F419" s="44" t="s">
        <v>86</v>
      </c>
      <c r="G419" s="45">
        <v>650000</v>
      </c>
      <c r="H419" s="44">
        <v>6</v>
      </c>
      <c r="I419" s="45">
        <v>3900000</v>
      </c>
      <c r="J419" s="44" t="s">
        <v>198</v>
      </c>
      <c r="K419" s="44" t="str">
        <f>INDEX(CLEANED_MotorPH_Products_List_2!C:C,MATCH(MotorPHSales[[#This Row],[Product]],CLEANED_MotorPH_Products_List_2!$B:$B,0))</f>
        <v>Cruiser</v>
      </c>
      <c r="L419" s="44" t="str">
        <f>INDEX(CLEANED_MotorPH_Products_List_2!E:E,MATCH(MotorPHSales[[#This Row],[Product]],CLEANED_MotorPH_Products_List_2!$B:$B,0))</f>
        <v>Parallel-twin</v>
      </c>
      <c r="M419" s="44" t="str">
        <f>INDEX(CLEANED_MotorPH_Products_List_2!F:F,MATCH(MotorPHSales[[#This Row],[Product]],CLEANED_MotorPH_Products_List_2!$B:$B,0))</f>
        <v>liquid-cooled</v>
      </c>
      <c r="N419" s="44" t="str">
        <f>INDEX(CLEANED_MotorPH_Products_List_2!G:G,MATCH(MotorPHSales[[#This Row],[Product]],CLEANED_MotorPH_Products_List_2!$B:$B,0))</f>
        <v>1084cc</v>
      </c>
      <c r="O419" s="44" t="str">
        <f>INDEX(CLEANED_MotorPH_Products_List_2!K:K,MATCH(MotorPHSales[[#This Row],[Product]],CLEANED_MotorPH_Products_List_2!B:B,0))</f>
        <v>Premium</v>
      </c>
      <c r="P419" s="45">
        <f>IF(MotorPHSales[[#This Row],[Segment]]="Entry-level",MotorPHSales[[#This Row],[UnitPrice]]/(1+30%),IF(MotorPHSales[[#This Row],[Segment]]="Mid-range",MotorPHSales[[#This Row],[UnitPrice]]/(1+35%),MotorPHSales[[#This Row],[UnitPrice]]/(1+40%)))*MotorPHSales[[#This Row],[Quantity]]</f>
        <v>2785714.2857142859</v>
      </c>
      <c r="Q419" s="44" t="str">
        <f>INDEX(CLEANED_MotorPH_Products_List_2!H:H,MATCH(MotorPHSales[[#This Row],[Product]],CLEANED_MotorPH_Products_List_2!$B:$B,0))</f>
        <v>6-speed</v>
      </c>
    </row>
    <row r="420" spans="1:17" ht="15.75" x14ac:dyDescent="0.3">
      <c r="A420" s="43">
        <v>45848</v>
      </c>
      <c r="B420" s="44" t="str">
        <f>TEXT(MotorPHSales[[#This Row],[Date]],"mmmm")</f>
        <v>July</v>
      </c>
      <c r="C420" s="44">
        <f>DAY(MotorPHSales[[#This Row],[Date]])</f>
        <v>10</v>
      </c>
      <c r="D420" s="44">
        <f>YEAR(MotorPHSales[[#This Row],[Date]])</f>
        <v>2025</v>
      </c>
      <c r="E420" s="44" t="s">
        <v>194</v>
      </c>
      <c r="F420" s="44" t="s">
        <v>22</v>
      </c>
      <c r="G420" s="45">
        <v>182000</v>
      </c>
      <c r="H420" s="44">
        <v>12</v>
      </c>
      <c r="I420" s="45">
        <v>2184000</v>
      </c>
      <c r="J420" s="44" t="s">
        <v>197</v>
      </c>
      <c r="K420" s="44" t="str">
        <f>INDEX(CLEANED_MotorPH_Products_List_2!C:C,MATCH(MotorPHSales[[#This Row],[Product]],CLEANED_MotorPH_Products_List_2!$B:$B,0))</f>
        <v>Retro</v>
      </c>
      <c r="L420" s="44" t="str">
        <f>INDEX(CLEANED_MotorPH_Products_List_2!E:E,MATCH(MotorPHSales[[#This Row],[Product]],CLEANED_MotorPH_Products_List_2!$B:$B,0))</f>
        <v>Single cylinder</v>
      </c>
      <c r="M420" s="44" t="str">
        <f>INDEX(CLEANED_MotorPH_Products_List_2!F:F,MATCH(MotorPHSales[[#This Row],[Product]],CLEANED_MotorPH_Products_List_2!$B:$B,0))</f>
        <v>liquid-cooled</v>
      </c>
      <c r="N420" s="44" t="str">
        <f>INDEX(CLEANED_MotorPH_Products_List_2!G:G,MATCH(MotorPHSales[[#This Row],[Product]],CLEANED_MotorPH_Products_List_2!$B:$B,0))</f>
        <v>155cc</v>
      </c>
      <c r="O420" s="44" t="str">
        <f>INDEX(CLEANED_MotorPH_Products_List_2!K:K,MATCH(MotorPHSales[[#This Row],[Product]],CLEANED_MotorPH_Products_List_2!B:B,0))</f>
        <v>Entry-level</v>
      </c>
      <c r="P420" s="45">
        <f>IF(MotorPHSales[[#This Row],[Segment]]="Entry-level",MotorPHSales[[#This Row],[UnitPrice]]/(1+30%),IF(MotorPHSales[[#This Row],[Segment]]="Mid-range",MotorPHSales[[#This Row],[UnitPrice]]/(1+35%),MotorPHSales[[#This Row],[UnitPrice]]/(1+40%)))*MotorPHSales[[#This Row],[Quantity]]</f>
        <v>1680000</v>
      </c>
      <c r="Q420" s="44" t="str">
        <f>INDEX(CLEANED_MotorPH_Products_List_2!H:H,MATCH(MotorPHSales[[#This Row],[Product]],CLEANED_MotorPH_Products_List_2!$B:$B,0))</f>
        <v>6-speed</v>
      </c>
    </row>
    <row r="421" spans="1:17" ht="15.75" x14ac:dyDescent="0.3">
      <c r="A421" s="43">
        <v>45860</v>
      </c>
      <c r="B421" s="44" t="str">
        <f>TEXT(MotorPHSales[[#This Row],[Date]],"mmmm")</f>
        <v>July</v>
      </c>
      <c r="C421" s="44">
        <f>DAY(MotorPHSales[[#This Row],[Date]])</f>
        <v>22</v>
      </c>
      <c r="D421" s="44">
        <f>YEAR(MotorPHSales[[#This Row],[Date]])</f>
        <v>2025</v>
      </c>
      <c r="E421" s="44" t="s">
        <v>194</v>
      </c>
      <c r="F421" s="44" t="s">
        <v>53</v>
      </c>
      <c r="G421" s="45">
        <v>345000</v>
      </c>
      <c r="H421" s="44">
        <v>41</v>
      </c>
      <c r="I421" s="45">
        <v>14145000</v>
      </c>
      <c r="J421" s="44" t="s">
        <v>198</v>
      </c>
      <c r="K421" s="44" t="str">
        <f>INDEX(CLEANED_MotorPH_Products_List_2!C:C,MATCH(MotorPHSales[[#This Row],[Product]],CLEANED_MotorPH_Products_List_2!$B:$B,0))</f>
        <v>Touring</v>
      </c>
      <c r="L421" s="44" t="str">
        <f>INDEX(CLEANED_MotorPH_Products_List_2!E:E,MATCH(MotorPHSales[[#This Row],[Product]],CLEANED_MotorPH_Products_List_2!$B:$B,0))</f>
        <v>Parallel-twin</v>
      </c>
      <c r="M421" s="44" t="str">
        <f>INDEX(CLEANED_MotorPH_Products_List_2!F:F,MATCH(MotorPHSales[[#This Row],[Product]],CLEANED_MotorPH_Products_List_2!$B:$B,0))</f>
        <v>liquid-cooled</v>
      </c>
      <c r="N421" s="44" t="str">
        <f>INDEX(CLEANED_MotorPH_Products_List_2!G:G,MATCH(MotorPHSales[[#This Row],[Product]],CLEANED_MotorPH_Products_List_2!$B:$B,0))</f>
        <v>649cc</v>
      </c>
      <c r="O421" s="44" t="str">
        <f>INDEX(CLEANED_MotorPH_Products_List_2!K:K,MATCH(MotorPHSales[[#This Row],[Product]],CLEANED_MotorPH_Products_List_2!B:B,0))</f>
        <v>Premium</v>
      </c>
      <c r="P421" s="45">
        <f>IF(MotorPHSales[[#This Row],[Segment]]="Entry-level",MotorPHSales[[#This Row],[UnitPrice]]/(1+30%),IF(MotorPHSales[[#This Row],[Segment]]="Mid-range",MotorPHSales[[#This Row],[UnitPrice]]/(1+35%),MotorPHSales[[#This Row],[UnitPrice]]/(1+40%)))*MotorPHSales[[#This Row],[Quantity]]</f>
        <v>10103571.428571429</v>
      </c>
      <c r="Q421" s="44" t="str">
        <f>INDEX(CLEANED_MotorPH_Products_List_2!H:H,MATCH(MotorPHSales[[#This Row],[Product]],CLEANED_MotorPH_Products_List_2!$B:$B,0))</f>
        <v>6-speed</v>
      </c>
    </row>
    <row r="422" spans="1:17" ht="15.75" x14ac:dyDescent="0.3">
      <c r="A422" s="43">
        <v>45824</v>
      </c>
      <c r="B422" s="44" t="str">
        <f>TEXT(MotorPHSales[[#This Row],[Date]],"mmmm")</f>
        <v>June</v>
      </c>
      <c r="C422" s="44">
        <f>DAY(MotorPHSales[[#This Row],[Date]])</f>
        <v>16</v>
      </c>
      <c r="D422" s="44">
        <f>YEAR(MotorPHSales[[#This Row],[Date]])</f>
        <v>2025</v>
      </c>
      <c r="E422" s="44" t="s">
        <v>194</v>
      </c>
      <c r="F422" s="44" t="s">
        <v>59</v>
      </c>
      <c r="G422" s="45">
        <v>67900</v>
      </c>
      <c r="H422" s="44">
        <v>13</v>
      </c>
      <c r="I422" s="45">
        <v>882700</v>
      </c>
      <c r="J422" s="44" t="s">
        <v>197</v>
      </c>
      <c r="K422" s="44" t="str">
        <f>INDEX(CLEANED_MotorPH_Products_List_2!C:C,MATCH(MotorPHSales[[#This Row],[Product]],CLEANED_MotorPH_Products_List_2!$B:$B,0))</f>
        <v>Commuter</v>
      </c>
      <c r="L422" s="44" t="str">
        <f>INDEX(CLEANED_MotorPH_Products_List_2!E:E,MATCH(MotorPHSales[[#This Row],[Product]],CLEANED_MotorPH_Products_List_2!$B:$B,0))</f>
        <v>Single cylinder</v>
      </c>
      <c r="M422" s="44" t="str">
        <f>INDEX(CLEANED_MotorPH_Products_List_2!F:F,MATCH(MotorPHSales[[#This Row],[Product]],CLEANED_MotorPH_Products_List_2!$B:$B,0))</f>
        <v>air-cooled</v>
      </c>
      <c r="N422" s="44" t="str">
        <f>INDEX(CLEANED_MotorPH_Products_List_2!G:G,MATCH(MotorPHSales[[#This Row],[Product]],CLEANED_MotorPH_Products_List_2!$B:$B,0))</f>
        <v>125cc</v>
      </c>
      <c r="O422" s="44" t="str">
        <f>INDEX(CLEANED_MotorPH_Products_List_2!K:K,MATCH(MotorPHSales[[#This Row],[Product]],CLEANED_MotorPH_Products_List_2!B:B,0))</f>
        <v>Entry-level</v>
      </c>
      <c r="P422" s="45">
        <f>IF(MotorPHSales[[#This Row],[Segment]]="Entry-level",MotorPHSales[[#This Row],[UnitPrice]]/(1+30%),IF(MotorPHSales[[#This Row],[Segment]]="Mid-range",MotorPHSales[[#This Row],[UnitPrice]]/(1+35%),MotorPHSales[[#This Row],[UnitPrice]]/(1+40%)))*MotorPHSales[[#This Row],[Quantity]]</f>
        <v>679000</v>
      </c>
      <c r="Q422" s="44" t="str">
        <f>INDEX(CLEANED_MotorPH_Products_List_2!H:H,MATCH(MotorPHSales[[#This Row],[Product]],CLEANED_MotorPH_Products_List_2!$B:$B,0))</f>
        <v>4-speed</v>
      </c>
    </row>
    <row r="423" spans="1:17" ht="15.75" x14ac:dyDescent="0.3">
      <c r="A423" s="43">
        <v>45821</v>
      </c>
      <c r="B423" s="44" t="str">
        <f>TEXT(MotorPHSales[[#This Row],[Date]],"mmmm")</f>
        <v>June</v>
      </c>
      <c r="C423" s="44">
        <f>DAY(MotorPHSales[[#This Row],[Date]])</f>
        <v>13</v>
      </c>
      <c r="D423" s="44">
        <f>YEAR(MotorPHSales[[#This Row],[Date]])</f>
        <v>2025</v>
      </c>
      <c r="E423" s="44" t="s">
        <v>196</v>
      </c>
      <c r="F423" s="44" t="s">
        <v>59</v>
      </c>
      <c r="G423" s="45">
        <v>67900</v>
      </c>
      <c r="H423" s="44">
        <v>30</v>
      </c>
      <c r="I423" s="45">
        <v>2037000</v>
      </c>
      <c r="J423" s="44" t="s">
        <v>197</v>
      </c>
      <c r="K423" s="44" t="str">
        <f>INDEX(CLEANED_MotorPH_Products_List_2!C:C,MATCH(MotorPHSales[[#This Row],[Product]],CLEANED_MotorPH_Products_List_2!$B:$B,0))</f>
        <v>Commuter</v>
      </c>
      <c r="L423" s="44" t="str">
        <f>INDEX(CLEANED_MotorPH_Products_List_2!E:E,MATCH(MotorPHSales[[#This Row],[Product]],CLEANED_MotorPH_Products_List_2!$B:$B,0))</f>
        <v>Single cylinder</v>
      </c>
      <c r="M423" s="44" t="str">
        <f>INDEX(CLEANED_MotorPH_Products_List_2!F:F,MATCH(MotorPHSales[[#This Row],[Product]],CLEANED_MotorPH_Products_List_2!$B:$B,0))</f>
        <v>air-cooled</v>
      </c>
      <c r="N423" s="44" t="str">
        <f>INDEX(CLEANED_MotorPH_Products_List_2!G:G,MATCH(MotorPHSales[[#This Row],[Product]],CLEANED_MotorPH_Products_List_2!$B:$B,0))</f>
        <v>125cc</v>
      </c>
      <c r="O423" s="44" t="str">
        <f>INDEX(CLEANED_MotorPH_Products_List_2!K:K,MATCH(MotorPHSales[[#This Row],[Product]],CLEANED_MotorPH_Products_List_2!B:B,0))</f>
        <v>Entry-level</v>
      </c>
      <c r="P423" s="45">
        <f>IF(MotorPHSales[[#This Row],[Segment]]="Entry-level",MotorPHSales[[#This Row],[UnitPrice]]/(1+30%),IF(MotorPHSales[[#This Row],[Segment]]="Mid-range",MotorPHSales[[#This Row],[UnitPrice]]/(1+35%),MotorPHSales[[#This Row],[UnitPrice]]/(1+40%)))*MotorPHSales[[#This Row],[Quantity]]</f>
        <v>1566923.0769230768</v>
      </c>
      <c r="Q423" s="44" t="str">
        <f>INDEX(CLEANED_MotorPH_Products_List_2!H:H,MATCH(MotorPHSales[[#This Row],[Product]],CLEANED_MotorPH_Products_List_2!$B:$B,0))</f>
        <v>4-speed</v>
      </c>
    </row>
    <row r="424" spans="1:17" ht="15.75" x14ac:dyDescent="0.3">
      <c r="A424" s="43">
        <v>45838</v>
      </c>
      <c r="B424" s="44" t="str">
        <f>TEXT(MotorPHSales[[#This Row],[Date]],"mmmm")</f>
        <v>June</v>
      </c>
      <c r="C424" s="44">
        <f>DAY(MotorPHSales[[#This Row],[Date]])</f>
        <v>30</v>
      </c>
      <c r="D424" s="44">
        <f>YEAR(MotorPHSales[[#This Row],[Date]])</f>
        <v>2025</v>
      </c>
      <c r="E424" s="44" t="s">
        <v>194</v>
      </c>
      <c r="F424" s="44" t="s">
        <v>101</v>
      </c>
      <c r="G424" s="45">
        <v>72900</v>
      </c>
      <c r="H424" s="44">
        <v>9</v>
      </c>
      <c r="I424" s="45">
        <v>656100</v>
      </c>
      <c r="J424" s="44" t="s">
        <v>197</v>
      </c>
      <c r="K424" s="44" t="str">
        <f>INDEX(CLEANED_MotorPH_Products_List_2!C:C,MATCH(MotorPHSales[[#This Row],[Product]],CLEANED_MotorPH_Products_List_2!$B:$B,0))</f>
        <v>Underbone</v>
      </c>
      <c r="L424" s="44" t="str">
        <f>INDEX(CLEANED_MotorPH_Products_List_2!E:E,MATCH(MotorPHSales[[#This Row],[Product]],CLEANED_MotorPH_Products_List_2!$B:$B,0))</f>
        <v>Single cylinder</v>
      </c>
      <c r="M424" s="44" t="str">
        <f>INDEX(CLEANED_MotorPH_Products_List_2!F:F,MATCH(MotorPHSales[[#This Row],[Product]],CLEANED_MotorPH_Products_List_2!$B:$B,0))</f>
        <v>air-cooled</v>
      </c>
      <c r="N424" s="44" t="str">
        <f>INDEX(CLEANED_MotorPH_Products_List_2!G:G,MATCH(MotorPHSales[[#This Row],[Product]],CLEANED_MotorPH_Products_List_2!$B:$B,0))</f>
        <v>150cc</v>
      </c>
      <c r="O424" s="44" t="str">
        <f>INDEX(CLEANED_MotorPH_Products_List_2!K:K,MATCH(MotorPHSales[[#This Row],[Product]],CLEANED_MotorPH_Products_List_2!B:B,0))</f>
        <v>Entry-level</v>
      </c>
      <c r="P424" s="45">
        <f>IF(MotorPHSales[[#This Row],[Segment]]="Entry-level",MotorPHSales[[#This Row],[UnitPrice]]/(1+30%),IF(MotorPHSales[[#This Row],[Segment]]="Mid-range",MotorPHSales[[#This Row],[UnitPrice]]/(1+35%),MotorPHSales[[#This Row],[UnitPrice]]/(1+40%)))*MotorPHSales[[#This Row],[Quantity]]</f>
        <v>504692.30769230769</v>
      </c>
      <c r="Q424" s="44" t="str">
        <f>INDEX(CLEANED_MotorPH_Products_List_2!H:H,MATCH(MotorPHSales[[#This Row],[Product]],CLEANED_MotorPH_Products_List_2!$B:$B,0))</f>
        <v>CVT</v>
      </c>
    </row>
    <row r="425" spans="1:17" ht="15.75" x14ac:dyDescent="0.3">
      <c r="A425" s="43">
        <v>45827</v>
      </c>
      <c r="B425" s="44" t="str">
        <f>TEXT(MotorPHSales[[#This Row],[Date]],"mmmm")</f>
        <v>June</v>
      </c>
      <c r="C425" s="44">
        <f>DAY(MotorPHSales[[#This Row],[Date]])</f>
        <v>19</v>
      </c>
      <c r="D425" s="44">
        <f>YEAR(MotorPHSales[[#This Row],[Date]])</f>
        <v>2025</v>
      </c>
      <c r="E425" s="44" t="s">
        <v>194</v>
      </c>
      <c r="F425" s="44" t="s">
        <v>55</v>
      </c>
      <c r="G425" s="45">
        <v>80900</v>
      </c>
      <c r="H425" s="44">
        <v>1</v>
      </c>
      <c r="I425" s="45">
        <v>80900</v>
      </c>
      <c r="J425" s="44" t="s">
        <v>195</v>
      </c>
      <c r="K425" s="44" t="str">
        <f>INDEX(CLEANED_MotorPH_Products_List_2!C:C,MATCH(MotorPHSales[[#This Row],[Product]],CLEANED_MotorPH_Products_List_2!$B:$B,0))</f>
        <v>Scooter</v>
      </c>
      <c r="L425" s="44" t="str">
        <f>INDEX(CLEANED_MotorPH_Products_List_2!E:E,MATCH(MotorPHSales[[#This Row],[Product]],CLEANED_MotorPH_Products_List_2!$B:$B,0))</f>
        <v>Single cylinder</v>
      </c>
      <c r="M425" s="44" t="str">
        <f>INDEX(CLEANED_MotorPH_Products_List_2!F:F,MATCH(MotorPHSales[[#This Row],[Product]],CLEANED_MotorPH_Products_List_2!$B:$B,0))</f>
        <v>liquid-cooled</v>
      </c>
      <c r="N425" s="44" t="str">
        <f>INDEX(CLEANED_MotorPH_Products_List_2!G:G,MATCH(MotorPHSales[[#This Row],[Product]],CLEANED_MotorPH_Products_List_2!$B:$B,0))</f>
        <v>125cc</v>
      </c>
      <c r="O425" s="44" t="str">
        <f>INDEX(CLEANED_MotorPH_Products_List_2!K:K,MATCH(MotorPHSales[[#This Row],[Product]],CLEANED_MotorPH_Products_List_2!B:B,0))</f>
        <v>Entry-level</v>
      </c>
      <c r="P425" s="45">
        <f>IF(MotorPHSales[[#This Row],[Segment]]="Entry-level",MotorPHSales[[#This Row],[UnitPrice]]/(1+30%),IF(MotorPHSales[[#This Row],[Segment]]="Mid-range",MotorPHSales[[#This Row],[UnitPrice]]/(1+35%),MotorPHSales[[#This Row],[UnitPrice]]/(1+40%)))*MotorPHSales[[#This Row],[Quantity]]</f>
        <v>62230.769230769227</v>
      </c>
      <c r="Q425" s="44" t="str">
        <f>INDEX(CLEANED_MotorPH_Products_List_2!H:H,MATCH(MotorPHSales[[#This Row],[Product]],CLEANED_MotorPH_Products_List_2!$B:$B,0))</f>
        <v>CVT</v>
      </c>
    </row>
    <row r="426" spans="1:17" ht="15.75" x14ac:dyDescent="0.3">
      <c r="A426" s="43">
        <v>45825</v>
      </c>
      <c r="B426" s="44" t="str">
        <f>TEXT(MotorPHSales[[#This Row],[Date]],"mmmm")</f>
        <v>June</v>
      </c>
      <c r="C426" s="44">
        <f>DAY(MotorPHSales[[#This Row],[Date]])</f>
        <v>17</v>
      </c>
      <c r="D426" s="44">
        <f>YEAR(MotorPHSales[[#This Row],[Date]])</f>
        <v>2025</v>
      </c>
      <c r="E426" s="44" t="s">
        <v>194</v>
      </c>
      <c r="F426" s="44" t="s">
        <v>38</v>
      </c>
      <c r="G426" s="45">
        <v>295000</v>
      </c>
      <c r="H426" s="44">
        <v>20</v>
      </c>
      <c r="I426" s="45">
        <v>5900000</v>
      </c>
      <c r="J426" s="44" t="s">
        <v>197</v>
      </c>
      <c r="K426" s="44" t="str">
        <f>INDEX(CLEANED_MotorPH_Products_List_2!C:C,MATCH(MotorPHSales[[#This Row],[Product]],CLEANED_MotorPH_Products_List_2!$B:$B,0))</f>
        <v>Scrambler</v>
      </c>
      <c r="L426" s="44" t="str">
        <f>INDEX(CLEANED_MotorPH_Products_List_2!E:E,MATCH(MotorPHSales[[#This Row],[Product]],CLEANED_MotorPH_Products_List_2!$B:$B,0))</f>
        <v>Single cylinder</v>
      </c>
      <c r="M426" s="44" t="str">
        <f>INDEX(CLEANED_MotorPH_Products_List_2!F:F,MATCH(MotorPHSales[[#This Row],[Product]],CLEANED_MotorPH_Products_List_2!$B:$B,0))</f>
        <v>liquid-cooled</v>
      </c>
      <c r="N426" s="44" t="str">
        <f>INDEX(CLEANED_MotorPH_Products_List_2!G:G,MATCH(MotorPHSales[[#This Row],[Product]],CLEANED_MotorPH_Products_List_2!$B:$B,0))</f>
        <v>373cc</v>
      </c>
      <c r="O426" s="44" t="str">
        <f>INDEX(CLEANED_MotorPH_Products_List_2!K:K,MATCH(MotorPHSales[[#This Row],[Product]],CLEANED_MotorPH_Products_List_2!B:B,0))</f>
        <v>Mid-range</v>
      </c>
      <c r="P426" s="45">
        <f>IF(MotorPHSales[[#This Row],[Segment]]="Entry-level",MotorPHSales[[#This Row],[UnitPrice]]/(1+30%),IF(MotorPHSales[[#This Row],[Segment]]="Mid-range",MotorPHSales[[#This Row],[UnitPrice]]/(1+35%),MotorPHSales[[#This Row],[UnitPrice]]/(1+40%)))*MotorPHSales[[#This Row],[Quantity]]</f>
        <v>4370370.3703703703</v>
      </c>
      <c r="Q426" s="44" t="str">
        <f>INDEX(CLEANED_MotorPH_Products_List_2!H:H,MATCH(MotorPHSales[[#This Row],[Product]],CLEANED_MotorPH_Products_List_2!$B:$B,0))</f>
        <v>6-speed</v>
      </c>
    </row>
    <row r="427" spans="1:17" ht="15.75" x14ac:dyDescent="0.3">
      <c r="A427" s="43">
        <v>45871</v>
      </c>
      <c r="B427" s="44" t="str">
        <f>TEXT(MotorPHSales[[#This Row],[Date]],"mmmm")</f>
        <v>August</v>
      </c>
      <c r="C427" s="44">
        <f>DAY(MotorPHSales[[#This Row],[Date]])</f>
        <v>2</v>
      </c>
      <c r="D427" s="44">
        <f>YEAR(MotorPHSales[[#This Row],[Date]])</f>
        <v>2025</v>
      </c>
      <c r="E427" s="44" t="s">
        <v>194</v>
      </c>
      <c r="F427" s="44" t="s">
        <v>12</v>
      </c>
      <c r="G427" s="45">
        <v>119900</v>
      </c>
      <c r="H427" s="44">
        <v>16</v>
      </c>
      <c r="I427" s="45">
        <v>1918400</v>
      </c>
      <c r="J427" s="44" t="s">
        <v>197</v>
      </c>
      <c r="K427" s="44" t="str">
        <f>INDEX(CLEANED_MotorPH_Products_List_2!C:C,MATCH(MotorPHSales[[#This Row],[Product]],CLEANED_MotorPH_Products_List_2!$B:$B,0))</f>
        <v>Underbone</v>
      </c>
      <c r="L427" s="44" t="str">
        <f>INDEX(CLEANED_MotorPH_Products_List_2!E:E,MATCH(MotorPHSales[[#This Row],[Product]],CLEANED_MotorPH_Products_List_2!$B:$B,0))</f>
        <v>Single cylinder</v>
      </c>
      <c r="M427" s="44" t="str">
        <f>INDEX(CLEANED_MotorPH_Products_List_2!F:F,MATCH(MotorPHSales[[#This Row],[Product]],CLEANED_MotorPH_Products_List_2!$B:$B,0))</f>
        <v>liquid-cooled</v>
      </c>
      <c r="N427" s="44" t="str">
        <f>INDEX(CLEANED_MotorPH_Products_List_2!G:G,MATCH(MotorPHSales[[#This Row],[Product]],CLEANED_MotorPH_Products_List_2!$B:$B,0))</f>
        <v>150cc</v>
      </c>
      <c r="O427" s="44" t="str">
        <f>INDEX(CLEANED_MotorPH_Products_List_2!K:K,MATCH(MotorPHSales[[#This Row],[Product]],CLEANED_MotorPH_Products_List_2!B:B,0))</f>
        <v>Entry-level</v>
      </c>
      <c r="P427" s="45">
        <f>IF(MotorPHSales[[#This Row],[Segment]]="Entry-level",MotorPHSales[[#This Row],[UnitPrice]]/(1+30%),IF(MotorPHSales[[#This Row],[Segment]]="Mid-range",MotorPHSales[[#This Row],[UnitPrice]]/(1+35%),MotorPHSales[[#This Row],[UnitPrice]]/(1+40%)))*MotorPHSales[[#This Row],[Quantity]]</f>
        <v>1475692.3076923077</v>
      </c>
      <c r="Q427" s="44" t="str">
        <f>INDEX(CLEANED_MotorPH_Products_List_2!H:H,MATCH(MotorPHSales[[#This Row],[Product]],CLEANED_MotorPH_Products_List_2!$B:$B,0))</f>
        <v>6-speed</v>
      </c>
    </row>
    <row r="428" spans="1:17" ht="15.75" x14ac:dyDescent="0.3">
      <c r="A428" s="43">
        <v>45827</v>
      </c>
      <c r="B428" s="44" t="str">
        <f>TEXT(MotorPHSales[[#This Row],[Date]],"mmmm")</f>
        <v>June</v>
      </c>
      <c r="C428" s="44">
        <f>DAY(MotorPHSales[[#This Row],[Date]])</f>
        <v>19</v>
      </c>
      <c r="D428" s="44">
        <f>YEAR(MotorPHSales[[#This Row],[Date]])</f>
        <v>2025</v>
      </c>
      <c r="E428" s="44" t="s">
        <v>196</v>
      </c>
      <c r="F428" s="44" t="s">
        <v>68</v>
      </c>
      <c r="G428" s="45">
        <v>248000</v>
      </c>
      <c r="H428" s="44">
        <v>48</v>
      </c>
      <c r="I428" s="45">
        <v>11904000</v>
      </c>
      <c r="J428" s="44" t="s">
        <v>197</v>
      </c>
      <c r="K428" s="44" t="str">
        <f>INDEX(CLEANED_MotorPH_Products_List_2!C:C,MATCH(MotorPHSales[[#This Row],[Product]],CLEANED_MotorPH_Products_List_2!$B:$B,0))</f>
        <v>Adventure</v>
      </c>
      <c r="L428" s="44" t="str">
        <f>INDEX(CLEANED_MotorPH_Products_List_2!E:E,MATCH(MotorPHSales[[#This Row],[Product]],CLEANED_MotorPH_Products_List_2!$B:$B,0))</f>
        <v>Single cylinder</v>
      </c>
      <c r="M428" s="44" t="str">
        <f>INDEX(CLEANED_MotorPH_Products_List_2!F:F,MATCH(MotorPHSales[[#This Row],[Product]],CLEANED_MotorPH_Products_List_2!$B:$B,0))</f>
        <v>liquid-cooled</v>
      </c>
      <c r="N428" s="44" t="str">
        <f>INDEX(CLEANED_MotorPH_Products_List_2!G:G,MATCH(MotorPHSales[[#This Row],[Product]],CLEANED_MotorPH_Products_List_2!$B:$B,0))</f>
        <v>312cc</v>
      </c>
      <c r="O428" s="44" t="str">
        <f>INDEX(CLEANED_MotorPH_Products_List_2!K:K,MATCH(MotorPHSales[[#This Row],[Product]],CLEANED_MotorPH_Products_List_2!B:B,0))</f>
        <v>Mid-range</v>
      </c>
      <c r="P428" s="45">
        <f>IF(MotorPHSales[[#This Row],[Segment]]="Entry-level",MotorPHSales[[#This Row],[UnitPrice]]/(1+30%),IF(MotorPHSales[[#This Row],[Segment]]="Mid-range",MotorPHSales[[#This Row],[UnitPrice]]/(1+35%),MotorPHSales[[#This Row],[UnitPrice]]/(1+40%)))*MotorPHSales[[#This Row],[Quantity]]</f>
        <v>8817777.7777777761</v>
      </c>
      <c r="Q428" s="44" t="str">
        <f>INDEX(CLEANED_MotorPH_Products_List_2!H:H,MATCH(MotorPHSales[[#This Row],[Product]],CLEANED_MotorPH_Products_List_2!$B:$B,0))</f>
        <v>6-speed</v>
      </c>
    </row>
    <row r="429" spans="1:17" ht="15.75" x14ac:dyDescent="0.3">
      <c r="A429" s="43">
        <v>45900</v>
      </c>
      <c r="B429" s="44" t="str">
        <f>TEXT(MotorPHSales[[#This Row],[Date]],"mmmm")</f>
        <v>August</v>
      </c>
      <c r="C429" s="44">
        <f>DAY(MotorPHSales[[#This Row],[Date]])</f>
        <v>31</v>
      </c>
      <c r="D429" s="44">
        <f>YEAR(MotorPHSales[[#This Row],[Date]])</f>
        <v>2025</v>
      </c>
      <c r="E429" s="44" t="s">
        <v>194</v>
      </c>
      <c r="F429" s="44" t="s">
        <v>38</v>
      </c>
      <c r="G429" s="45">
        <v>295000</v>
      </c>
      <c r="H429" s="44">
        <v>4</v>
      </c>
      <c r="I429" s="45">
        <v>1180000</v>
      </c>
      <c r="J429" s="44" t="s">
        <v>197</v>
      </c>
      <c r="K429" s="44" t="str">
        <f>INDEX(CLEANED_MotorPH_Products_List_2!C:C,MATCH(MotorPHSales[[#This Row],[Product]],CLEANED_MotorPH_Products_List_2!$B:$B,0))</f>
        <v>Scrambler</v>
      </c>
      <c r="L429" s="44" t="str">
        <f>INDEX(CLEANED_MotorPH_Products_List_2!E:E,MATCH(MotorPHSales[[#This Row],[Product]],CLEANED_MotorPH_Products_List_2!$B:$B,0))</f>
        <v>Single cylinder</v>
      </c>
      <c r="M429" s="44" t="str">
        <f>INDEX(CLEANED_MotorPH_Products_List_2!F:F,MATCH(MotorPHSales[[#This Row],[Product]],CLEANED_MotorPH_Products_List_2!$B:$B,0))</f>
        <v>liquid-cooled</v>
      </c>
      <c r="N429" s="44" t="str">
        <f>INDEX(CLEANED_MotorPH_Products_List_2!G:G,MATCH(MotorPHSales[[#This Row],[Product]],CLEANED_MotorPH_Products_List_2!$B:$B,0))</f>
        <v>373cc</v>
      </c>
      <c r="O429" s="44" t="str">
        <f>INDEX(CLEANED_MotorPH_Products_List_2!K:K,MATCH(MotorPHSales[[#This Row],[Product]],CLEANED_MotorPH_Products_List_2!B:B,0))</f>
        <v>Mid-range</v>
      </c>
      <c r="P429" s="45">
        <f>IF(MotorPHSales[[#This Row],[Segment]]="Entry-level",MotorPHSales[[#This Row],[UnitPrice]]/(1+30%),IF(MotorPHSales[[#This Row],[Segment]]="Mid-range",MotorPHSales[[#This Row],[UnitPrice]]/(1+35%),MotorPHSales[[#This Row],[UnitPrice]]/(1+40%)))*MotorPHSales[[#This Row],[Quantity]]</f>
        <v>874074.07407407404</v>
      </c>
      <c r="Q429" s="44" t="str">
        <f>INDEX(CLEANED_MotorPH_Products_List_2!H:H,MATCH(MotorPHSales[[#This Row],[Product]],CLEANED_MotorPH_Products_List_2!$B:$B,0))</f>
        <v>6-speed</v>
      </c>
    </row>
    <row r="430" spans="1:17" ht="15.75" x14ac:dyDescent="0.3">
      <c r="A430" s="43">
        <v>45866</v>
      </c>
      <c r="B430" s="44" t="str">
        <f>TEXT(MotorPHSales[[#This Row],[Date]],"mmmm")</f>
        <v>July</v>
      </c>
      <c r="C430" s="44">
        <f>DAY(MotorPHSales[[#This Row],[Date]])</f>
        <v>28</v>
      </c>
      <c r="D430" s="44">
        <f>YEAR(MotorPHSales[[#This Row],[Date]])</f>
        <v>2025</v>
      </c>
      <c r="E430" s="44" t="s">
        <v>196</v>
      </c>
      <c r="F430" s="44" t="s">
        <v>6</v>
      </c>
      <c r="G430" s="45">
        <v>389000</v>
      </c>
      <c r="H430" s="44">
        <v>9</v>
      </c>
      <c r="I430" s="45">
        <v>3501000</v>
      </c>
      <c r="J430" s="44" t="s">
        <v>197</v>
      </c>
      <c r="K430" s="44" t="str">
        <f>INDEX(CLEANED_MotorPH_Products_List_2!C:C,MATCH(MotorPHSales[[#This Row],[Product]],CLEANED_MotorPH_Products_List_2!$B:$B,0))</f>
        <v>Sport</v>
      </c>
      <c r="L430" s="44" t="str">
        <f>INDEX(CLEANED_MotorPH_Products_List_2!E:E,MATCH(MotorPHSales[[#This Row],[Product]],CLEANED_MotorPH_Products_List_2!$B:$B,0))</f>
        <v>Parallel-twin</v>
      </c>
      <c r="M430" s="44" t="str">
        <f>INDEX(CLEANED_MotorPH_Products_List_2!F:F,MATCH(MotorPHSales[[#This Row],[Product]],CLEANED_MotorPH_Products_List_2!$B:$B,0))</f>
        <v>liquid-cooled</v>
      </c>
      <c r="N430" s="44" t="str">
        <f>INDEX(CLEANED_MotorPH_Products_List_2!G:G,MATCH(MotorPHSales[[#This Row],[Product]],CLEANED_MotorPH_Products_List_2!$B:$B,0))</f>
        <v>471cc</v>
      </c>
      <c r="O430" s="44" t="str">
        <f>INDEX(CLEANED_MotorPH_Products_List_2!K:K,MATCH(MotorPHSales[[#This Row],[Product]],CLEANED_MotorPH_Products_List_2!B:B,0))</f>
        <v>Mid-range</v>
      </c>
      <c r="P430" s="45">
        <f>IF(MotorPHSales[[#This Row],[Segment]]="Entry-level",MotorPHSales[[#This Row],[UnitPrice]]/(1+30%),IF(MotorPHSales[[#This Row],[Segment]]="Mid-range",MotorPHSales[[#This Row],[UnitPrice]]/(1+35%),MotorPHSales[[#This Row],[UnitPrice]]/(1+40%)))*MotorPHSales[[#This Row],[Quantity]]</f>
        <v>2593333.3333333335</v>
      </c>
      <c r="Q430" s="44" t="str">
        <f>INDEX(CLEANED_MotorPH_Products_List_2!H:H,MATCH(MotorPHSales[[#This Row],[Product]],CLEANED_MotorPH_Products_List_2!$B:$B,0))</f>
        <v>6-speed</v>
      </c>
    </row>
    <row r="431" spans="1:17" ht="15.75" x14ac:dyDescent="0.3">
      <c r="A431" s="43">
        <v>45863</v>
      </c>
      <c r="B431" s="44" t="str">
        <f>TEXT(MotorPHSales[[#This Row],[Date]],"mmmm")</f>
        <v>July</v>
      </c>
      <c r="C431" s="44">
        <f>DAY(MotorPHSales[[#This Row],[Date]])</f>
        <v>25</v>
      </c>
      <c r="D431" s="44">
        <f>YEAR(MotorPHSales[[#This Row],[Date]])</f>
        <v>2025</v>
      </c>
      <c r="E431" s="44" t="s">
        <v>196</v>
      </c>
      <c r="F431" s="44" t="s">
        <v>68</v>
      </c>
      <c r="G431" s="45">
        <v>248000</v>
      </c>
      <c r="H431" s="44">
        <v>25</v>
      </c>
      <c r="I431" s="45">
        <v>6200000</v>
      </c>
      <c r="J431" s="44" t="s">
        <v>198</v>
      </c>
      <c r="K431" s="44" t="str">
        <f>INDEX(CLEANED_MotorPH_Products_List_2!C:C,MATCH(MotorPHSales[[#This Row],[Product]],CLEANED_MotorPH_Products_List_2!$B:$B,0))</f>
        <v>Adventure</v>
      </c>
      <c r="L431" s="44" t="str">
        <f>INDEX(CLEANED_MotorPH_Products_List_2!E:E,MATCH(MotorPHSales[[#This Row],[Product]],CLEANED_MotorPH_Products_List_2!$B:$B,0))</f>
        <v>Single cylinder</v>
      </c>
      <c r="M431" s="44" t="str">
        <f>INDEX(CLEANED_MotorPH_Products_List_2!F:F,MATCH(MotorPHSales[[#This Row],[Product]],CLEANED_MotorPH_Products_List_2!$B:$B,0))</f>
        <v>liquid-cooled</v>
      </c>
      <c r="N431" s="44" t="str">
        <f>INDEX(CLEANED_MotorPH_Products_List_2!G:G,MATCH(MotorPHSales[[#This Row],[Product]],CLEANED_MotorPH_Products_List_2!$B:$B,0))</f>
        <v>312cc</v>
      </c>
      <c r="O431" s="44" t="str">
        <f>INDEX(CLEANED_MotorPH_Products_List_2!K:K,MATCH(MotorPHSales[[#This Row],[Product]],CLEANED_MotorPH_Products_List_2!B:B,0))</f>
        <v>Mid-range</v>
      </c>
      <c r="P431" s="45">
        <f>IF(MotorPHSales[[#This Row],[Segment]]="Entry-level",MotorPHSales[[#This Row],[UnitPrice]]/(1+30%),IF(MotorPHSales[[#This Row],[Segment]]="Mid-range",MotorPHSales[[#This Row],[UnitPrice]]/(1+35%),MotorPHSales[[#This Row],[UnitPrice]]/(1+40%)))*MotorPHSales[[#This Row],[Quantity]]</f>
        <v>4592592.5925925924</v>
      </c>
      <c r="Q431" s="44" t="str">
        <f>INDEX(CLEANED_MotorPH_Products_List_2!H:H,MATCH(MotorPHSales[[#This Row],[Product]],CLEANED_MotorPH_Products_List_2!$B:$B,0))</f>
        <v>6-speed</v>
      </c>
    </row>
    <row r="432" spans="1:17" ht="15.75" x14ac:dyDescent="0.3">
      <c r="A432" s="43">
        <v>45898</v>
      </c>
      <c r="B432" s="44" t="str">
        <f>TEXT(MotorPHSales[[#This Row],[Date]],"mmmm")</f>
        <v>August</v>
      </c>
      <c r="C432" s="44">
        <f>DAY(MotorPHSales[[#This Row],[Date]])</f>
        <v>29</v>
      </c>
      <c r="D432" s="44">
        <f>YEAR(MotorPHSales[[#This Row],[Date]])</f>
        <v>2025</v>
      </c>
      <c r="E432" s="44" t="s">
        <v>196</v>
      </c>
      <c r="F432" s="44" t="s">
        <v>80</v>
      </c>
      <c r="G432" s="45">
        <v>398000</v>
      </c>
      <c r="H432" s="44">
        <v>12</v>
      </c>
      <c r="I432" s="45">
        <v>4776000</v>
      </c>
      <c r="J432" s="44" t="s">
        <v>197</v>
      </c>
      <c r="K432" s="44" t="str">
        <f>INDEX(CLEANED_MotorPH_Products_List_2!C:C,MATCH(MotorPHSales[[#This Row],[Product]],CLEANED_MotorPH_Products_List_2!$B:$B,0))</f>
        <v>Scooter</v>
      </c>
      <c r="L432" s="44" t="str">
        <f>INDEX(CLEANED_MotorPH_Products_List_2!E:E,MATCH(MotorPHSales[[#This Row],[Product]],CLEANED_MotorPH_Products_List_2!$B:$B,0))</f>
        <v>Single cylinder</v>
      </c>
      <c r="M432" s="44" t="str">
        <f>INDEX(CLEANED_MotorPH_Products_List_2!F:F,MATCH(MotorPHSales[[#This Row],[Product]],CLEANED_MotorPH_Products_List_2!$B:$B,0))</f>
        <v>liquid-cooled</v>
      </c>
      <c r="N432" s="44" t="str">
        <f>INDEX(CLEANED_MotorPH_Products_List_2!G:G,MATCH(MotorPHSales[[#This Row],[Product]],CLEANED_MotorPH_Products_List_2!$B:$B,0))</f>
        <v>278cc</v>
      </c>
      <c r="O432" s="44" t="str">
        <f>INDEX(CLEANED_MotorPH_Products_List_2!K:K,MATCH(MotorPHSales[[#This Row],[Product]],CLEANED_MotorPH_Products_List_2!B:B,0))</f>
        <v>Mid-range</v>
      </c>
      <c r="P432" s="45">
        <f>IF(MotorPHSales[[#This Row],[Segment]]="Entry-level",MotorPHSales[[#This Row],[UnitPrice]]/(1+30%),IF(MotorPHSales[[#This Row],[Segment]]="Mid-range",MotorPHSales[[#This Row],[UnitPrice]]/(1+35%),MotorPHSales[[#This Row],[UnitPrice]]/(1+40%)))*MotorPHSales[[#This Row],[Quantity]]</f>
        <v>3537777.7777777771</v>
      </c>
      <c r="Q432" s="44" t="str">
        <f>INDEX(CLEANED_MotorPH_Products_List_2!H:H,MATCH(MotorPHSales[[#This Row],[Product]],CLEANED_MotorPH_Products_List_2!$B:$B,0))</f>
        <v>CVT</v>
      </c>
    </row>
    <row r="433" spans="1:17" ht="15.75" x14ac:dyDescent="0.3">
      <c r="A433" s="43">
        <v>45898</v>
      </c>
      <c r="B433" s="44" t="str">
        <f>TEXT(MotorPHSales[[#This Row],[Date]],"mmmm")</f>
        <v>August</v>
      </c>
      <c r="C433" s="44">
        <f>DAY(MotorPHSales[[#This Row],[Date]])</f>
        <v>29</v>
      </c>
      <c r="D433" s="44">
        <f>YEAR(MotorPHSales[[#This Row],[Date]])</f>
        <v>2025</v>
      </c>
      <c r="E433" s="44" t="s">
        <v>194</v>
      </c>
      <c r="F433" s="44" t="s">
        <v>86</v>
      </c>
      <c r="G433" s="45">
        <v>650000</v>
      </c>
      <c r="H433" s="44">
        <v>4</v>
      </c>
      <c r="I433" s="45">
        <v>2600000</v>
      </c>
      <c r="J433" s="44" t="s">
        <v>198</v>
      </c>
      <c r="K433" s="44" t="str">
        <f>INDEX(CLEANED_MotorPH_Products_List_2!C:C,MATCH(MotorPHSales[[#This Row],[Product]],CLEANED_MotorPH_Products_List_2!$B:$B,0))</f>
        <v>Cruiser</v>
      </c>
      <c r="L433" s="44" t="str">
        <f>INDEX(CLEANED_MotorPH_Products_List_2!E:E,MATCH(MotorPHSales[[#This Row],[Product]],CLEANED_MotorPH_Products_List_2!$B:$B,0))</f>
        <v>Parallel-twin</v>
      </c>
      <c r="M433" s="44" t="str">
        <f>INDEX(CLEANED_MotorPH_Products_List_2!F:F,MATCH(MotorPHSales[[#This Row],[Product]],CLEANED_MotorPH_Products_List_2!$B:$B,0))</f>
        <v>liquid-cooled</v>
      </c>
      <c r="N433" s="44" t="str">
        <f>INDEX(CLEANED_MotorPH_Products_List_2!G:G,MATCH(MotorPHSales[[#This Row],[Product]],CLEANED_MotorPH_Products_List_2!$B:$B,0))</f>
        <v>1084cc</v>
      </c>
      <c r="O433" s="44" t="str">
        <f>INDEX(CLEANED_MotorPH_Products_List_2!K:K,MATCH(MotorPHSales[[#This Row],[Product]],CLEANED_MotorPH_Products_List_2!B:B,0))</f>
        <v>Premium</v>
      </c>
      <c r="P433" s="45">
        <f>IF(MotorPHSales[[#This Row],[Segment]]="Entry-level",MotorPHSales[[#This Row],[UnitPrice]]/(1+30%),IF(MotorPHSales[[#This Row],[Segment]]="Mid-range",MotorPHSales[[#This Row],[UnitPrice]]/(1+35%),MotorPHSales[[#This Row],[UnitPrice]]/(1+40%)))*MotorPHSales[[#This Row],[Quantity]]</f>
        <v>1857142.8571428573</v>
      </c>
      <c r="Q433" s="44" t="str">
        <f>INDEX(CLEANED_MotorPH_Products_List_2!H:H,MATCH(MotorPHSales[[#This Row],[Product]],CLEANED_MotorPH_Products_List_2!$B:$B,0))</f>
        <v>6-speed</v>
      </c>
    </row>
    <row r="434" spans="1:17" ht="15.75" x14ac:dyDescent="0.3">
      <c r="A434" s="43">
        <v>45870</v>
      </c>
      <c r="B434" s="44" t="str">
        <f>TEXT(MotorPHSales[[#This Row],[Date]],"mmmm")</f>
        <v>August</v>
      </c>
      <c r="C434" s="44">
        <f>DAY(MotorPHSales[[#This Row],[Date]])</f>
        <v>1</v>
      </c>
      <c r="D434" s="44">
        <f>YEAR(MotorPHSales[[#This Row],[Date]])</f>
        <v>2025</v>
      </c>
      <c r="E434" s="44" t="s">
        <v>194</v>
      </c>
      <c r="F434" s="44" t="s">
        <v>32</v>
      </c>
      <c r="G434" s="45">
        <v>198000</v>
      </c>
      <c r="H434" s="44">
        <v>2</v>
      </c>
      <c r="I434" s="45">
        <v>396000</v>
      </c>
      <c r="J434" s="44" t="s">
        <v>198</v>
      </c>
      <c r="K434" s="44" t="str">
        <f>INDEX(CLEANED_MotorPH_Products_List_2!C:C,MATCH(MotorPHSales[[#This Row],[Product]],CLEANED_MotorPH_Products_List_2!$B:$B,0))</f>
        <v>Sport</v>
      </c>
      <c r="L434" s="44" t="str">
        <f>INDEX(CLEANED_MotorPH_Products_List_2!E:E,MATCH(MotorPHSales[[#This Row],[Product]],CLEANED_MotorPH_Products_List_2!$B:$B,0))</f>
        <v>Single cylinder</v>
      </c>
      <c r="M434" s="44" t="str">
        <f>INDEX(CLEANED_MotorPH_Products_List_2!F:F,MATCH(MotorPHSales[[#This Row],[Product]],CLEANED_MotorPH_Products_List_2!$B:$B,0))</f>
        <v>liquid-cooled</v>
      </c>
      <c r="N434" s="44" t="str">
        <f>INDEX(CLEANED_MotorPH_Products_List_2!G:G,MATCH(MotorPHSales[[#This Row],[Product]],CLEANED_MotorPH_Products_List_2!$B:$B,0))</f>
        <v>199cc</v>
      </c>
      <c r="O434" s="44" t="str">
        <f>INDEX(CLEANED_MotorPH_Products_List_2!K:K,MATCH(MotorPHSales[[#This Row],[Product]],CLEANED_MotorPH_Products_List_2!B:B,0))</f>
        <v>Entry-level</v>
      </c>
      <c r="P434" s="45">
        <f>IF(MotorPHSales[[#This Row],[Segment]]="Entry-level",MotorPHSales[[#This Row],[UnitPrice]]/(1+30%),IF(MotorPHSales[[#This Row],[Segment]]="Mid-range",MotorPHSales[[#This Row],[UnitPrice]]/(1+35%),MotorPHSales[[#This Row],[UnitPrice]]/(1+40%)))*MotorPHSales[[#This Row],[Quantity]]</f>
        <v>304615.38461538462</v>
      </c>
      <c r="Q434" s="44" t="str">
        <f>INDEX(CLEANED_MotorPH_Products_List_2!H:H,MATCH(MotorPHSales[[#This Row],[Product]],CLEANED_MotorPH_Products_List_2!$B:$B,0))</f>
        <v>6-speed</v>
      </c>
    </row>
    <row r="435" spans="1:17" ht="15.75" x14ac:dyDescent="0.3">
      <c r="A435" s="43">
        <v>45831</v>
      </c>
      <c r="B435" s="44" t="str">
        <f>TEXT(MotorPHSales[[#This Row],[Date]],"mmmm")</f>
        <v>June</v>
      </c>
      <c r="C435" s="44">
        <f>DAY(MotorPHSales[[#This Row],[Date]])</f>
        <v>23</v>
      </c>
      <c r="D435" s="44">
        <f>YEAR(MotorPHSales[[#This Row],[Date]])</f>
        <v>2025</v>
      </c>
      <c r="E435" s="44" t="s">
        <v>194</v>
      </c>
      <c r="F435" s="44" t="s">
        <v>88</v>
      </c>
      <c r="G435" s="45">
        <v>599000</v>
      </c>
      <c r="H435" s="44">
        <v>3</v>
      </c>
      <c r="I435" s="45">
        <v>1797000</v>
      </c>
      <c r="J435" s="44" t="s">
        <v>195</v>
      </c>
      <c r="K435" s="44" t="str">
        <f>INDEX(CLEANED_MotorPH_Products_List_2!C:C,MATCH(MotorPHSales[[#This Row],[Product]],CLEANED_MotorPH_Products_List_2!$B:$B,0))</f>
        <v>Naked bike</v>
      </c>
      <c r="L435" s="44" t="str">
        <f>INDEX(CLEANED_MotorPH_Products_List_2!E:E,MATCH(MotorPHSales[[#This Row],[Product]],CLEANED_MotorPH_Products_List_2!$B:$B,0))</f>
        <v>Parallel-twin</v>
      </c>
      <c r="M435" s="44" t="str">
        <f>INDEX(CLEANED_MotorPH_Products_List_2!F:F,MATCH(MotorPHSales[[#This Row],[Product]],CLEANED_MotorPH_Products_List_2!$B:$B,0))</f>
        <v>liquid-cooled</v>
      </c>
      <c r="N435" s="44" t="str">
        <f>INDEX(CLEANED_MotorPH_Products_List_2!G:G,MATCH(MotorPHSales[[#This Row],[Product]],CLEANED_MotorPH_Products_List_2!$B:$B,0))</f>
        <v>799cc</v>
      </c>
      <c r="O435" s="44" t="str">
        <f>INDEX(CLEANED_MotorPH_Products_List_2!K:K,MATCH(MotorPHSales[[#This Row],[Product]],CLEANED_MotorPH_Products_List_2!B:B,0))</f>
        <v>Premium</v>
      </c>
      <c r="P435" s="45">
        <f>IF(MotorPHSales[[#This Row],[Segment]]="Entry-level",MotorPHSales[[#This Row],[UnitPrice]]/(1+30%),IF(MotorPHSales[[#This Row],[Segment]]="Mid-range",MotorPHSales[[#This Row],[UnitPrice]]/(1+35%),MotorPHSales[[#This Row],[UnitPrice]]/(1+40%)))*MotorPHSales[[#This Row],[Quantity]]</f>
        <v>1283571.4285714286</v>
      </c>
      <c r="Q435" s="44" t="str">
        <f>INDEX(CLEANED_MotorPH_Products_List_2!H:H,MATCH(MotorPHSales[[#This Row],[Product]],CLEANED_MotorPH_Products_List_2!$B:$B,0))</f>
        <v>6-speed</v>
      </c>
    </row>
    <row r="436" spans="1:17" ht="15.75" x14ac:dyDescent="0.3">
      <c r="A436" s="43">
        <v>45817</v>
      </c>
      <c r="B436" s="44" t="str">
        <f>TEXT(MotorPHSales[[#This Row],[Date]],"mmmm")</f>
        <v>June</v>
      </c>
      <c r="C436" s="44">
        <f>DAY(MotorPHSales[[#This Row],[Date]])</f>
        <v>9</v>
      </c>
      <c r="D436" s="44">
        <f>YEAR(MotorPHSales[[#This Row],[Date]])</f>
        <v>2025</v>
      </c>
      <c r="E436" s="44" t="s">
        <v>194</v>
      </c>
      <c r="F436" s="44" t="s">
        <v>64</v>
      </c>
      <c r="G436" s="45">
        <v>128000</v>
      </c>
      <c r="H436" s="44">
        <v>3</v>
      </c>
      <c r="I436" s="45">
        <v>384000</v>
      </c>
      <c r="J436" s="44" t="s">
        <v>197</v>
      </c>
      <c r="K436" s="44" t="str">
        <f>INDEX(CLEANED_MotorPH_Products_List_2!C:C,MATCH(MotorPHSales[[#This Row],[Product]],CLEANED_MotorPH_Products_List_2!$B:$B,0))</f>
        <v>Scooter</v>
      </c>
      <c r="L436" s="44" t="str">
        <f>INDEX(CLEANED_MotorPH_Products_List_2!E:E,MATCH(MotorPHSales[[#This Row],[Product]],CLEANED_MotorPH_Products_List_2!$B:$B,0))</f>
        <v>Single cylinder</v>
      </c>
      <c r="M436" s="44" t="str">
        <f>INDEX(CLEANED_MotorPH_Products_List_2!F:F,MATCH(MotorPHSales[[#This Row],[Product]],CLEANED_MotorPH_Products_List_2!$B:$B,0))</f>
        <v>liquid-cooled</v>
      </c>
      <c r="N436" s="44" t="str">
        <f>INDEX(CLEANED_MotorPH_Products_List_2!G:G,MATCH(MotorPHSales[[#This Row],[Product]],CLEANED_MotorPH_Products_List_2!$B:$B,0))</f>
        <v>149cc</v>
      </c>
      <c r="O436" s="44" t="str">
        <f>INDEX(CLEANED_MotorPH_Products_List_2!K:K,MATCH(MotorPHSales[[#This Row],[Product]],CLEANED_MotorPH_Products_List_2!B:B,0))</f>
        <v>Entry-level</v>
      </c>
      <c r="P436" s="45">
        <f>IF(MotorPHSales[[#This Row],[Segment]]="Entry-level",MotorPHSales[[#This Row],[UnitPrice]]/(1+30%),IF(MotorPHSales[[#This Row],[Segment]]="Mid-range",MotorPHSales[[#This Row],[UnitPrice]]/(1+35%),MotorPHSales[[#This Row],[UnitPrice]]/(1+40%)))*MotorPHSales[[#This Row],[Quantity]]</f>
        <v>295384.61538461538</v>
      </c>
      <c r="Q436" s="44" t="str">
        <f>INDEX(CLEANED_MotorPH_Products_List_2!H:H,MATCH(MotorPHSales[[#This Row],[Product]],CLEANED_MotorPH_Products_List_2!$B:$B,0))</f>
        <v>CVT</v>
      </c>
    </row>
    <row r="437" spans="1:17" ht="15.75" x14ac:dyDescent="0.3">
      <c r="A437" s="43">
        <v>45820</v>
      </c>
      <c r="B437" s="44" t="str">
        <f>TEXT(MotorPHSales[[#This Row],[Date]],"mmmm")</f>
        <v>June</v>
      </c>
      <c r="C437" s="44">
        <f>DAY(MotorPHSales[[#This Row],[Date]])</f>
        <v>12</v>
      </c>
      <c r="D437" s="44">
        <f>YEAR(MotorPHSales[[#This Row],[Date]])</f>
        <v>2025</v>
      </c>
      <c r="E437" s="44" t="s">
        <v>194</v>
      </c>
      <c r="F437" s="44" t="s">
        <v>34</v>
      </c>
      <c r="G437" s="45">
        <v>320000</v>
      </c>
      <c r="H437" s="44">
        <v>35</v>
      </c>
      <c r="I437" s="45">
        <v>11200000</v>
      </c>
      <c r="J437" s="44" t="s">
        <v>195</v>
      </c>
      <c r="K437" s="44" t="str">
        <f>INDEX(CLEANED_MotorPH_Products_List_2!C:C,MATCH(MotorPHSales[[#This Row],[Product]],CLEANED_MotorPH_Products_List_2!$B:$B,0))</f>
        <v>Adventure</v>
      </c>
      <c r="L437" s="44" t="str">
        <f>INDEX(CLEANED_MotorPH_Products_List_2!E:E,MATCH(MotorPHSales[[#This Row],[Product]],CLEANED_MotorPH_Products_List_2!$B:$B,0))</f>
        <v>Single cylinder</v>
      </c>
      <c r="M437" s="44" t="str">
        <f>INDEX(CLEANED_MotorPH_Products_List_2!F:F,MATCH(MotorPHSales[[#This Row],[Product]],CLEANED_MotorPH_Products_List_2!$B:$B,0))</f>
        <v>liquid-cooled</v>
      </c>
      <c r="N437" s="44" t="str">
        <f>INDEX(CLEANED_MotorPH_Products_List_2!G:G,MATCH(MotorPHSales[[#This Row],[Product]],CLEANED_MotorPH_Products_List_2!$B:$B,0))</f>
        <v>313cc</v>
      </c>
      <c r="O437" s="44" t="str">
        <f>INDEX(CLEANED_MotorPH_Products_List_2!K:K,MATCH(MotorPHSales[[#This Row],[Product]],CLEANED_MotorPH_Products_List_2!B:B,0))</f>
        <v>Mid-range</v>
      </c>
      <c r="P437" s="45">
        <f>IF(MotorPHSales[[#This Row],[Segment]]="Entry-level",MotorPHSales[[#This Row],[UnitPrice]]/(1+30%),IF(MotorPHSales[[#This Row],[Segment]]="Mid-range",MotorPHSales[[#This Row],[UnitPrice]]/(1+35%),MotorPHSales[[#This Row],[UnitPrice]]/(1+40%)))*MotorPHSales[[#This Row],[Quantity]]</f>
        <v>8296296.2962962957</v>
      </c>
      <c r="Q437" s="44" t="str">
        <f>INDEX(CLEANED_MotorPH_Products_List_2!H:H,MATCH(MotorPHSales[[#This Row],[Product]],CLEANED_MotorPH_Products_List_2!$B:$B,0))</f>
        <v>6-speed</v>
      </c>
    </row>
    <row r="438" spans="1:17" ht="15.75" x14ac:dyDescent="0.3">
      <c r="A438" s="43">
        <v>45809</v>
      </c>
      <c r="B438" s="44" t="str">
        <f>TEXT(MotorPHSales[[#This Row],[Date]],"mmmm")</f>
        <v>June</v>
      </c>
      <c r="C438" s="44">
        <f>DAY(MotorPHSales[[#This Row],[Date]])</f>
        <v>1</v>
      </c>
      <c r="D438" s="44">
        <f>YEAR(MotorPHSales[[#This Row],[Date]])</f>
        <v>2025</v>
      </c>
      <c r="E438" s="44" t="s">
        <v>194</v>
      </c>
      <c r="F438" s="44" t="s">
        <v>72</v>
      </c>
      <c r="G438" s="45">
        <v>319000</v>
      </c>
      <c r="H438" s="44">
        <v>26</v>
      </c>
      <c r="I438" s="45">
        <v>8294000</v>
      </c>
      <c r="J438" s="44" t="s">
        <v>198</v>
      </c>
      <c r="K438" s="44" t="str">
        <f>INDEX(CLEANED_MotorPH_Products_List_2!C:C,MATCH(MotorPHSales[[#This Row],[Product]],CLEANED_MotorPH_Products_List_2!$B:$B,0))</f>
        <v>Scooter</v>
      </c>
      <c r="L438" s="44" t="str">
        <f>INDEX(CLEANED_MotorPH_Products_List_2!E:E,MATCH(MotorPHSales[[#This Row],[Product]],CLEANED_MotorPH_Products_List_2!$B:$B,0))</f>
        <v>Single cylinder</v>
      </c>
      <c r="M438" s="44" t="str">
        <f>INDEX(CLEANED_MotorPH_Products_List_2!F:F,MATCH(MotorPHSales[[#This Row],[Product]],CLEANED_MotorPH_Products_List_2!$B:$B,0))</f>
        <v>liquid-cooled</v>
      </c>
      <c r="N438" s="44" t="str">
        <f>INDEX(CLEANED_MotorPH_Products_List_2!G:G,MATCH(MotorPHSales[[#This Row],[Product]],CLEANED_MotorPH_Products_List_2!$B:$B,0))</f>
        <v>292cc</v>
      </c>
      <c r="O438" s="44" t="str">
        <f>INDEX(CLEANED_MotorPH_Products_List_2!K:K,MATCH(MotorPHSales[[#This Row],[Product]],CLEANED_MotorPH_Products_List_2!B:B,0))</f>
        <v>Mid-range</v>
      </c>
      <c r="P438" s="45">
        <f>IF(MotorPHSales[[#This Row],[Segment]]="Entry-level",MotorPHSales[[#This Row],[UnitPrice]]/(1+30%),IF(MotorPHSales[[#This Row],[Segment]]="Mid-range",MotorPHSales[[#This Row],[UnitPrice]]/(1+35%),MotorPHSales[[#This Row],[UnitPrice]]/(1+40%)))*MotorPHSales[[#This Row],[Quantity]]</f>
        <v>6143703.7037037034</v>
      </c>
      <c r="Q438" s="44" t="str">
        <f>INDEX(CLEANED_MotorPH_Products_List_2!H:H,MATCH(MotorPHSales[[#This Row],[Product]],CLEANED_MotorPH_Products_List_2!$B:$B,0))</f>
        <v>CVT</v>
      </c>
    </row>
    <row r="439" spans="1:17" ht="15.75" x14ac:dyDescent="0.3">
      <c r="A439" s="43">
        <v>45866</v>
      </c>
      <c r="B439" s="44" t="str">
        <f>TEXT(MotorPHSales[[#This Row],[Date]],"mmmm")</f>
        <v>July</v>
      </c>
      <c r="C439" s="44">
        <f>DAY(MotorPHSales[[#This Row],[Date]])</f>
        <v>28</v>
      </c>
      <c r="D439" s="44">
        <f>YEAR(MotorPHSales[[#This Row],[Date]])</f>
        <v>2025</v>
      </c>
      <c r="E439" s="44" t="s">
        <v>194</v>
      </c>
      <c r="F439" s="44" t="s">
        <v>80</v>
      </c>
      <c r="G439" s="45">
        <v>398000</v>
      </c>
      <c r="H439" s="44">
        <v>24</v>
      </c>
      <c r="I439" s="45">
        <v>9552000</v>
      </c>
      <c r="J439" s="44" t="s">
        <v>197</v>
      </c>
      <c r="K439" s="44" t="str">
        <f>INDEX(CLEANED_MotorPH_Products_List_2!C:C,MATCH(MotorPHSales[[#This Row],[Product]],CLEANED_MotorPH_Products_List_2!$B:$B,0))</f>
        <v>Scooter</v>
      </c>
      <c r="L439" s="44" t="str">
        <f>INDEX(CLEANED_MotorPH_Products_List_2!E:E,MATCH(MotorPHSales[[#This Row],[Product]],CLEANED_MotorPH_Products_List_2!$B:$B,0))</f>
        <v>Single cylinder</v>
      </c>
      <c r="M439" s="44" t="str">
        <f>INDEX(CLEANED_MotorPH_Products_List_2!F:F,MATCH(MotorPHSales[[#This Row],[Product]],CLEANED_MotorPH_Products_List_2!$B:$B,0))</f>
        <v>liquid-cooled</v>
      </c>
      <c r="N439" s="44" t="str">
        <f>INDEX(CLEANED_MotorPH_Products_List_2!G:G,MATCH(MotorPHSales[[#This Row],[Product]],CLEANED_MotorPH_Products_List_2!$B:$B,0))</f>
        <v>278cc</v>
      </c>
      <c r="O439" s="44" t="str">
        <f>INDEX(CLEANED_MotorPH_Products_List_2!K:K,MATCH(MotorPHSales[[#This Row],[Product]],CLEANED_MotorPH_Products_List_2!B:B,0))</f>
        <v>Mid-range</v>
      </c>
      <c r="P439" s="45">
        <f>IF(MotorPHSales[[#This Row],[Segment]]="Entry-level",MotorPHSales[[#This Row],[UnitPrice]]/(1+30%),IF(MotorPHSales[[#This Row],[Segment]]="Mid-range",MotorPHSales[[#This Row],[UnitPrice]]/(1+35%),MotorPHSales[[#This Row],[UnitPrice]]/(1+40%)))*MotorPHSales[[#This Row],[Quantity]]</f>
        <v>7075555.5555555541</v>
      </c>
      <c r="Q439" s="44" t="str">
        <f>INDEX(CLEANED_MotorPH_Products_List_2!H:H,MATCH(MotorPHSales[[#This Row],[Product]],CLEANED_MotorPH_Products_List_2!$B:$B,0))</f>
        <v>CVT</v>
      </c>
    </row>
    <row r="440" spans="1:17" ht="15.75" x14ac:dyDescent="0.3">
      <c r="A440" s="43">
        <v>45809</v>
      </c>
      <c r="B440" s="44" t="str">
        <f>TEXT(MotorPHSales[[#This Row],[Date]],"mmmm")</f>
        <v>June</v>
      </c>
      <c r="C440" s="44">
        <f>DAY(MotorPHSales[[#This Row],[Date]])</f>
        <v>1</v>
      </c>
      <c r="D440" s="44">
        <f>YEAR(MotorPHSales[[#This Row],[Date]])</f>
        <v>2025</v>
      </c>
      <c r="E440" s="44" t="s">
        <v>194</v>
      </c>
      <c r="F440" s="44" t="s">
        <v>42</v>
      </c>
      <c r="G440" s="45">
        <v>125000</v>
      </c>
      <c r="H440" s="44">
        <v>13</v>
      </c>
      <c r="I440" s="45">
        <v>1625000</v>
      </c>
      <c r="J440" s="44" t="s">
        <v>195</v>
      </c>
      <c r="K440" s="44" t="str">
        <f>INDEX(CLEANED_MotorPH_Products_List_2!C:C,MATCH(MotorPHSales[[#This Row],[Product]],CLEANED_MotorPH_Products_List_2!$B:$B,0))</f>
        <v>Naked bike</v>
      </c>
      <c r="L440" s="44" t="str">
        <f>INDEX(CLEANED_MotorPH_Products_List_2!E:E,MATCH(MotorPHSales[[#This Row],[Product]],CLEANED_MotorPH_Products_List_2!$B:$B,0))</f>
        <v>Single cylinder</v>
      </c>
      <c r="M440" s="44" t="str">
        <f>INDEX(CLEANED_MotorPH_Products_List_2!F:F,MATCH(MotorPHSales[[#This Row],[Product]],CLEANED_MotorPH_Products_List_2!$B:$B,0))</f>
        <v>liquid-cooled</v>
      </c>
      <c r="N440" s="44" t="str">
        <f>INDEX(CLEANED_MotorPH_Products_List_2!G:G,MATCH(MotorPHSales[[#This Row],[Product]],CLEANED_MotorPH_Products_List_2!$B:$B,0))</f>
        <v>147cc</v>
      </c>
      <c r="O440" s="44" t="str">
        <f>INDEX(CLEANED_MotorPH_Products_List_2!K:K,MATCH(MotorPHSales[[#This Row],[Product]],CLEANED_MotorPH_Products_List_2!B:B,0))</f>
        <v>Entry-level</v>
      </c>
      <c r="P440" s="45">
        <f>IF(MotorPHSales[[#This Row],[Segment]]="Entry-level",MotorPHSales[[#This Row],[UnitPrice]]/(1+30%),IF(MotorPHSales[[#This Row],[Segment]]="Mid-range",MotorPHSales[[#This Row],[UnitPrice]]/(1+35%),MotorPHSales[[#This Row],[UnitPrice]]/(1+40%)))*MotorPHSales[[#This Row],[Quantity]]</f>
        <v>1250000</v>
      </c>
      <c r="Q440" s="44" t="str">
        <f>INDEX(CLEANED_MotorPH_Products_List_2!H:H,MATCH(MotorPHSales[[#This Row],[Product]],CLEANED_MotorPH_Products_List_2!$B:$B,0))</f>
        <v>6-speed</v>
      </c>
    </row>
    <row r="441" spans="1:17" ht="15.75" x14ac:dyDescent="0.3">
      <c r="A441" s="43">
        <v>45842</v>
      </c>
      <c r="B441" s="44" t="str">
        <f>TEXT(MotorPHSales[[#This Row],[Date]],"mmmm")</f>
        <v>July</v>
      </c>
      <c r="C441" s="44">
        <f>DAY(MotorPHSales[[#This Row],[Date]])</f>
        <v>4</v>
      </c>
      <c r="D441" s="44">
        <f>YEAR(MotorPHSales[[#This Row],[Date]])</f>
        <v>2025</v>
      </c>
      <c r="E441" s="44" t="s">
        <v>194</v>
      </c>
      <c r="F441" s="44" t="s">
        <v>12</v>
      </c>
      <c r="G441" s="45">
        <v>119900</v>
      </c>
      <c r="H441" s="44">
        <v>11</v>
      </c>
      <c r="I441" s="45">
        <v>1318900</v>
      </c>
      <c r="J441" s="44" t="s">
        <v>195</v>
      </c>
      <c r="K441" s="44" t="str">
        <f>INDEX(CLEANED_MotorPH_Products_List_2!C:C,MATCH(MotorPHSales[[#This Row],[Product]],CLEANED_MotorPH_Products_List_2!$B:$B,0))</f>
        <v>Underbone</v>
      </c>
      <c r="L441" s="44" t="str">
        <f>INDEX(CLEANED_MotorPH_Products_List_2!E:E,MATCH(MotorPHSales[[#This Row],[Product]],CLEANED_MotorPH_Products_List_2!$B:$B,0))</f>
        <v>Single cylinder</v>
      </c>
      <c r="M441" s="44" t="str">
        <f>INDEX(CLEANED_MotorPH_Products_List_2!F:F,MATCH(MotorPHSales[[#This Row],[Product]],CLEANED_MotorPH_Products_List_2!$B:$B,0))</f>
        <v>liquid-cooled</v>
      </c>
      <c r="N441" s="44" t="str">
        <f>INDEX(CLEANED_MotorPH_Products_List_2!G:G,MATCH(MotorPHSales[[#This Row],[Product]],CLEANED_MotorPH_Products_List_2!$B:$B,0))</f>
        <v>150cc</v>
      </c>
      <c r="O441" s="44" t="str">
        <f>INDEX(CLEANED_MotorPH_Products_List_2!K:K,MATCH(MotorPHSales[[#This Row],[Product]],CLEANED_MotorPH_Products_List_2!B:B,0))</f>
        <v>Entry-level</v>
      </c>
      <c r="P441" s="45">
        <f>IF(MotorPHSales[[#This Row],[Segment]]="Entry-level",MotorPHSales[[#This Row],[UnitPrice]]/(1+30%),IF(MotorPHSales[[#This Row],[Segment]]="Mid-range",MotorPHSales[[#This Row],[UnitPrice]]/(1+35%),MotorPHSales[[#This Row],[UnitPrice]]/(1+40%)))*MotorPHSales[[#This Row],[Quantity]]</f>
        <v>1014538.4615384616</v>
      </c>
      <c r="Q441" s="44" t="str">
        <f>INDEX(CLEANED_MotorPH_Products_List_2!H:H,MATCH(MotorPHSales[[#This Row],[Product]],CLEANED_MotorPH_Products_List_2!$B:$B,0))</f>
        <v>6-speed</v>
      </c>
    </row>
    <row r="442" spans="1:17" ht="15.75" x14ac:dyDescent="0.3">
      <c r="A442" s="43">
        <v>45856</v>
      </c>
      <c r="B442" s="44" t="str">
        <f>TEXT(MotorPHSales[[#This Row],[Date]],"mmmm")</f>
        <v>July</v>
      </c>
      <c r="C442" s="44">
        <f>DAY(MotorPHSales[[#This Row],[Date]])</f>
        <v>18</v>
      </c>
      <c r="D442" s="44">
        <f>YEAR(MotorPHSales[[#This Row],[Date]])</f>
        <v>2025</v>
      </c>
      <c r="E442" s="44" t="s">
        <v>194</v>
      </c>
      <c r="F442" s="44" t="s">
        <v>80</v>
      </c>
      <c r="G442" s="45">
        <v>398000</v>
      </c>
      <c r="H442" s="44">
        <v>19</v>
      </c>
      <c r="I442" s="45">
        <v>7562000</v>
      </c>
      <c r="J442" s="44" t="s">
        <v>197</v>
      </c>
      <c r="K442" s="44" t="str">
        <f>INDEX(CLEANED_MotorPH_Products_List_2!C:C,MATCH(MotorPHSales[[#This Row],[Product]],CLEANED_MotorPH_Products_List_2!$B:$B,0))</f>
        <v>Scooter</v>
      </c>
      <c r="L442" s="44" t="str">
        <f>INDEX(CLEANED_MotorPH_Products_List_2!E:E,MATCH(MotorPHSales[[#This Row],[Product]],CLEANED_MotorPH_Products_List_2!$B:$B,0))</f>
        <v>Single cylinder</v>
      </c>
      <c r="M442" s="44" t="str">
        <f>INDEX(CLEANED_MotorPH_Products_List_2!F:F,MATCH(MotorPHSales[[#This Row],[Product]],CLEANED_MotorPH_Products_List_2!$B:$B,0))</f>
        <v>liquid-cooled</v>
      </c>
      <c r="N442" s="44" t="str">
        <f>INDEX(CLEANED_MotorPH_Products_List_2!G:G,MATCH(MotorPHSales[[#This Row],[Product]],CLEANED_MotorPH_Products_List_2!$B:$B,0))</f>
        <v>278cc</v>
      </c>
      <c r="O442" s="44" t="str">
        <f>INDEX(CLEANED_MotorPH_Products_List_2!K:K,MATCH(MotorPHSales[[#This Row],[Product]],CLEANED_MotorPH_Products_List_2!B:B,0))</f>
        <v>Mid-range</v>
      </c>
      <c r="P442" s="45">
        <f>IF(MotorPHSales[[#This Row],[Segment]]="Entry-level",MotorPHSales[[#This Row],[UnitPrice]]/(1+30%),IF(MotorPHSales[[#This Row],[Segment]]="Mid-range",MotorPHSales[[#This Row],[UnitPrice]]/(1+35%),MotorPHSales[[#This Row],[UnitPrice]]/(1+40%)))*MotorPHSales[[#This Row],[Quantity]]</f>
        <v>5601481.4814814804</v>
      </c>
      <c r="Q442" s="44" t="str">
        <f>INDEX(CLEANED_MotorPH_Products_List_2!H:H,MATCH(MotorPHSales[[#This Row],[Product]],CLEANED_MotorPH_Products_List_2!$B:$B,0))</f>
        <v>CVT</v>
      </c>
    </row>
    <row r="443" spans="1:17" ht="15.75" x14ac:dyDescent="0.3">
      <c r="A443" s="43">
        <v>45897</v>
      </c>
      <c r="B443" s="44" t="str">
        <f>TEXT(MotorPHSales[[#This Row],[Date]],"mmmm")</f>
        <v>August</v>
      </c>
      <c r="C443" s="44">
        <f>DAY(MotorPHSales[[#This Row],[Date]])</f>
        <v>28</v>
      </c>
      <c r="D443" s="44">
        <f>YEAR(MotorPHSales[[#This Row],[Date]])</f>
        <v>2025</v>
      </c>
      <c r="E443" s="44" t="s">
        <v>194</v>
      </c>
      <c r="F443" s="44" t="s">
        <v>63</v>
      </c>
      <c r="G443" s="45">
        <v>48000</v>
      </c>
      <c r="H443" s="44">
        <v>32</v>
      </c>
      <c r="I443" s="45">
        <v>1536000</v>
      </c>
      <c r="J443" s="44" t="s">
        <v>197</v>
      </c>
      <c r="K443" s="44" t="str">
        <f>INDEX(CLEANED_MotorPH_Products_List_2!C:C,MATCH(MotorPHSales[[#This Row],[Product]],CLEANED_MotorPH_Products_List_2!$B:$B,0))</f>
        <v>Commuter</v>
      </c>
      <c r="L443" s="44" t="str">
        <f>INDEX(CLEANED_MotorPH_Products_List_2!E:E,MATCH(MotorPHSales[[#This Row],[Product]],CLEANED_MotorPH_Products_List_2!$B:$B,0))</f>
        <v>Single cylinder</v>
      </c>
      <c r="M443" s="44" t="str">
        <f>INDEX(CLEANED_MotorPH_Products_List_2!F:F,MATCH(MotorPHSales[[#This Row],[Product]],CLEANED_MotorPH_Products_List_2!$B:$B,0))</f>
        <v>air-cooled</v>
      </c>
      <c r="N443" s="44" t="str">
        <f>INDEX(CLEANED_MotorPH_Products_List_2!G:G,MATCH(MotorPHSales[[#This Row],[Product]],CLEANED_MotorPH_Products_List_2!$B:$B,0))</f>
        <v>125cc</v>
      </c>
      <c r="O443" s="44" t="str">
        <f>INDEX(CLEANED_MotorPH_Products_List_2!K:K,MATCH(MotorPHSales[[#This Row],[Product]],CLEANED_MotorPH_Products_List_2!B:B,0))</f>
        <v>Entry-level</v>
      </c>
      <c r="P443" s="45">
        <f>IF(MotorPHSales[[#This Row],[Segment]]="Entry-level",MotorPHSales[[#This Row],[UnitPrice]]/(1+30%),IF(MotorPHSales[[#This Row],[Segment]]="Mid-range",MotorPHSales[[#This Row],[UnitPrice]]/(1+35%),MotorPHSales[[#This Row],[UnitPrice]]/(1+40%)))*MotorPHSales[[#This Row],[Quantity]]</f>
        <v>1181538.4615384615</v>
      </c>
      <c r="Q443" s="44" t="str">
        <f>INDEX(CLEANED_MotorPH_Products_List_2!H:H,MATCH(MotorPHSales[[#This Row],[Product]],CLEANED_MotorPH_Products_List_2!$B:$B,0))</f>
        <v>4-speed</v>
      </c>
    </row>
    <row r="444" spans="1:17" ht="15.75" x14ac:dyDescent="0.3">
      <c r="A444" s="43">
        <v>45809</v>
      </c>
      <c r="B444" s="44" t="str">
        <f>TEXT(MotorPHSales[[#This Row],[Date]],"mmmm")</f>
        <v>June</v>
      </c>
      <c r="C444" s="44">
        <f>DAY(MotorPHSales[[#This Row],[Date]])</f>
        <v>1</v>
      </c>
      <c r="D444" s="44">
        <f>YEAR(MotorPHSales[[#This Row],[Date]])</f>
        <v>2025</v>
      </c>
      <c r="E444" s="44" t="s">
        <v>194</v>
      </c>
      <c r="F444" s="44" t="s">
        <v>46</v>
      </c>
      <c r="G444" s="45">
        <v>124000</v>
      </c>
      <c r="H444" s="44">
        <v>38</v>
      </c>
      <c r="I444" s="45">
        <v>4712000</v>
      </c>
      <c r="J444" s="44" t="s">
        <v>195</v>
      </c>
      <c r="K444" s="44" t="str">
        <f>INDEX(CLEANED_MotorPH_Products_List_2!C:C,MATCH(MotorPHSales[[#This Row],[Product]],CLEANED_MotorPH_Products_List_2!$B:$B,0))</f>
        <v>Scooter</v>
      </c>
      <c r="L444" s="44" t="str">
        <f>INDEX(CLEANED_MotorPH_Products_List_2!E:E,MATCH(MotorPHSales[[#This Row],[Product]],CLEANED_MotorPH_Products_List_2!$B:$B,0))</f>
        <v>Single cylinder</v>
      </c>
      <c r="M444" s="44" t="str">
        <f>INDEX(CLEANED_MotorPH_Products_List_2!F:F,MATCH(MotorPHSales[[#This Row],[Product]],CLEANED_MotorPH_Products_List_2!$B:$B,0))</f>
        <v>liquid-cooled</v>
      </c>
      <c r="N444" s="44" t="str">
        <f>INDEX(CLEANED_MotorPH_Products_List_2!G:G,MATCH(MotorPHSales[[#This Row],[Product]],CLEANED_MotorPH_Products_List_2!$B:$B,0))</f>
        <v>155cc</v>
      </c>
      <c r="O444" s="44" t="str">
        <f>INDEX(CLEANED_MotorPH_Products_List_2!K:K,MATCH(MotorPHSales[[#This Row],[Product]],CLEANED_MotorPH_Products_List_2!B:B,0))</f>
        <v>Entry-level</v>
      </c>
      <c r="P444" s="45">
        <f>IF(MotorPHSales[[#This Row],[Segment]]="Entry-level",MotorPHSales[[#This Row],[UnitPrice]]/(1+30%),IF(MotorPHSales[[#This Row],[Segment]]="Mid-range",MotorPHSales[[#This Row],[UnitPrice]]/(1+35%),MotorPHSales[[#This Row],[UnitPrice]]/(1+40%)))*MotorPHSales[[#This Row],[Quantity]]</f>
        <v>3624615.384615384</v>
      </c>
      <c r="Q444" s="44" t="str">
        <f>INDEX(CLEANED_MotorPH_Products_List_2!H:H,MATCH(MotorPHSales[[#This Row],[Product]],CLEANED_MotorPH_Products_List_2!$B:$B,0))</f>
        <v>CVT</v>
      </c>
    </row>
    <row r="445" spans="1:17" ht="15.75" x14ac:dyDescent="0.3">
      <c r="A445" s="43">
        <v>45824</v>
      </c>
      <c r="B445" s="44" t="str">
        <f>TEXT(MotorPHSales[[#This Row],[Date]],"mmmm")</f>
        <v>June</v>
      </c>
      <c r="C445" s="44">
        <f>DAY(MotorPHSales[[#This Row],[Date]])</f>
        <v>16</v>
      </c>
      <c r="D445" s="44">
        <f>YEAR(MotorPHSales[[#This Row],[Date]])</f>
        <v>2025</v>
      </c>
      <c r="E445" s="44" t="s">
        <v>194</v>
      </c>
      <c r="F445" s="44" t="s">
        <v>63</v>
      </c>
      <c r="G445" s="45">
        <v>48000</v>
      </c>
      <c r="H445" s="44">
        <v>14</v>
      </c>
      <c r="I445" s="45">
        <v>672000</v>
      </c>
      <c r="J445" s="44" t="s">
        <v>195</v>
      </c>
      <c r="K445" s="44" t="str">
        <f>INDEX(CLEANED_MotorPH_Products_List_2!C:C,MATCH(MotorPHSales[[#This Row],[Product]],CLEANED_MotorPH_Products_List_2!$B:$B,0))</f>
        <v>Commuter</v>
      </c>
      <c r="L445" s="44" t="str">
        <f>INDEX(CLEANED_MotorPH_Products_List_2!E:E,MATCH(MotorPHSales[[#This Row],[Product]],CLEANED_MotorPH_Products_List_2!$B:$B,0))</f>
        <v>Single cylinder</v>
      </c>
      <c r="M445" s="44" t="str">
        <f>INDEX(CLEANED_MotorPH_Products_List_2!F:F,MATCH(MotorPHSales[[#This Row],[Product]],CLEANED_MotorPH_Products_List_2!$B:$B,0))</f>
        <v>air-cooled</v>
      </c>
      <c r="N445" s="44" t="str">
        <f>INDEX(CLEANED_MotorPH_Products_List_2!G:G,MATCH(MotorPHSales[[#This Row],[Product]],CLEANED_MotorPH_Products_List_2!$B:$B,0))</f>
        <v>125cc</v>
      </c>
      <c r="O445" s="44" t="str">
        <f>INDEX(CLEANED_MotorPH_Products_List_2!K:K,MATCH(MotorPHSales[[#This Row],[Product]],CLEANED_MotorPH_Products_List_2!B:B,0))</f>
        <v>Entry-level</v>
      </c>
      <c r="P445" s="45">
        <f>IF(MotorPHSales[[#This Row],[Segment]]="Entry-level",MotorPHSales[[#This Row],[UnitPrice]]/(1+30%),IF(MotorPHSales[[#This Row],[Segment]]="Mid-range",MotorPHSales[[#This Row],[UnitPrice]]/(1+35%),MotorPHSales[[#This Row],[UnitPrice]]/(1+40%)))*MotorPHSales[[#This Row],[Quantity]]</f>
        <v>516923.07692307688</v>
      </c>
      <c r="Q445" s="44" t="str">
        <f>INDEX(CLEANED_MotorPH_Products_List_2!H:H,MATCH(MotorPHSales[[#This Row],[Product]],CLEANED_MotorPH_Products_List_2!$B:$B,0))</f>
        <v>4-speed</v>
      </c>
    </row>
    <row r="446" spans="1:17" ht="15.75" x14ac:dyDescent="0.3">
      <c r="A446" s="43">
        <v>45869</v>
      </c>
      <c r="B446" s="44" t="str">
        <f>TEXT(MotorPHSales[[#This Row],[Date]],"mmmm")</f>
        <v>July</v>
      </c>
      <c r="C446" s="44">
        <f>DAY(MotorPHSales[[#This Row],[Date]])</f>
        <v>31</v>
      </c>
      <c r="D446" s="44">
        <f>YEAR(MotorPHSales[[#This Row],[Date]])</f>
        <v>2025</v>
      </c>
      <c r="E446" s="44" t="s">
        <v>196</v>
      </c>
      <c r="F446" s="44" t="s">
        <v>28</v>
      </c>
      <c r="G446" s="45">
        <v>164900</v>
      </c>
      <c r="H446" s="44">
        <v>2</v>
      </c>
      <c r="I446" s="45">
        <v>329800</v>
      </c>
      <c r="J446" s="44" t="s">
        <v>197</v>
      </c>
      <c r="K446" s="44" t="str">
        <f>INDEX(CLEANED_MotorPH_Products_List_2!C:C,MATCH(MotorPHSales[[#This Row],[Product]],CLEANED_MotorPH_Products_List_2!$B:$B,0))</f>
        <v>Scooter</v>
      </c>
      <c r="L446" s="44" t="str">
        <f>INDEX(CLEANED_MotorPH_Products_List_2!E:E,MATCH(MotorPHSales[[#This Row],[Product]],CLEANED_MotorPH_Products_List_2!$B:$B,0))</f>
        <v>Single cylinder</v>
      </c>
      <c r="M446" s="44" t="str">
        <f>INDEX(CLEANED_MotorPH_Products_List_2!F:F,MATCH(MotorPHSales[[#This Row],[Product]],CLEANED_MotorPH_Products_List_2!$B:$B,0))</f>
        <v>liquid-cooled</v>
      </c>
      <c r="N446" s="44" t="str">
        <f>INDEX(CLEANED_MotorPH_Products_List_2!G:G,MATCH(MotorPHSales[[#This Row],[Product]],CLEANED_MotorPH_Products_List_2!$B:$B,0))</f>
        <v>157cc</v>
      </c>
      <c r="O446" s="44" t="str">
        <f>INDEX(CLEANED_MotorPH_Products_List_2!K:K,MATCH(MotorPHSales[[#This Row],[Product]],CLEANED_MotorPH_Products_List_2!B:B,0))</f>
        <v>Entry-level</v>
      </c>
      <c r="P446" s="45">
        <f>IF(MotorPHSales[[#This Row],[Segment]]="Entry-level",MotorPHSales[[#This Row],[UnitPrice]]/(1+30%),IF(MotorPHSales[[#This Row],[Segment]]="Mid-range",MotorPHSales[[#This Row],[UnitPrice]]/(1+35%),MotorPHSales[[#This Row],[UnitPrice]]/(1+40%)))*MotorPHSales[[#This Row],[Quantity]]</f>
        <v>253692.30769230769</v>
      </c>
      <c r="Q446" s="44" t="str">
        <f>INDEX(CLEANED_MotorPH_Products_List_2!H:H,MATCH(MotorPHSales[[#This Row],[Product]],CLEANED_MotorPH_Products_List_2!$B:$B,0))</f>
        <v>CVT</v>
      </c>
    </row>
    <row r="447" spans="1:17" ht="15.75" x14ac:dyDescent="0.3">
      <c r="A447" s="43">
        <v>45872</v>
      </c>
      <c r="B447" s="44" t="str">
        <f>TEXT(MotorPHSales[[#This Row],[Date]],"mmmm")</f>
        <v>August</v>
      </c>
      <c r="C447" s="44">
        <f>DAY(MotorPHSales[[#This Row],[Date]])</f>
        <v>3</v>
      </c>
      <c r="D447" s="44">
        <f>YEAR(MotorPHSales[[#This Row],[Date]])</f>
        <v>2025</v>
      </c>
      <c r="E447" s="44" t="s">
        <v>196</v>
      </c>
      <c r="F447" s="44" t="s">
        <v>10</v>
      </c>
      <c r="G447" s="45">
        <v>340000</v>
      </c>
      <c r="H447" s="44">
        <v>28</v>
      </c>
      <c r="I447" s="45">
        <v>9520000</v>
      </c>
      <c r="J447" s="44" t="s">
        <v>195</v>
      </c>
      <c r="K447" s="44" t="str">
        <f>INDEX(CLEANED_MotorPH_Products_List_2!C:C,MATCH(MotorPHSales[[#This Row],[Product]],CLEANED_MotorPH_Products_List_2!$B:$B,0))</f>
        <v>Sport</v>
      </c>
      <c r="L447" s="44" t="str">
        <f>INDEX(CLEANED_MotorPH_Products_List_2!E:E,MATCH(MotorPHSales[[#This Row],[Product]],CLEANED_MotorPH_Products_List_2!$B:$B,0))</f>
        <v>Parallel-twin</v>
      </c>
      <c r="M447" s="44" t="str">
        <f>INDEX(CLEANED_MotorPH_Products_List_2!F:F,MATCH(MotorPHSales[[#This Row],[Product]],CLEANED_MotorPH_Products_List_2!$B:$B,0))</f>
        <v>liquid-cooled</v>
      </c>
      <c r="N447" s="44" t="str">
        <f>INDEX(CLEANED_MotorPH_Products_List_2!G:G,MATCH(MotorPHSales[[#This Row],[Product]],CLEANED_MotorPH_Products_List_2!$B:$B,0))</f>
        <v>399cc</v>
      </c>
      <c r="O447" s="44" t="str">
        <f>INDEX(CLEANED_MotorPH_Products_List_2!K:K,MATCH(MotorPHSales[[#This Row],[Product]],CLEANED_MotorPH_Products_List_2!B:B,0))</f>
        <v>Mid-range</v>
      </c>
      <c r="P447" s="45">
        <f>IF(MotorPHSales[[#This Row],[Segment]]="Entry-level",MotorPHSales[[#This Row],[UnitPrice]]/(1+30%),IF(MotorPHSales[[#This Row],[Segment]]="Mid-range",MotorPHSales[[#This Row],[UnitPrice]]/(1+35%),MotorPHSales[[#This Row],[UnitPrice]]/(1+40%)))*MotorPHSales[[#This Row],[Quantity]]</f>
        <v>7051851.8518518507</v>
      </c>
      <c r="Q447" s="44" t="str">
        <f>INDEX(CLEANED_MotorPH_Products_List_2!H:H,MATCH(MotorPHSales[[#This Row],[Product]],CLEANED_MotorPH_Products_List_2!$B:$B,0))</f>
        <v>6-speed</v>
      </c>
    </row>
    <row r="448" spans="1:17" ht="15.75" x14ac:dyDescent="0.3">
      <c r="A448" s="43">
        <v>45871</v>
      </c>
      <c r="B448" s="44" t="str">
        <f>TEXT(MotorPHSales[[#This Row],[Date]],"mmmm")</f>
        <v>August</v>
      </c>
      <c r="C448" s="44">
        <f>DAY(MotorPHSales[[#This Row],[Date]])</f>
        <v>2</v>
      </c>
      <c r="D448" s="44">
        <f>YEAR(MotorPHSales[[#This Row],[Date]])</f>
        <v>2025</v>
      </c>
      <c r="E448" s="44" t="s">
        <v>194</v>
      </c>
      <c r="F448" s="44" t="s">
        <v>57</v>
      </c>
      <c r="G448" s="45">
        <v>125900</v>
      </c>
      <c r="H448" s="44">
        <v>20</v>
      </c>
      <c r="I448" s="45">
        <v>2518000</v>
      </c>
      <c r="J448" s="44" t="s">
        <v>197</v>
      </c>
      <c r="K448" s="44" t="str">
        <f>INDEX(CLEANED_MotorPH_Products_List_2!C:C,MATCH(MotorPHSales[[#This Row],[Product]],CLEANED_MotorPH_Products_List_2!$B:$B,0))</f>
        <v>Underbone</v>
      </c>
      <c r="L448" s="44" t="str">
        <f>INDEX(CLEANED_MotorPH_Products_List_2!E:E,MATCH(MotorPHSales[[#This Row],[Product]],CLEANED_MotorPH_Products_List_2!$B:$B,0))</f>
        <v>Single cylinder</v>
      </c>
      <c r="M448" s="44" t="str">
        <f>INDEX(CLEANED_MotorPH_Products_List_2!F:F,MATCH(MotorPHSales[[#This Row],[Product]],CLEANED_MotorPH_Products_List_2!$B:$B,0))</f>
        <v>liquid-cooled</v>
      </c>
      <c r="N448" s="44" t="str">
        <f>INDEX(CLEANED_MotorPH_Products_List_2!G:G,MATCH(MotorPHSales[[#This Row],[Product]],CLEANED_MotorPH_Products_List_2!$B:$B,0))</f>
        <v>155cc</v>
      </c>
      <c r="O448" s="44" t="str">
        <f>INDEX(CLEANED_MotorPH_Products_List_2!K:K,MATCH(MotorPHSales[[#This Row],[Product]],CLEANED_MotorPH_Products_List_2!B:B,0))</f>
        <v>Entry-level</v>
      </c>
      <c r="P448" s="45">
        <f>IF(MotorPHSales[[#This Row],[Segment]]="Entry-level",MotorPHSales[[#This Row],[UnitPrice]]/(1+30%),IF(MotorPHSales[[#This Row],[Segment]]="Mid-range",MotorPHSales[[#This Row],[UnitPrice]]/(1+35%),MotorPHSales[[#This Row],[UnitPrice]]/(1+40%)))*MotorPHSales[[#This Row],[Quantity]]</f>
        <v>1936923.076923077</v>
      </c>
      <c r="Q448" s="44" t="str">
        <f>INDEX(CLEANED_MotorPH_Products_List_2!H:H,MATCH(MotorPHSales[[#This Row],[Product]],CLEANED_MotorPH_Products_List_2!$B:$B,0))</f>
        <v>6-speed</v>
      </c>
    </row>
    <row r="449" spans="1:17" ht="15.75" x14ac:dyDescent="0.3">
      <c r="A449" s="43">
        <v>45877</v>
      </c>
      <c r="B449" s="44" t="str">
        <f>TEXT(MotorPHSales[[#This Row],[Date]],"mmmm")</f>
        <v>August</v>
      </c>
      <c r="C449" s="44">
        <f>DAY(MotorPHSales[[#This Row],[Date]])</f>
        <v>8</v>
      </c>
      <c r="D449" s="44">
        <f>YEAR(MotorPHSales[[#This Row],[Date]])</f>
        <v>2025</v>
      </c>
      <c r="E449" s="44" t="s">
        <v>194</v>
      </c>
      <c r="F449" s="44" t="s">
        <v>92</v>
      </c>
      <c r="G449" s="45">
        <v>289000</v>
      </c>
      <c r="H449" s="44">
        <v>2</v>
      </c>
      <c r="I449" s="45">
        <v>578000</v>
      </c>
      <c r="J449" s="44" t="s">
        <v>195</v>
      </c>
      <c r="K449" s="44" t="str">
        <f>INDEX(CLEANED_MotorPH_Products_List_2!C:C,MATCH(MotorPHSales[[#This Row],[Product]],CLEANED_MotorPH_Products_List_2!$B:$B,0))</f>
        <v>Scooter</v>
      </c>
      <c r="L449" s="44" t="str">
        <f>INDEX(CLEANED_MotorPH_Products_List_2!E:E,MATCH(MotorPHSales[[#This Row],[Product]],CLEANED_MotorPH_Products_List_2!$B:$B,0))</f>
        <v>Single cylinder</v>
      </c>
      <c r="M449" s="44" t="str">
        <f>INDEX(CLEANED_MotorPH_Products_List_2!F:F,MATCH(MotorPHSales[[#This Row],[Product]],CLEANED_MotorPH_Products_List_2!$B:$B,0))</f>
        <v>liquid-cooled</v>
      </c>
      <c r="N449" s="44" t="str">
        <f>INDEX(CLEANED_MotorPH_Products_List_2!G:G,MATCH(MotorPHSales[[#This Row],[Product]],CLEANED_MotorPH_Products_List_2!$B:$B,0))</f>
        <v>181cc</v>
      </c>
      <c r="O449" s="44" t="str">
        <f>INDEX(CLEANED_MotorPH_Products_List_2!K:K,MATCH(MotorPHSales[[#This Row],[Product]],CLEANED_MotorPH_Products_List_2!B:B,0))</f>
        <v>Entry-level</v>
      </c>
      <c r="P449" s="45">
        <f>IF(MotorPHSales[[#This Row],[Segment]]="Entry-level",MotorPHSales[[#This Row],[UnitPrice]]/(1+30%),IF(MotorPHSales[[#This Row],[Segment]]="Mid-range",MotorPHSales[[#This Row],[UnitPrice]]/(1+35%),MotorPHSales[[#This Row],[UnitPrice]]/(1+40%)))*MotorPHSales[[#This Row],[Quantity]]</f>
        <v>444615.38461538462</v>
      </c>
      <c r="Q449" s="44" t="str">
        <f>INDEX(CLEANED_MotorPH_Products_List_2!H:H,MATCH(MotorPHSales[[#This Row],[Product]],CLEANED_MotorPH_Products_List_2!$B:$B,0))</f>
        <v>CVT</v>
      </c>
    </row>
    <row r="450" spans="1:17" ht="15.75" x14ac:dyDescent="0.3">
      <c r="A450" s="43">
        <v>45830</v>
      </c>
      <c r="B450" s="44" t="str">
        <f>TEXT(MotorPHSales[[#This Row],[Date]],"mmmm")</f>
        <v>June</v>
      </c>
      <c r="C450" s="44">
        <f>DAY(MotorPHSales[[#This Row],[Date]])</f>
        <v>22</v>
      </c>
      <c r="D450" s="44">
        <f>YEAR(MotorPHSales[[#This Row],[Date]])</f>
        <v>2025</v>
      </c>
      <c r="E450" s="44" t="s">
        <v>194</v>
      </c>
      <c r="F450" s="44" t="s">
        <v>88</v>
      </c>
      <c r="G450" s="45">
        <v>599000</v>
      </c>
      <c r="H450" s="44">
        <v>49</v>
      </c>
      <c r="I450" s="45">
        <v>29351000</v>
      </c>
      <c r="J450" s="44" t="s">
        <v>197</v>
      </c>
      <c r="K450" s="44" t="str">
        <f>INDEX(CLEANED_MotorPH_Products_List_2!C:C,MATCH(MotorPHSales[[#This Row],[Product]],CLEANED_MotorPH_Products_List_2!$B:$B,0))</f>
        <v>Naked bike</v>
      </c>
      <c r="L450" s="44" t="str">
        <f>INDEX(CLEANED_MotorPH_Products_List_2!E:E,MATCH(MotorPHSales[[#This Row],[Product]],CLEANED_MotorPH_Products_List_2!$B:$B,0))</f>
        <v>Parallel-twin</v>
      </c>
      <c r="M450" s="44" t="str">
        <f>INDEX(CLEANED_MotorPH_Products_List_2!F:F,MATCH(MotorPHSales[[#This Row],[Product]],CLEANED_MotorPH_Products_List_2!$B:$B,0))</f>
        <v>liquid-cooled</v>
      </c>
      <c r="N450" s="44" t="str">
        <f>INDEX(CLEANED_MotorPH_Products_List_2!G:G,MATCH(MotorPHSales[[#This Row],[Product]],CLEANED_MotorPH_Products_List_2!$B:$B,0))</f>
        <v>799cc</v>
      </c>
      <c r="O450" s="44" t="str">
        <f>INDEX(CLEANED_MotorPH_Products_List_2!K:K,MATCH(MotorPHSales[[#This Row],[Product]],CLEANED_MotorPH_Products_List_2!B:B,0))</f>
        <v>Premium</v>
      </c>
      <c r="P450" s="45">
        <f>IF(MotorPHSales[[#This Row],[Segment]]="Entry-level",MotorPHSales[[#This Row],[UnitPrice]]/(1+30%),IF(MotorPHSales[[#This Row],[Segment]]="Mid-range",MotorPHSales[[#This Row],[UnitPrice]]/(1+35%),MotorPHSales[[#This Row],[UnitPrice]]/(1+40%)))*MotorPHSales[[#This Row],[Quantity]]</f>
        <v>20965000.000000004</v>
      </c>
      <c r="Q450" s="44" t="str">
        <f>INDEX(CLEANED_MotorPH_Products_List_2!H:H,MATCH(MotorPHSales[[#This Row],[Product]],CLEANED_MotorPH_Products_List_2!$B:$B,0))</f>
        <v>6-speed</v>
      </c>
    </row>
    <row r="451" spans="1:17" ht="15.75" x14ac:dyDescent="0.3">
      <c r="A451" s="43">
        <v>45875</v>
      </c>
      <c r="B451" s="44" t="str">
        <f>TEXT(MotorPHSales[[#This Row],[Date]],"mmmm")</f>
        <v>August</v>
      </c>
      <c r="C451" s="44">
        <f>DAY(MotorPHSales[[#This Row],[Date]])</f>
        <v>6</v>
      </c>
      <c r="D451" s="44">
        <f>YEAR(MotorPHSales[[#This Row],[Date]])</f>
        <v>2025</v>
      </c>
      <c r="E451" s="44" t="s">
        <v>194</v>
      </c>
      <c r="F451" s="44" t="s">
        <v>70</v>
      </c>
      <c r="G451" s="45">
        <v>219000</v>
      </c>
      <c r="H451" s="44">
        <v>6</v>
      </c>
      <c r="I451" s="45">
        <v>1314000</v>
      </c>
      <c r="J451" s="44" t="s">
        <v>198</v>
      </c>
      <c r="K451" s="44" t="str">
        <f>INDEX(CLEANED_MotorPH_Products_List_2!C:C,MATCH(MotorPHSales[[#This Row],[Product]],CLEANED_MotorPH_Products_List_2!$B:$B,0))</f>
        <v>Scooter</v>
      </c>
      <c r="L451" s="44" t="str">
        <f>INDEX(CLEANED_MotorPH_Products_List_2!E:E,MATCH(MotorPHSales[[#This Row],[Product]],CLEANED_MotorPH_Products_List_2!$B:$B,0))</f>
        <v>Single cylinder</v>
      </c>
      <c r="M451" s="44" t="str">
        <f>INDEX(CLEANED_MotorPH_Products_List_2!F:F,MATCH(MotorPHSales[[#This Row],[Product]],CLEANED_MotorPH_Products_List_2!$B:$B,0))</f>
        <v>liquid-cooled</v>
      </c>
      <c r="N451" s="44" t="str">
        <f>INDEX(CLEANED_MotorPH_Products_List_2!G:G,MATCH(MotorPHSales[[#This Row],[Product]],CLEANED_MotorPH_Products_List_2!$B:$B,0))</f>
        <v>174cc</v>
      </c>
      <c r="O451" s="44" t="str">
        <f>INDEX(CLEANED_MotorPH_Products_List_2!K:K,MATCH(MotorPHSales[[#This Row],[Product]],CLEANED_MotorPH_Products_List_2!B:B,0))</f>
        <v>Entry-level</v>
      </c>
      <c r="P451" s="45">
        <f>IF(MotorPHSales[[#This Row],[Segment]]="Entry-level",MotorPHSales[[#This Row],[UnitPrice]]/(1+30%),IF(MotorPHSales[[#This Row],[Segment]]="Mid-range",MotorPHSales[[#This Row],[UnitPrice]]/(1+35%),MotorPHSales[[#This Row],[UnitPrice]]/(1+40%)))*MotorPHSales[[#This Row],[Quantity]]</f>
        <v>1010769.2307692308</v>
      </c>
      <c r="Q451" s="44" t="str">
        <f>INDEX(CLEANED_MotorPH_Products_List_2!H:H,MATCH(MotorPHSales[[#This Row],[Product]],CLEANED_MotorPH_Products_List_2!$B:$B,0))</f>
        <v>CVT</v>
      </c>
    </row>
    <row r="452" spans="1:17" ht="15.75" x14ac:dyDescent="0.3">
      <c r="A452" s="43">
        <v>45884</v>
      </c>
      <c r="B452" s="44" t="str">
        <f>TEXT(MotorPHSales[[#This Row],[Date]],"mmmm")</f>
        <v>August</v>
      </c>
      <c r="C452" s="44">
        <f>DAY(MotorPHSales[[#This Row],[Date]])</f>
        <v>15</v>
      </c>
      <c r="D452" s="44">
        <f>YEAR(MotorPHSales[[#This Row],[Date]])</f>
        <v>2025</v>
      </c>
      <c r="E452" s="44" t="s">
        <v>194</v>
      </c>
      <c r="F452" s="44" t="s">
        <v>6</v>
      </c>
      <c r="G452" s="45">
        <v>389000</v>
      </c>
      <c r="H452" s="44">
        <v>45</v>
      </c>
      <c r="I452" s="45">
        <v>17505000</v>
      </c>
      <c r="J452" s="44" t="s">
        <v>197</v>
      </c>
      <c r="K452" s="44" t="str">
        <f>INDEX(CLEANED_MotorPH_Products_List_2!C:C,MATCH(MotorPHSales[[#This Row],[Product]],CLEANED_MotorPH_Products_List_2!$B:$B,0))</f>
        <v>Sport</v>
      </c>
      <c r="L452" s="44" t="str">
        <f>INDEX(CLEANED_MotorPH_Products_List_2!E:E,MATCH(MotorPHSales[[#This Row],[Product]],CLEANED_MotorPH_Products_List_2!$B:$B,0))</f>
        <v>Parallel-twin</v>
      </c>
      <c r="M452" s="44" t="str">
        <f>INDEX(CLEANED_MotorPH_Products_List_2!F:F,MATCH(MotorPHSales[[#This Row],[Product]],CLEANED_MotorPH_Products_List_2!$B:$B,0))</f>
        <v>liquid-cooled</v>
      </c>
      <c r="N452" s="44" t="str">
        <f>INDEX(CLEANED_MotorPH_Products_List_2!G:G,MATCH(MotorPHSales[[#This Row],[Product]],CLEANED_MotorPH_Products_List_2!$B:$B,0))</f>
        <v>471cc</v>
      </c>
      <c r="O452" s="44" t="str">
        <f>INDEX(CLEANED_MotorPH_Products_List_2!K:K,MATCH(MotorPHSales[[#This Row],[Product]],CLEANED_MotorPH_Products_List_2!B:B,0))</f>
        <v>Mid-range</v>
      </c>
      <c r="P452" s="45">
        <f>IF(MotorPHSales[[#This Row],[Segment]]="Entry-level",MotorPHSales[[#This Row],[UnitPrice]]/(1+30%),IF(MotorPHSales[[#This Row],[Segment]]="Mid-range",MotorPHSales[[#This Row],[UnitPrice]]/(1+35%),MotorPHSales[[#This Row],[UnitPrice]]/(1+40%)))*MotorPHSales[[#This Row],[Quantity]]</f>
        <v>12966666.666666666</v>
      </c>
      <c r="Q452" s="44" t="str">
        <f>INDEX(CLEANED_MotorPH_Products_List_2!H:H,MATCH(MotorPHSales[[#This Row],[Product]],CLEANED_MotorPH_Products_List_2!$B:$B,0))</f>
        <v>6-speed</v>
      </c>
    </row>
    <row r="453" spans="1:17" ht="15.75" x14ac:dyDescent="0.3">
      <c r="A453" s="43">
        <v>45834</v>
      </c>
      <c r="B453" s="44" t="str">
        <f>TEXT(MotorPHSales[[#This Row],[Date]],"mmmm")</f>
        <v>June</v>
      </c>
      <c r="C453" s="44">
        <f>DAY(MotorPHSales[[#This Row],[Date]])</f>
        <v>26</v>
      </c>
      <c r="D453" s="44">
        <f>YEAR(MotorPHSales[[#This Row],[Date]])</f>
        <v>2025</v>
      </c>
      <c r="E453" s="44" t="s">
        <v>196</v>
      </c>
      <c r="F453" s="44" t="s">
        <v>78</v>
      </c>
      <c r="G453" s="45">
        <v>99900</v>
      </c>
      <c r="H453" s="44">
        <v>16</v>
      </c>
      <c r="I453" s="45">
        <v>1598400</v>
      </c>
      <c r="J453" s="44" t="s">
        <v>195</v>
      </c>
      <c r="K453" s="44" t="str">
        <f>INDEX(CLEANED_MotorPH_Products_List_2!C:C,MATCH(MotorPHSales[[#This Row],[Product]],CLEANED_MotorPH_Products_List_2!$B:$B,0))</f>
        <v>Street</v>
      </c>
      <c r="L453" s="44" t="str">
        <f>INDEX(CLEANED_MotorPH_Products_List_2!E:E,MATCH(MotorPHSales[[#This Row],[Product]],CLEANED_MotorPH_Products_List_2!$B:$B,0))</f>
        <v>Single cylinder</v>
      </c>
      <c r="M453" s="44" t="str">
        <f>INDEX(CLEANED_MotorPH_Products_List_2!F:F,MATCH(MotorPHSales[[#This Row],[Product]],CLEANED_MotorPH_Products_List_2!$B:$B,0))</f>
        <v>air-cooled</v>
      </c>
      <c r="N453" s="44" t="str">
        <f>INDEX(CLEANED_MotorPH_Products_List_2!G:G,MATCH(MotorPHSales[[#This Row],[Product]],CLEANED_MotorPH_Products_List_2!$B:$B,0))</f>
        <v>149cc</v>
      </c>
      <c r="O453" s="44" t="str">
        <f>INDEX(CLEANED_MotorPH_Products_List_2!K:K,MATCH(MotorPHSales[[#This Row],[Product]],CLEANED_MotorPH_Products_List_2!B:B,0))</f>
        <v>Entry-level</v>
      </c>
      <c r="P453" s="45">
        <f>IF(MotorPHSales[[#This Row],[Segment]]="Entry-level",MotorPHSales[[#This Row],[UnitPrice]]/(1+30%),IF(MotorPHSales[[#This Row],[Segment]]="Mid-range",MotorPHSales[[#This Row],[UnitPrice]]/(1+35%),MotorPHSales[[#This Row],[UnitPrice]]/(1+40%)))*MotorPHSales[[#This Row],[Quantity]]</f>
        <v>1229538.4615384615</v>
      </c>
      <c r="Q453" s="44" t="str">
        <f>INDEX(CLEANED_MotorPH_Products_List_2!H:H,MATCH(MotorPHSales[[#This Row],[Product]],CLEANED_MotorPH_Products_List_2!$B:$B,0))</f>
        <v>5-speed</v>
      </c>
    </row>
    <row r="454" spans="1:17" ht="15.75" x14ac:dyDescent="0.3">
      <c r="A454" s="43">
        <v>45824</v>
      </c>
      <c r="B454" s="44" t="str">
        <f>TEXT(MotorPHSales[[#This Row],[Date]],"mmmm")</f>
        <v>June</v>
      </c>
      <c r="C454" s="44">
        <f>DAY(MotorPHSales[[#This Row],[Date]])</f>
        <v>16</v>
      </c>
      <c r="D454" s="44">
        <f>YEAR(MotorPHSales[[#This Row],[Date]])</f>
        <v>2025</v>
      </c>
      <c r="E454" s="44" t="s">
        <v>194</v>
      </c>
      <c r="F454" s="44" t="s">
        <v>90</v>
      </c>
      <c r="G454" s="45">
        <v>165000</v>
      </c>
      <c r="H454" s="44">
        <v>13</v>
      </c>
      <c r="I454" s="45">
        <v>2145000</v>
      </c>
      <c r="J454" s="44" t="s">
        <v>197</v>
      </c>
      <c r="K454" s="44" t="str">
        <f>INDEX(CLEANED_MotorPH_Products_List_2!C:C,MATCH(MotorPHSales[[#This Row],[Product]],CLEANED_MotorPH_Products_List_2!$B:$B,0))</f>
        <v>Sport</v>
      </c>
      <c r="L454" s="44" t="str">
        <f>INDEX(CLEANED_MotorPH_Products_List_2!E:E,MATCH(MotorPHSales[[#This Row],[Product]],CLEANED_MotorPH_Products_List_2!$B:$B,0))</f>
        <v>Single cylinder</v>
      </c>
      <c r="M454" s="44" t="str">
        <f>INDEX(CLEANED_MotorPH_Products_List_2!F:F,MATCH(MotorPHSales[[#This Row],[Product]],CLEANED_MotorPH_Products_List_2!$B:$B,0))</f>
        <v>liquid-cooled</v>
      </c>
      <c r="N454" s="44" t="str">
        <f>INDEX(CLEANED_MotorPH_Products_List_2!G:G,MATCH(MotorPHSales[[#This Row],[Product]],CLEANED_MotorPH_Products_List_2!$B:$B,0))</f>
        <v>292cc</v>
      </c>
      <c r="O454" s="44" t="str">
        <f>INDEX(CLEANED_MotorPH_Products_List_2!K:K,MATCH(MotorPHSales[[#This Row],[Product]],CLEANED_MotorPH_Products_List_2!B:B,0))</f>
        <v>Mid-range</v>
      </c>
      <c r="P454" s="45">
        <f>IF(MotorPHSales[[#This Row],[Segment]]="Entry-level",MotorPHSales[[#This Row],[UnitPrice]]/(1+30%),IF(MotorPHSales[[#This Row],[Segment]]="Mid-range",MotorPHSales[[#This Row],[UnitPrice]]/(1+35%),MotorPHSales[[#This Row],[UnitPrice]]/(1+40%)))*MotorPHSales[[#This Row],[Quantity]]</f>
        <v>1588888.8888888888</v>
      </c>
      <c r="Q454" s="44" t="str">
        <f>INDEX(CLEANED_MotorPH_Products_List_2!H:H,MATCH(MotorPHSales[[#This Row],[Product]],CLEANED_MotorPH_Products_List_2!$B:$B,0))</f>
        <v>6-speed</v>
      </c>
    </row>
    <row r="455" spans="1:17" ht="15.75" x14ac:dyDescent="0.3">
      <c r="A455" s="43">
        <v>45859</v>
      </c>
      <c r="B455" s="44" t="str">
        <f>TEXT(MotorPHSales[[#This Row],[Date]],"mmmm")</f>
        <v>July</v>
      </c>
      <c r="C455" s="44">
        <f>DAY(MotorPHSales[[#This Row],[Date]])</f>
        <v>21</v>
      </c>
      <c r="D455" s="44">
        <f>YEAR(MotorPHSales[[#This Row],[Date]])</f>
        <v>2025</v>
      </c>
      <c r="E455" s="44" t="s">
        <v>194</v>
      </c>
      <c r="F455" s="44" t="s">
        <v>30</v>
      </c>
      <c r="G455" s="45">
        <v>79900</v>
      </c>
      <c r="H455" s="44">
        <v>38</v>
      </c>
      <c r="I455" s="45">
        <v>3036200</v>
      </c>
      <c r="J455" s="44" t="s">
        <v>195</v>
      </c>
      <c r="K455" s="44" t="str">
        <f>INDEX(CLEANED_MotorPH_Products_List_2!C:C,MATCH(MotorPHSales[[#This Row],[Product]],CLEANED_MotorPH_Products_List_2!$B:$B,0))</f>
        <v>Scooter</v>
      </c>
      <c r="L455" s="44" t="str">
        <f>INDEX(CLEANED_MotorPH_Products_List_2!E:E,MATCH(MotorPHSales[[#This Row],[Product]],CLEANED_MotorPH_Products_List_2!$B:$B,0))</f>
        <v>Single cylinder</v>
      </c>
      <c r="M455" s="44" t="str">
        <f>INDEX(CLEANED_MotorPH_Products_List_2!F:F,MATCH(MotorPHSales[[#This Row],[Product]],CLEANED_MotorPH_Products_List_2!$B:$B,0))</f>
        <v>air-cooled</v>
      </c>
      <c r="N455" s="44" t="str">
        <f>INDEX(CLEANED_MotorPH_Products_List_2!G:G,MATCH(MotorPHSales[[#This Row],[Product]],CLEANED_MotorPH_Products_List_2!$B:$B,0))</f>
        <v>124cc</v>
      </c>
      <c r="O455" s="44" t="str">
        <f>INDEX(CLEANED_MotorPH_Products_List_2!K:K,MATCH(MotorPHSales[[#This Row],[Product]],CLEANED_MotorPH_Products_List_2!B:B,0))</f>
        <v>Entry-level</v>
      </c>
      <c r="P455" s="45">
        <f>IF(MotorPHSales[[#This Row],[Segment]]="Entry-level",MotorPHSales[[#This Row],[UnitPrice]]/(1+30%),IF(MotorPHSales[[#This Row],[Segment]]="Mid-range",MotorPHSales[[#This Row],[UnitPrice]]/(1+35%),MotorPHSales[[#This Row],[UnitPrice]]/(1+40%)))*MotorPHSales[[#This Row],[Quantity]]</f>
        <v>2335538.4615384615</v>
      </c>
      <c r="Q455" s="44" t="str">
        <f>INDEX(CLEANED_MotorPH_Products_List_2!H:H,MATCH(MotorPHSales[[#This Row],[Product]],CLEANED_MotorPH_Products_List_2!$B:$B,0))</f>
        <v>CVT</v>
      </c>
    </row>
    <row r="456" spans="1:17" ht="15.75" x14ac:dyDescent="0.3">
      <c r="A456" s="43">
        <v>45894</v>
      </c>
      <c r="B456" s="44" t="str">
        <f>TEXT(MotorPHSales[[#This Row],[Date]],"mmmm")</f>
        <v>August</v>
      </c>
      <c r="C456" s="44">
        <f>DAY(MotorPHSales[[#This Row],[Date]])</f>
        <v>25</v>
      </c>
      <c r="D456" s="44">
        <f>YEAR(MotorPHSales[[#This Row],[Date]])</f>
        <v>2025</v>
      </c>
      <c r="E456" s="44" t="s">
        <v>196</v>
      </c>
      <c r="F456" s="44" t="s">
        <v>26</v>
      </c>
      <c r="G456" s="45">
        <v>151900</v>
      </c>
      <c r="H456" s="44">
        <v>14</v>
      </c>
      <c r="I456" s="45">
        <v>2126600</v>
      </c>
      <c r="J456" s="44" t="s">
        <v>197</v>
      </c>
      <c r="K456" s="44" t="str">
        <f>INDEX(CLEANED_MotorPH_Products_List_2!C:C,MATCH(MotorPHSales[[#This Row],[Product]],CLEANED_MotorPH_Products_List_2!$B:$B,0))</f>
        <v>Scooter</v>
      </c>
      <c r="L456" s="44" t="str">
        <f>INDEX(CLEANED_MotorPH_Products_List_2!E:E,MATCH(MotorPHSales[[#This Row],[Product]],CLEANED_MotorPH_Products_List_2!$B:$B,0))</f>
        <v>Single cylinder</v>
      </c>
      <c r="M456" s="44" t="str">
        <f>INDEX(CLEANED_MotorPH_Products_List_2!F:F,MATCH(MotorPHSales[[#This Row],[Product]],CLEANED_MotorPH_Products_List_2!$B:$B,0))</f>
        <v>liquid-cooled</v>
      </c>
      <c r="N456" s="44" t="str">
        <f>INDEX(CLEANED_MotorPH_Products_List_2!G:G,MATCH(MotorPHSales[[#This Row],[Product]],CLEANED_MotorPH_Products_List_2!$B:$B,0))</f>
        <v>155cc</v>
      </c>
      <c r="O456" s="44" t="str">
        <f>INDEX(CLEANED_MotorPH_Products_List_2!K:K,MATCH(MotorPHSales[[#This Row],[Product]],CLEANED_MotorPH_Products_List_2!B:B,0))</f>
        <v>Entry-level</v>
      </c>
      <c r="P456" s="45">
        <f>IF(MotorPHSales[[#This Row],[Segment]]="Entry-level",MotorPHSales[[#This Row],[UnitPrice]]/(1+30%),IF(MotorPHSales[[#This Row],[Segment]]="Mid-range",MotorPHSales[[#This Row],[UnitPrice]]/(1+35%),MotorPHSales[[#This Row],[UnitPrice]]/(1+40%)))*MotorPHSales[[#This Row],[Quantity]]</f>
        <v>1635846.1538461538</v>
      </c>
      <c r="Q456" s="44" t="str">
        <f>INDEX(CLEANED_MotorPH_Products_List_2!H:H,MATCH(MotorPHSales[[#This Row],[Product]],CLEANED_MotorPH_Products_List_2!$B:$B,0))</f>
        <v>CVT</v>
      </c>
    </row>
    <row r="457" spans="1:17" ht="15.75" x14ac:dyDescent="0.3">
      <c r="A457" s="43">
        <v>45865</v>
      </c>
      <c r="B457" s="44" t="str">
        <f>TEXT(MotorPHSales[[#This Row],[Date]],"mmmm")</f>
        <v>July</v>
      </c>
      <c r="C457" s="44">
        <f>DAY(MotorPHSales[[#This Row],[Date]])</f>
        <v>27</v>
      </c>
      <c r="D457" s="44">
        <f>YEAR(MotorPHSales[[#This Row],[Date]])</f>
        <v>2025</v>
      </c>
      <c r="E457" s="44" t="s">
        <v>196</v>
      </c>
      <c r="F457" s="44" t="s">
        <v>82</v>
      </c>
      <c r="G457" s="45">
        <v>199000</v>
      </c>
      <c r="H457" s="44">
        <v>8</v>
      </c>
      <c r="I457" s="45">
        <v>1592000</v>
      </c>
      <c r="J457" s="44" t="s">
        <v>197</v>
      </c>
      <c r="K457" s="44" t="str">
        <f>INDEX(CLEANED_MotorPH_Products_List_2!C:C,MATCH(MotorPHSales[[#This Row],[Product]],CLEANED_MotorPH_Products_List_2!$B:$B,0))</f>
        <v>Dual-sport</v>
      </c>
      <c r="L457" s="44" t="str">
        <f>INDEX(CLEANED_MotorPH_Products_List_2!E:E,MATCH(MotorPHSales[[#This Row],[Product]],CLEANED_MotorPH_Products_List_2!$B:$B,0))</f>
        <v>Single cylinder</v>
      </c>
      <c r="M457" s="44" t="str">
        <f>INDEX(CLEANED_MotorPH_Products_List_2!F:F,MATCH(MotorPHSales[[#This Row],[Product]],CLEANED_MotorPH_Products_List_2!$B:$B,0))</f>
        <v>air-cooled</v>
      </c>
      <c r="N457" s="44" t="str">
        <f>INDEX(CLEANED_MotorPH_Products_List_2!G:G,MATCH(MotorPHSales[[#This Row],[Product]],CLEANED_MotorPH_Products_List_2!$B:$B,0))</f>
        <v>233cc</v>
      </c>
      <c r="O457" s="44" t="str">
        <f>INDEX(CLEANED_MotorPH_Products_List_2!K:K,MATCH(MotorPHSales[[#This Row],[Product]],CLEANED_MotorPH_Products_List_2!B:B,0))</f>
        <v>Mid-range</v>
      </c>
      <c r="P457" s="45">
        <f>IF(MotorPHSales[[#This Row],[Segment]]="Entry-level",MotorPHSales[[#This Row],[UnitPrice]]/(1+30%),IF(MotorPHSales[[#This Row],[Segment]]="Mid-range",MotorPHSales[[#This Row],[UnitPrice]]/(1+35%),MotorPHSales[[#This Row],[UnitPrice]]/(1+40%)))*MotorPHSales[[#This Row],[Quantity]]</f>
        <v>1179259.2592592591</v>
      </c>
      <c r="Q457" s="44" t="str">
        <f>INDEX(CLEANED_MotorPH_Products_List_2!H:H,MATCH(MotorPHSales[[#This Row],[Product]],CLEANED_MotorPH_Products_List_2!$B:$B,0))</f>
        <v>6-speed</v>
      </c>
    </row>
    <row r="458" spans="1:17" ht="15.75" x14ac:dyDescent="0.3">
      <c r="A458" s="43">
        <v>45837</v>
      </c>
      <c r="B458" s="44" t="str">
        <f>TEXT(MotorPHSales[[#This Row],[Date]],"mmmm")</f>
        <v>June</v>
      </c>
      <c r="C458" s="44">
        <f>DAY(MotorPHSales[[#This Row],[Date]])</f>
        <v>29</v>
      </c>
      <c r="D458" s="44">
        <f>YEAR(MotorPHSales[[#This Row],[Date]])</f>
        <v>2025</v>
      </c>
      <c r="E458" s="44" t="s">
        <v>196</v>
      </c>
      <c r="F458" s="44" t="s">
        <v>46</v>
      </c>
      <c r="G458" s="45">
        <v>124000</v>
      </c>
      <c r="H458" s="44">
        <v>33</v>
      </c>
      <c r="I458" s="45">
        <v>4092000</v>
      </c>
      <c r="J458" s="44" t="s">
        <v>197</v>
      </c>
      <c r="K458" s="44" t="str">
        <f>INDEX(CLEANED_MotorPH_Products_List_2!C:C,MATCH(MotorPHSales[[#This Row],[Product]],CLEANED_MotorPH_Products_List_2!$B:$B,0))</f>
        <v>Scooter</v>
      </c>
      <c r="L458" s="44" t="str">
        <f>INDEX(CLEANED_MotorPH_Products_List_2!E:E,MATCH(MotorPHSales[[#This Row],[Product]],CLEANED_MotorPH_Products_List_2!$B:$B,0))</f>
        <v>Single cylinder</v>
      </c>
      <c r="M458" s="44" t="str">
        <f>INDEX(CLEANED_MotorPH_Products_List_2!F:F,MATCH(MotorPHSales[[#This Row],[Product]],CLEANED_MotorPH_Products_List_2!$B:$B,0))</f>
        <v>liquid-cooled</v>
      </c>
      <c r="N458" s="44" t="str">
        <f>INDEX(CLEANED_MotorPH_Products_List_2!G:G,MATCH(MotorPHSales[[#This Row],[Product]],CLEANED_MotorPH_Products_List_2!$B:$B,0))</f>
        <v>155cc</v>
      </c>
      <c r="O458" s="44" t="str">
        <f>INDEX(CLEANED_MotorPH_Products_List_2!K:K,MATCH(MotorPHSales[[#This Row],[Product]],CLEANED_MotorPH_Products_List_2!B:B,0))</f>
        <v>Entry-level</v>
      </c>
      <c r="P458" s="45">
        <f>IF(MotorPHSales[[#This Row],[Segment]]="Entry-level",MotorPHSales[[#This Row],[UnitPrice]]/(1+30%),IF(MotorPHSales[[#This Row],[Segment]]="Mid-range",MotorPHSales[[#This Row],[UnitPrice]]/(1+35%),MotorPHSales[[#This Row],[UnitPrice]]/(1+40%)))*MotorPHSales[[#This Row],[Quantity]]</f>
        <v>3147692.3076923075</v>
      </c>
      <c r="Q458" s="44" t="str">
        <f>INDEX(CLEANED_MotorPH_Products_List_2!H:H,MATCH(MotorPHSales[[#This Row],[Product]],CLEANED_MotorPH_Products_List_2!$B:$B,0))</f>
        <v>CVT</v>
      </c>
    </row>
    <row r="459" spans="1:17" ht="15.75" x14ac:dyDescent="0.3">
      <c r="A459" s="43">
        <v>45886</v>
      </c>
      <c r="B459" s="44" t="str">
        <f>TEXT(MotorPHSales[[#This Row],[Date]],"mmmm")</f>
        <v>August</v>
      </c>
      <c r="C459" s="44">
        <f>DAY(MotorPHSales[[#This Row],[Date]])</f>
        <v>17</v>
      </c>
      <c r="D459" s="44">
        <f>YEAR(MotorPHSales[[#This Row],[Date]])</f>
        <v>2025</v>
      </c>
      <c r="E459" s="44" t="s">
        <v>196</v>
      </c>
      <c r="F459" s="44" t="s">
        <v>40</v>
      </c>
      <c r="G459" s="45">
        <v>210000</v>
      </c>
      <c r="H459" s="44">
        <v>16</v>
      </c>
      <c r="I459" s="45">
        <v>3360000</v>
      </c>
      <c r="J459" s="44" t="s">
        <v>197</v>
      </c>
      <c r="K459" s="44" t="str">
        <f>INDEX(CLEANED_MotorPH_Products_List_2!C:C,MATCH(MotorPHSales[[#This Row],[Product]],CLEANED_MotorPH_Products_List_2!$B:$B,0))</f>
        <v>Scooter</v>
      </c>
      <c r="L459" s="44" t="str">
        <f>INDEX(CLEANED_MotorPH_Products_List_2!E:E,MATCH(MotorPHSales[[#This Row],[Product]],CLEANED_MotorPH_Products_List_2!$B:$B,0))</f>
        <v>Single cylinder</v>
      </c>
      <c r="M459" s="44" t="str">
        <f>INDEX(CLEANED_MotorPH_Products_List_2!F:F,MATCH(MotorPHSales[[#This Row],[Product]],CLEANED_MotorPH_Products_List_2!$B:$B,0))</f>
        <v>air-cooled</v>
      </c>
      <c r="N459" s="44" t="str">
        <f>INDEX(CLEANED_MotorPH_Products_List_2!G:G,MATCH(MotorPHSales[[#This Row],[Product]],CLEANED_MotorPH_Products_List_2!$B:$B,0))</f>
        <v>150cc</v>
      </c>
      <c r="O459" s="44" t="str">
        <f>INDEX(CLEANED_MotorPH_Products_List_2!K:K,MATCH(MotorPHSales[[#This Row],[Product]],CLEANED_MotorPH_Products_List_2!B:B,0))</f>
        <v>Entry-level</v>
      </c>
      <c r="P459" s="45">
        <f>IF(MotorPHSales[[#This Row],[Segment]]="Entry-level",MotorPHSales[[#This Row],[UnitPrice]]/(1+30%),IF(MotorPHSales[[#This Row],[Segment]]="Mid-range",MotorPHSales[[#This Row],[UnitPrice]]/(1+35%),MotorPHSales[[#This Row],[UnitPrice]]/(1+40%)))*MotorPHSales[[#This Row],[Quantity]]</f>
        <v>2584615.3846153845</v>
      </c>
      <c r="Q459" s="44" t="str">
        <f>INDEX(CLEANED_MotorPH_Products_List_2!H:H,MATCH(MotorPHSales[[#This Row],[Product]],CLEANED_MotorPH_Products_List_2!$B:$B,0))</f>
        <v>CVT</v>
      </c>
    </row>
    <row r="460" spans="1:17" ht="15.75" x14ac:dyDescent="0.3">
      <c r="A460" s="43">
        <v>45900</v>
      </c>
      <c r="B460" s="44" t="str">
        <f>TEXT(MotorPHSales[[#This Row],[Date]],"mmmm")</f>
        <v>August</v>
      </c>
      <c r="C460" s="44">
        <f>DAY(MotorPHSales[[#This Row],[Date]])</f>
        <v>31</v>
      </c>
      <c r="D460" s="44">
        <f>YEAR(MotorPHSales[[#This Row],[Date]])</f>
        <v>2025</v>
      </c>
      <c r="E460" s="44" t="s">
        <v>194</v>
      </c>
      <c r="F460" s="44" t="s">
        <v>46</v>
      </c>
      <c r="G460" s="45">
        <v>124000</v>
      </c>
      <c r="H460" s="44">
        <v>3</v>
      </c>
      <c r="I460" s="45">
        <v>372000</v>
      </c>
      <c r="J460" s="44" t="s">
        <v>198</v>
      </c>
      <c r="K460" s="44" t="str">
        <f>INDEX(CLEANED_MotorPH_Products_List_2!C:C,MATCH(MotorPHSales[[#This Row],[Product]],CLEANED_MotorPH_Products_List_2!$B:$B,0))</f>
        <v>Scooter</v>
      </c>
      <c r="L460" s="44" t="str">
        <f>INDEX(CLEANED_MotorPH_Products_List_2!E:E,MATCH(MotorPHSales[[#This Row],[Product]],CLEANED_MotorPH_Products_List_2!$B:$B,0))</f>
        <v>Single cylinder</v>
      </c>
      <c r="M460" s="44" t="str">
        <f>INDEX(CLEANED_MotorPH_Products_List_2!F:F,MATCH(MotorPHSales[[#This Row],[Product]],CLEANED_MotorPH_Products_List_2!$B:$B,0))</f>
        <v>liquid-cooled</v>
      </c>
      <c r="N460" s="44" t="str">
        <f>INDEX(CLEANED_MotorPH_Products_List_2!G:G,MATCH(MotorPHSales[[#This Row],[Product]],CLEANED_MotorPH_Products_List_2!$B:$B,0))</f>
        <v>155cc</v>
      </c>
      <c r="O460" s="44" t="str">
        <f>INDEX(CLEANED_MotorPH_Products_List_2!K:K,MATCH(MotorPHSales[[#This Row],[Product]],CLEANED_MotorPH_Products_List_2!B:B,0))</f>
        <v>Entry-level</v>
      </c>
      <c r="P460" s="45">
        <f>IF(MotorPHSales[[#This Row],[Segment]]="Entry-level",MotorPHSales[[#This Row],[UnitPrice]]/(1+30%),IF(MotorPHSales[[#This Row],[Segment]]="Mid-range",MotorPHSales[[#This Row],[UnitPrice]]/(1+35%),MotorPHSales[[#This Row],[UnitPrice]]/(1+40%)))*MotorPHSales[[#This Row],[Quantity]]</f>
        <v>286153.84615384613</v>
      </c>
      <c r="Q460" s="44" t="str">
        <f>INDEX(CLEANED_MotorPH_Products_List_2!H:H,MATCH(MotorPHSales[[#This Row],[Product]],CLEANED_MotorPH_Products_List_2!$B:$B,0))</f>
        <v>CVT</v>
      </c>
    </row>
    <row r="461" spans="1:17" ht="15.75" x14ac:dyDescent="0.3">
      <c r="A461" s="43">
        <v>45877</v>
      </c>
      <c r="B461" s="44" t="str">
        <f>TEXT(MotorPHSales[[#This Row],[Date]],"mmmm")</f>
        <v>August</v>
      </c>
      <c r="C461" s="44">
        <f>DAY(MotorPHSales[[#This Row],[Date]])</f>
        <v>8</v>
      </c>
      <c r="D461" s="44">
        <f>YEAR(MotorPHSales[[#This Row],[Date]])</f>
        <v>2025</v>
      </c>
      <c r="E461" s="44" t="s">
        <v>194</v>
      </c>
      <c r="F461" s="44" t="s">
        <v>90</v>
      </c>
      <c r="G461" s="45">
        <v>165000</v>
      </c>
      <c r="H461" s="44">
        <v>10</v>
      </c>
      <c r="I461" s="45">
        <v>1650000</v>
      </c>
      <c r="J461" s="44" t="s">
        <v>197</v>
      </c>
      <c r="K461" s="44" t="str">
        <f>INDEX(CLEANED_MotorPH_Products_List_2!C:C,MATCH(MotorPHSales[[#This Row],[Product]],CLEANED_MotorPH_Products_List_2!$B:$B,0))</f>
        <v>Sport</v>
      </c>
      <c r="L461" s="44" t="str">
        <f>INDEX(CLEANED_MotorPH_Products_List_2!E:E,MATCH(MotorPHSales[[#This Row],[Product]],CLEANED_MotorPH_Products_List_2!$B:$B,0))</f>
        <v>Single cylinder</v>
      </c>
      <c r="M461" s="44" t="str">
        <f>INDEX(CLEANED_MotorPH_Products_List_2!F:F,MATCH(MotorPHSales[[#This Row],[Product]],CLEANED_MotorPH_Products_List_2!$B:$B,0))</f>
        <v>liquid-cooled</v>
      </c>
      <c r="N461" s="44" t="str">
        <f>INDEX(CLEANED_MotorPH_Products_List_2!G:G,MATCH(MotorPHSales[[#This Row],[Product]],CLEANED_MotorPH_Products_List_2!$B:$B,0))</f>
        <v>292cc</v>
      </c>
      <c r="O461" s="44" t="str">
        <f>INDEX(CLEANED_MotorPH_Products_List_2!K:K,MATCH(MotorPHSales[[#This Row],[Product]],CLEANED_MotorPH_Products_List_2!B:B,0))</f>
        <v>Mid-range</v>
      </c>
      <c r="P461" s="45">
        <f>IF(MotorPHSales[[#This Row],[Segment]]="Entry-level",MotorPHSales[[#This Row],[UnitPrice]]/(1+30%),IF(MotorPHSales[[#This Row],[Segment]]="Mid-range",MotorPHSales[[#This Row],[UnitPrice]]/(1+35%),MotorPHSales[[#This Row],[UnitPrice]]/(1+40%)))*MotorPHSales[[#This Row],[Quantity]]</f>
        <v>1222222.2222222222</v>
      </c>
      <c r="Q461" s="44" t="str">
        <f>INDEX(CLEANED_MotorPH_Products_List_2!H:H,MATCH(MotorPHSales[[#This Row],[Product]],CLEANED_MotorPH_Products_List_2!$B:$B,0))</f>
        <v>6-speed</v>
      </c>
    </row>
    <row r="462" spans="1:17" ht="15.75" x14ac:dyDescent="0.3">
      <c r="A462" s="43">
        <v>45855</v>
      </c>
      <c r="B462" s="44" t="str">
        <f>TEXT(MotorPHSales[[#This Row],[Date]],"mmmm")</f>
        <v>July</v>
      </c>
      <c r="C462" s="44">
        <f>DAY(MotorPHSales[[#This Row],[Date]])</f>
        <v>17</v>
      </c>
      <c r="D462" s="44">
        <f>YEAR(MotorPHSales[[#This Row],[Date]])</f>
        <v>2025</v>
      </c>
      <c r="E462" s="44" t="s">
        <v>194</v>
      </c>
      <c r="F462" s="44" t="s">
        <v>99</v>
      </c>
      <c r="G462" s="45">
        <v>689000</v>
      </c>
      <c r="H462" s="44">
        <v>7</v>
      </c>
      <c r="I462" s="45">
        <v>4823000</v>
      </c>
      <c r="J462" s="44" t="s">
        <v>195</v>
      </c>
      <c r="K462" s="44" t="str">
        <f>INDEX(CLEANED_MotorPH_Products_List_2!C:C,MATCH(MotorPHSales[[#This Row],[Product]],CLEANED_MotorPH_Products_List_2!$B:$B,0))</f>
        <v>Heritage</v>
      </c>
      <c r="L462" s="44" t="str">
        <f>INDEX(CLEANED_MotorPH_Products_List_2!E:E,MATCH(MotorPHSales[[#This Row],[Product]],CLEANED_MotorPH_Products_List_2!$B:$B,0))</f>
        <v>V-twin</v>
      </c>
      <c r="M462" s="44" t="str">
        <f>INDEX(CLEANED_MotorPH_Products_List_2!F:F,MATCH(MotorPHSales[[#This Row],[Product]],CLEANED_MotorPH_Products_List_2!$B:$B,0))</f>
        <v>air-cooled</v>
      </c>
      <c r="N462" s="44" t="str">
        <f>INDEX(CLEANED_MotorPH_Products_List_2!G:G,MATCH(MotorPHSales[[#This Row],[Product]],CLEANED_MotorPH_Products_List_2!$B:$B,0))</f>
        <v>853cc</v>
      </c>
      <c r="O462" s="44" t="str">
        <f>INDEX(CLEANED_MotorPH_Products_List_2!K:K,MATCH(MotorPHSales[[#This Row],[Product]],CLEANED_MotorPH_Products_List_2!B:B,0))</f>
        <v>Premium</v>
      </c>
      <c r="P462" s="45">
        <f>IF(MotorPHSales[[#This Row],[Segment]]="Entry-level",MotorPHSales[[#This Row],[UnitPrice]]/(1+30%),IF(MotorPHSales[[#This Row],[Segment]]="Mid-range",MotorPHSales[[#This Row],[UnitPrice]]/(1+35%),MotorPHSales[[#This Row],[UnitPrice]]/(1+40%)))*MotorPHSales[[#This Row],[Quantity]]</f>
        <v>3445000</v>
      </c>
      <c r="Q462" s="44" t="str">
        <f>INDEX(CLEANED_MotorPH_Products_List_2!H:H,MATCH(MotorPHSales[[#This Row],[Product]],CLEANED_MotorPH_Products_List_2!$B:$B,0))</f>
        <v>6-speed</v>
      </c>
    </row>
    <row r="463" spans="1:17" ht="15.75" x14ac:dyDescent="0.3">
      <c r="A463" s="43">
        <v>45870</v>
      </c>
      <c r="B463" s="44" t="str">
        <f>TEXT(MotorPHSales[[#This Row],[Date]],"mmmm")</f>
        <v>August</v>
      </c>
      <c r="C463" s="44">
        <f>DAY(MotorPHSales[[#This Row],[Date]])</f>
        <v>1</v>
      </c>
      <c r="D463" s="44">
        <f>YEAR(MotorPHSales[[#This Row],[Date]])</f>
        <v>2025</v>
      </c>
      <c r="E463" s="44" t="s">
        <v>194</v>
      </c>
      <c r="F463" s="44" t="s">
        <v>16</v>
      </c>
      <c r="G463" s="45">
        <v>165000</v>
      </c>
      <c r="H463" s="44">
        <v>30</v>
      </c>
      <c r="I463" s="45">
        <v>4950000</v>
      </c>
      <c r="J463" s="44" t="s">
        <v>197</v>
      </c>
      <c r="K463" s="44" t="str">
        <f>INDEX(CLEANED_MotorPH_Products_List_2!C:C,MATCH(MotorPHSales[[#This Row],[Product]],CLEANED_MotorPH_Products_List_2!$B:$B,0))</f>
        <v>Naked bike</v>
      </c>
      <c r="L463" s="44" t="str">
        <f>INDEX(CLEANED_MotorPH_Products_List_2!E:E,MATCH(MotorPHSales[[#This Row],[Product]],CLEANED_MotorPH_Products_List_2!$B:$B,0))</f>
        <v>Single cylinder</v>
      </c>
      <c r="M463" s="44" t="str">
        <f>INDEX(CLEANED_MotorPH_Products_List_2!F:F,MATCH(MotorPHSales[[#This Row],[Product]],CLEANED_MotorPH_Products_List_2!$B:$B,0))</f>
        <v>liquid-cooled</v>
      </c>
      <c r="N463" s="44" t="str">
        <f>INDEX(CLEANED_MotorPH_Products_List_2!G:G,MATCH(MotorPHSales[[#This Row],[Product]],CLEANED_MotorPH_Products_List_2!$B:$B,0))</f>
        <v>292cc</v>
      </c>
      <c r="O463" s="44" t="str">
        <f>INDEX(CLEANED_MotorPH_Products_List_2!K:K,MATCH(MotorPHSales[[#This Row],[Product]],CLEANED_MotorPH_Products_List_2!B:B,0))</f>
        <v>Mid-range</v>
      </c>
      <c r="P463" s="45">
        <f>IF(MotorPHSales[[#This Row],[Segment]]="Entry-level",MotorPHSales[[#This Row],[UnitPrice]]/(1+30%),IF(MotorPHSales[[#This Row],[Segment]]="Mid-range",MotorPHSales[[#This Row],[UnitPrice]]/(1+35%),MotorPHSales[[#This Row],[UnitPrice]]/(1+40%)))*MotorPHSales[[#This Row],[Quantity]]</f>
        <v>3666666.6666666665</v>
      </c>
      <c r="Q463" s="44" t="str">
        <f>INDEX(CLEANED_MotorPH_Products_List_2!H:H,MATCH(MotorPHSales[[#This Row],[Product]],CLEANED_MotorPH_Products_List_2!$B:$B,0))</f>
        <v>6-speed</v>
      </c>
    </row>
    <row r="464" spans="1:17" ht="15.75" x14ac:dyDescent="0.3">
      <c r="A464" s="43">
        <v>45877</v>
      </c>
      <c r="B464" s="44" t="str">
        <f>TEXT(MotorPHSales[[#This Row],[Date]],"mmmm")</f>
        <v>August</v>
      </c>
      <c r="C464" s="44">
        <f>DAY(MotorPHSales[[#This Row],[Date]])</f>
        <v>8</v>
      </c>
      <c r="D464" s="44">
        <f>YEAR(MotorPHSales[[#This Row],[Date]])</f>
        <v>2025</v>
      </c>
      <c r="E464" s="44" t="s">
        <v>196</v>
      </c>
      <c r="F464" s="44" t="s">
        <v>64</v>
      </c>
      <c r="G464" s="45">
        <v>128000</v>
      </c>
      <c r="H464" s="44">
        <v>16</v>
      </c>
      <c r="I464" s="45">
        <v>2048000</v>
      </c>
      <c r="J464" s="44" t="s">
        <v>198</v>
      </c>
      <c r="K464" s="44" t="str">
        <f>INDEX(CLEANED_MotorPH_Products_List_2!C:C,MATCH(MotorPHSales[[#This Row],[Product]],CLEANED_MotorPH_Products_List_2!$B:$B,0))</f>
        <v>Scooter</v>
      </c>
      <c r="L464" s="44" t="str">
        <f>INDEX(CLEANED_MotorPH_Products_List_2!E:E,MATCH(MotorPHSales[[#This Row],[Product]],CLEANED_MotorPH_Products_List_2!$B:$B,0))</f>
        <v>Single cylinder</v>
      </c>
      <c r="M464" s="44" t="str">
        <f>INDEX(CLEANED_MotorPH_Products_List_2!F:F,MATCH(MotorPHSales[[#This Row],[Product]],CLEANED_MotorPH_Products_List_2!$B:$B,0))</f>
        <v>liquid-cooled</v>
      </c>
      <c r="N464" s="44" t="str">
        <f>INDEX(CLEANED_MotorPH_Products_List_2!G:G,MATCH(MotorPHSales[[#This Row],[Product]],CLEANED_MotorPH_Products_List_2!$B:$B,0))</f>
        <v>149cc</v>
      </c>
      <c r="O464" s="44" t="str">
        <f>INDEX(CLEANED_MotorPH_Products_List_2!K:K,MATCH(MotorPHSales[[#This Row],[Product]],CLEANED_MotorPH_Products_List_2!B:B,0))</f>
        <v>Entry-level</v>
      </c>
      <c r="P464" s="45">
        <f>IF(MotorPHSales[[#This Row],[Segment]]="Entry-level",MotorPHSales[[#This Row],[UnitPrice]]/(1+30%),IF(MotorPHSales[[#This Row],[Segment]]="Mid-range",MotorPHSales[[#This Row],[UnitPrice]]/(1+35%),MotorPHSales[[#This Row],[UnitPrice]]/(1+40%)))*MotorPHSales[[#This Row],[Quantity]]</f>
        <v>1575384.6153846153</v>
      </c>
      <c r="Q464" s="44" t="str">
        <f>INDEX(CLEANED_MotorPH_Products_List_2!H:H,MATCH(MotorPHSales[[#This Row],[Product]],CLEANED_MotorPH_Products_List_2!$B:$B,0))</f>
        <v>CVT</v>
      </c>
    </row>
    <row r="465" spans="1:17" ht="15.75" x14ac:dyDescent="0.3">
      <c r="A465" s="43">
        <v>45884</v>
      </c>
      <c r="B465" s="44" t="str">
        <f>TEXT(MotorPHSales[[#This Row],[Date]],"mmmm")</f>
        <v>August</v>
      </c>
      <c r="C465" s="44">
        <f>DAY(MotorPHSales[[#This Row],[Date]])</f>
        <v>15</v>
      </c>
      <c r="D465" s="44">
        <f>YEAR(MotorPHSales[[#This Row],[Date]])</f>
        <v>2025</v>
      </c>
      <c r="E465" s="44" t="s">
        <v>196</v>
      </c>
      <c r="F465" s="44" t="s">
        <v>99</v>
      </c>
      <c r="G465" s="45">
        <v>689000</v>
      </c>
      <c r="H465" s="44">
        <v>28</v>
      </c>
      <c r="I465" s="45">
        <v>19292000</v>
      </c>
      <c r="J465" s="44" t="s">
        <v>195</v>
      </c>
      <c r="K465" s="44" t="str">
        <f>INDEX(CLEANED_MotorPH_Products_List_2!C:C,MATCH(MotorPHSales[[#This Row],[Product]],CLEANED_MotorPH_Products_List_2!$B:$B,0))</f>
        <v>Heritage</v>
      </c>
      <c r="L465" s="44" t="str">
        <f>INDEX(CLEANED_MotorPH_Products_List_2!E:E,MATCH(MotorPHSales[[#This Row],[Product]],CLEANED_MotorPH_Products_List_2!$B:$B,0))</f>
        <v>V-twin</v>
      </c>
      <c r="M465" s="44" t="str">
        <f>INDEX(CLEANED_MotorPH_Products_List_2!F:F,MATCH(MotorPHSales[[#This Row],[Product]],CLEANED_MotorPH_Products_List_2!$B:$B,0))</f>
        <v>air-cooled</v>
      </c>
      <c r="N465" s="44" t="str">
        <f>INDEX(CLEANED_MotorPH_Products_List_2!G:G,MATCH(MotorPHSales[[#This Row],[Product]],CLEANED_MotorPH_Products_List_2!$B:$B,0))</f>
        <v>853cc</v>
      </c>
      <c r="O465" s="44" t="str">
        <f>INDEX(CLEANED_MotorPH_Products_List_2!K:K,MATCH(MotorPHSales[[#This Row],[Product]],CLEANED_MotorPH_Products_List_2!B:B,0))</f>
        <v>Premium</v>
      </c>
      <c r="P465" s="45">
        <f>IF(MotorPHSales[[#This Row],[Segment]]="Entry-level",MotorPHSales[[#This Row],[UnitPrice]]/(1+30%),IF(MotorPHSales[[#This Row],[Segment]]="Mid-range",MotorPHSales[[#This Row],[UnitPrice]]/(1+35%),MotorPHSales[[#This Row],[UnitPrice]]/(1+40%)))*MotorPHSales[[#This Row],[Quantity]]</f>
        <v>13780000</v>
      </c>
      <c r="Q465" s="44" t="str">
        <f>INDEX(CLEANED_MotorPH_Products_List_2!H:H,MATCH(MotorPHSales[[#This Row],[Product]],CLEANED_MotorPH_Products_List_2!$B:$B,0))</f>
        <v>6-speed</v>
      </c>
    </row>
    <row r="466" spans="1:17" ht="15.75" x14ac:dyDescent="0.3">
      <c r="A466" s="43">
        <v>45824</v>
      </c>
      <c r="B466" s="44" t="str">
        <f>TEXT(MotorPHSales[[#This Row],[Date]],"mmmm")</f>
        <v>June</v>
      </c>
      <c r="C466" s="44">
        <f>DAY(MotorPHSales[[#This Row],[Date]])</f>
        <v>16</v>
      </c>
      <c r="D466" s="44">
        <f>YEAR(MotorPHSales[[#This Row],[Date]])</f>
        <v>2025</v>
      </c>
      <c r="E466" s="44" t="s">
        <v>196</v>
      </c>
      <c r="F466" s="44" t="s">
        <v>14</v>
      </c>
      <c r="G466" s="45">
        <v>250000</v>
      </c>
      <c r="H466" s="44">
        <v>5</v>
      </c>
      <c r="I466" s="45">
        <v>1250000</v>
      </c>
      <c r="J466" s="44" t="s">
        <v>198</v>
      </c>
      <c r="K466" s="44" t="str">
        <f>INDEX(CLEANED_MotorPH_Products_List_2!C:C,MATCH(MotorPHSales[[#This Row],[Product]],CLEANED_MotorPH_Products_List_2!$B:$B,0))</f>
        <v>Classic</v>
      </c>
      <c r="L466" s="44" t="str">
        <f>INDEX(CLEANED_MotorPH_Products_List_2!E:E,MATCH(MotorPHSales[[#This Row],[Product]],CLEANED_MotorPH_Products_List_2!$B:$B,0))</f>
        <v>Single cylinder</v>
      </c>
      <c r="M466" s="44" t="str">
        <f>INDEX(CLEANED_MotorPH_Products_List_2!F:F,MATCH(MotorPHSales[[#This Row],[Product]],CLEANED_MotorPH_Products_List_2!$B:$B,0))</f>
        <v>air-cooled</v>
      </c>
      <c r="N466" s="44" t="str">
        <f>INDEX(CLEANED_MotorPH_Products_List_2!G:G,MATCH(MotorPHSales[[#This Row],[Product]],CLEANED_MotorPH_Products_List_2!$B:$B,0))</f>
        <v>349cc</v>
      </c>
      <c r="O466" s="44" t="str">
        <f>INDEX(CLEANED_MotorPH_Products_List_2!K:K,MATCH(MotorPHSales[[#This Row],[Product]],CLEANED_MotorPH_Products_List_2!B:B,0))</f>
        <v>Mid-range</v>
      </c>
      <c r="P466" s="45">
        <f>IF(MotorPHSales[[#This Row],[Segment]]="Entry-level",MotorPHSales[[#This Row],[UnitPrice]]/(1+30%),IF(MotorPHSales[[#This Row],[Segment]]="Mid-range",MotorPHSales[[#This Row],[UnitPrice]]/(1+35%),MotorPHSales[[#This Row],[UnitPrice]]/(1+40%)))*MotorPHSales[[#This Row],[Quantity]]</f>
        <v>925925.92592592584</v>
      </c>
      <c r="Q466" s="44" t="str">
        <f>INDEX(CLEANED_MotorPH_Products_List_2!H:H,MATCH(MotorPHSales[[#This Row],[Product]],CLEANED_MotorPH_Products_List_2!$B:$B,0))</f>
        <v>5-speed</v>
      </c>
    </row>
    <row r="467" spans="1:17" ht="15.75" x14ac:dyDescent="0.3">
      <c r="A467" s="43">
        <v>45898</v>
      </c>
      <c r="B467" s="44" t="str">
        <f>TEXT(MotorPHSales[[#This Row],[Date]],"mmmm")</f>
        <v>August</v>
      </c>
      <c r="C467" s="44">
        <f>DAY(MotorPHSales[[#This Row],[Date]])</f>
        <v>29</v>
      </c>
      <c r="D467" s="44">
        <f>YEAR(MotorPHSales[[#This Row],[Date]])</f>
        <v>2025</v>
      </c>
      <c r="E467" s="44" t="s">
        <v>194</v>
      </c>
      <c r="F467" s="44" t="s">
        <v>63</v>
      </c>
      <c r="G467" s="45">
        <v>48000</v>
      </c>
      <c r="H467" s="44">
        <v>16</v>
      </c>
      <c r="I467" s="45">
        <v>768000</v>
      </c>
      <c r="J467" s="44" t="s">
        <v>197</v>
      </c>
      <c r="K467" s="44" t="str">
        <f>INDEX(CLEANED_MotorPH_Products_List_2!C:C,MATCH(MotorPHSales[[#This Row],[Product]],CLEANED_MotorPH_Products_List_2!$B:$B,0))</f>
        <v>Commuter</v>
      </c>
      <c r="L467" s="44" t="str">
        <f>INDEX(CLEANED_MotorPH_Products_List_2!E:E,MATCH(MotorPHSales[[#This Row],[Product]],CLEANED_MotorPH_Products_List_2!$B:$B,0))</f>
        <v>Single cylinder</v>
      </c>
      <c r="M467" s="44" t="str">
        <f>INDEX(CLEANED_MotorPH_Products_List_2!F:F,MATCH(MotorPHSales[[#This Row],[Product]],CLEANED_MotorPH_Products_List_2!$B:$B,0))</f>
        <v>air-cooled</v>
      </c>
      <c r="N467" s="44" t="str">
        <f>INDEX(CLEANED_MotorPH_Products_List_2!G:G,MATCH(MotorPHSales[[#This Row],[Product]],CLEANED_MotorPH_Products_List_2!$B:$B,0))</f>
        <v>125cc</v>
      </c>
      <c r="O467" s="44" t="str">
        <f>INDEX(CLEANED_MotorPH_Products_List_2!K:K,MATCH(MotorPHSales[[#This Row],[Product]],CLEANED_MotorPH_Products_List_2!B:B,0))</f>
        <v>Entry-level</v>
      </c>
      <c r="P467" s="45">
        <f>IF(MotorPHSales[[#This Row],[Segment]]="Entry-level",MotorPHSales[[#This Row],[UnitPrice]]/(1+30%),IF(MotorPHSales[[#This Row],[Segment]]="Mid-range",MotorPHSales[[#This Row],[UnitPrice]]/(1+35%),MotorPHSales[[#This Row],[UnitPrice]]/(1+40%)))*MotorPHSales[[#This Row],[Quantity]]</f>
        <v>590769.23076923075</v>
      </c>
      <c r="Q467" s="44" t="str">
        <f>INDEX(CLEANED_MotorPH_Products_List_2!H:H,MATCH(MotorPHSales[[#This Row],[Product]],CLEANED_MotorPH_Products_List_2!$B:$B,0))</f>
        <v>4-speed</v>
      </c>
    </row>
    <row r="468" spans="1:17" ht="15.75" x14ac:dyDescent="0.3">
      <c r="A468" s="43">
        <v>45898</v>
      </c>
      <c r="B468" s="44" t="str">
        <f>TEXT(MotorPHSales[[#This Row],[Date]],"mmmm")</f>
        <v>August</v>
      </c>
      <c r="C468" s="44">
        <f>DAY(MotorPHSales[[#This Row],[Date]])</f>
        <v>29</v>
      </c>
      <c r="D468" s="44">
        <f>YEAR(MotorPHSales[[#This Row],[Date]])</f>
        <v>2025</v>
      </c>
      <c r="E468" s="44" t="s">
        <v>196</v>
      </c>
      <c r="F468" s="44" t="s">
        <v>61</v>
      </c>
      <c r="G468" s="45">
        <v>284900</v>
      </c>
      <c r="H468" s="44">
        <v>20</v>
      </c>
      <c r="I468" s="45">
        <v>5698000</v>
      </c>
      <c r="J468" s="44" t="s">
        <v>198</v>
      </c>
      <c r="K468" s="44" t="str">
        <f>INDEX(CLEANED_MotorPH_Products_List_2!C:C,MATCH(MotorPHSales[[#This Row],[Product]],CLEANED_MotorPH_Products_List_2!$B:$B,0))</f>
        <v>Dual-sport</v>
      </c>
      <c r="L468" s="44" t="str">
        <f>INDEX(CLEANED_MotorPH_Products_List_2!E:E,MATCH(MotorPHSales[[#This Row],[Product]],CLEANED_MotorPH_Products_List_2!$B:$B,0))</f>
        <v>Single cylinder</v>
      </c>
      <c r="M468" s="44" t="str">
        <f>INDEX(CLEANED_MotorPH_Products_List_2!F:F,MATCH(MotorPHSales[[#This Row],[Product]],CLEANED_MotorPH_Products_List_2!$B:$B,0))</f>
        <v>liquid-cooled</v>
      </c>
      <c r="N468" s="44" t="str">
        <f>INDEX(CLEANED_MotorPH_Products_List_2!G:G,MATCH(MotorPHSales[[#This Row],[Product]],CLEANED_MotorPH_Products_List_2!$B:$B,0))</f>
        <v>286cc</v>
      </c>
      <c r="O468" s="44" t="str">
        <f>INDEX(CLEANED_MotorPH_Products_List_2!K:K,MATCH(MotorPHSales[[#This Row],[Product]],CLEANED_MotorPH_Products_List_2!B:B,0))</f>
        <v>Mid-range</v>
      </c>
      <c r="P468" s="45">
        <f>IF(MotorPHSales[[#This Row],[Segment]]="Entry-level",MotorPHSales[[#This Row],[UnitPrice]]/(1+30%),IF(MotorPHSales[[#This Row],[Segment]]="Mid-range",MotorPHSales[[#This Row],[UnitPrice]]/(1+35%),MotorPHSales[[#This Row],[UnitPrice]]/(1+40%)))*MotorPHSales[[#This Row],[Quantity]]</f>
        <v>4220740.7407407407</v>
      </c>
      <c r="Q468" s="44" t="str">
        <f>INDEX(CLEANED_MotorPH_Products_List_2!H:H,MATCH(MotorPHSales[[#This Row],[Product]],CLEANED_MotorPH_Products_List_2!$B:$B,0))</f>
        <v>6-speed</v>
      </c>
    </row>
    <row r="469" spans="1:17" ht="15.75" x14ac:dyDescent="0.3">
      <c r="A469" s="43">
        <v>45856</v>
      </c>
      <c r="B469" s="44" t="str">
        <f>TEXT(MotorPHSales[[#This Row],[Date]],"mmmm")</f>
        <v>July</v>
      </c>
      <c r="C469" s="44">
        <f>DAY(MotorPHSales[[#This Row],[Date]])</f>
        <v>18</v>
      </c>
      <c r="D469" s="44">
        <f>YEAR(MotorPHSales[[#This Row],[Date]])</f>
        <v>2025</v>
      </c>
      <c r="E469" s="44" t="s">
        <v>194</v>
      </c>
      <c r="F469" s="44" t="s">
        <v>42</v>
      </c>
      <c r="G469" s="45">
        <v>125000</v>
      </c>
      <c r="H469" s="44">
        <v>5</v>
      </c>
      <c r="I469" s="45">
        <v>625000</v>
      </c>
      <c r="J469" s="44" t="s">
        <v>198</v>
      </c>
      <c r="K469" s="44" t="str">
        <f>INDEX(CLEANED_MotorPH_Products_List_2!C:C,MATCH(MotorPHSales[[#This Row],[Product]],CLEANED_MotorPH_Products_List_2!$B:$B,0))</f>
        <v>Naked bike</v>
      </c>
      <c r="L469" s="44" t="str">
        <f>INDEX(CLEANED_MotorPH_Products_List_2!E:E,MATCH(MotorPHSales[[#This Row],[Product]],CLEANED_MotorPH_Products_List_2!$B:$B,0))</f>
        <v>Single cylinder</v>
      </c>
      <c r="M469" s="44" t="str">
        <f>INDEX(CLEANED_MotorPH_Products_List_2!F:F,MATCH(MotorPHSales[[#This Row],[Product]],CLEANED_MotorPH_Products_List_2!$B:$B,0))</f>
        <v>liquid-cooled</v>
      </c>
      <c r="N469" s="44" t="str">
        <f>INDEX(CLEANED_MotorPH_Products_List_2!G:G,MATCH(MotorPHSales[[#This Row],[Product]],CLEANED_MotorPH_Products_List_2!$B:$B,0))</f>
        <v>147cc</v>
      </c>
      <c r="O469" s="44" t="str">
        <f>INDEX(CLEANED_MotorPH_Products_List_2!K:K,MATCH(MotorPHSales[[#This Row],[Product]],CLEANED_MotorPH_Products_List_2!B:B,0))</f>
        <v>Entry-level</v>
      </c>
      <c r="P469" s="45">
        <f>IF(MotorPHSales[[#This Row],[Segment]]="Entry-level",MotorPHSales[[#This Row],[UnitPrice]]/(1+30%),IF(MotorPHSales[[#This Row],[Segment]]="Mid-range",MotorPHSales[[#This Row],[UnitPrice]]/(1+35%),MotorPHSales[[#This Row],[UnitPrice]]/(1+40%)))*MotorPHSales[[#This Row],[Quantity]]</f>
        <v>480769.23076923075</v>
      </c>
      <c r="Q469" s="44" t="str">
        <f>INDEX(CLEANED_MotorPH_Products_List_2!H:H,MATCH(MotorPHSales[[#This Row],[Product]],CLEANED_MotorPH_Products_List_2!$B:$B,0))</f>
        <v>6-speed</v>
      </c>
    </row>
    <row r="470" spans="1:17" ht="15.75" x14ac:dyDescent="0.3">
      <c r="A470" s="43">
        <v>45893</v>
      </c>
      <c r="B470" s="44" t="str">
        <f>TEXT(MotorPHSales[[#This Row],[Date]],"mmmm")</f>
        <v>August</v>
      </c>
      <c r="C470" s="44">
        <f>DAY(MotorPHSales[[#This Row],[Date]])</f>
        <v>24</v>
      </c>
      <c r="D470" s="44">
        <f>YEAR(MotorPHSales[[#This Row],[Date]])</f>
        <v>2025</v>
      </c>
      <c r="E470" s="44" t="s">
        <v>194</v>
      </c>
      <c r="F470" s="44" t="s">
        <v>16</v>
      </c>
      <c r="G470" s="45">
        <v>165000</v>
      </c>
      <c r="H470" s="44">
        <v>15</v>
      </c>
      <c r="I470" s="45">
        <v>2475000</v>
      </c>
      <c r="J470" s="44" t="s">
        <v>198</v>
      </c>
      <c r="K470" s="44" t="str">
        <f>INDEX(CLEANED_MotorPH_Products_List_2!C:C,MATCH(MotorPHSales[[#This Row],[Product]],CLEANED_MotorPH_Products_List_2!$B:$B,0))</f>
        <v>Naked bike</v>
      </c>
      <c r="L470" s="44" t="str">
        <f>INDEX(CLEANED_MotorPH_Products_List_2!E:E,MATCH(MotorPHSales[[#This Row],[Product]],CLEANED_MotorPH_Products_List_2!$B:$B,0))</f>
        <v>Single cylinder</v>
      </c>
      <c r="M470" s="44" t="str">
        <f>INDEX(CLEANED_MotorPH_Products_List_2!F:F,MATCH(MotorPHSales[[#This Row],[Product]],CLEANED_MotorPH_Products_List_2!$B:$B,0))</f>
        <v>liquid-cooled</v>
      </c>
      <c r="N470" s="44" t="str">
        <f>INDEX(CLEANED_MotorPH_Products_List_2!G:G,MATCH(MotorPHSales[[#This Row],[Product]],CLEANED_MotorPH_Products_List_2!$B:$B,0))</f>
        <v>292cc</v>
      </c>
      <c r="O470" s="44" t="str">
        <f>INDEX(CLEANED_MotorPH_Products_List_2!K:K,MATCH(MotorPHSales[[#This Row],[Product]],CLEANED_MotorPH_Products_List_2!B:B,0))</f>
        <v>Mid-range</v>
      </c>
      <c r="P470" s="45">
        <f>IF(MotorPHSales[[#This Row],[Segment]]="Entry-level",MotorPHSales[[#This Row],[UnitPrice]]/(1+30%),IF(MotorPHSales[[#This Row],[Segment]]="Mid-range",MotorPHSales[[#This Row],[UnitPrice]]/(1+35%),MotorPHSales[[#This Row],[UnitPrice]]/(1+40%)))*MotorPHSales[[#This Row],[Quantity]]</f>
        <v>1833333.3333333333</v>
      </c>
      <c r="Q470" s="44" t="str">
        <f>INDEX(CLEANED_MotorPH_Products_List_2!H:H,MATCH(MotorPHSales[[#This Row],[Product]],CLEANED_MotorPH_Products_List_2!$B:$B,0))</f>
        <v>6-speed</v>
      </c>
    </row>
    <row r="471" spans="1:17" ht="15.75" x14ac:dyDescent="0.3">
      <c r="A471" s="43">
        <v>45847</v>
      </c>
      <c r="B471" s="44" t="str">
        <f>TEXT(MotorPHSales[[#This Row],[Date]],"mmmm")</f>
        <v>July</v>
      </c>
      <c r="C471" s="44">
        <f>DAY(MotorPHSales[[#This Row],[Date]])</f>
        <v>9</v>
      </c>
      <c r="D471" s="44">
        <f>YEAR(MotorPHSales[[#This Row],[Date]])</f>
        <v>2025</v>
      </c>
      <c r="E471" s="44" t="s">
        <v>196</v>
      </c>
      <c r="F471" s="44" t="s">
        <v>24</v>
      </c>
      <c r="G471" s="45">
        <v>199900</v>
      </c>
      <c r="H471" s="44">
        <v>1</v>
      </c>
      <c r="I471" s="45">
        <v>199900</v>
      </c>
      <c r="J471" s="44" t="s">
        <v>197</v>
      </c>
      <c r="K471" s="44" t="str">
        <f>INDEX(CLEANED_MotorPH_Products_List_2!C:C,MATCH(MotorPHSales[[#This Row],[Product]],CLEANED_MotorPH_Products_List_2!$B:$B,0))</f>
        <v>Sport touring</v>
      </c>
      <c r="L471" s="44" t="str">
        <f>INDEX(CLEANED_MotorPH_Products_List_2!E:E,MATCH(MotorPHSales[[#This Row],[Product]],CLEANED_MotorPH_Products_List_2!$B:$B,0))</f>
        <v>Single cylinder</v>
      </c>
      <c r="M471" s="44" t="str">
        <f>INDEX(CLEANED_MotorPH_Products_List_2!F:F,MATCH(MotorPHSales[[#This Row],[Product]],CLEANED_MotorPH_Products_List_2!$B:$B,0))</f>
        <v>liquid-cooled</v>
      </c>
      <c r="N471" s="44" t="str">
        <f>INDEX(CLEANED_MotorPH_Products_List_2!G:G,MATCH(MotorPHSales[[#This Row],[Product]],CLEANED_MotorPH_Products_List_2!$B:$B,0))</f>
        <v>373cc</v>
      </c>
      <c r="O471" s="44" t="str">
        <f>INDEX(CLEANED_MotorPH_Products_List_2!K:K,MATCH(MotorPHSales[[#This Row],[Product]],CLEANED_MotorPH_Products_List_2!B:B,0))</f>
        <v>Mid-range</v>
      </c>
      <c r="P471" s="45">
        <f>IF(MotorPHSales[[#This Row],[Segment]]="Entry-level",MotorPHSales[[#This Row],[UnitPrice]]/(1+30%),IF(MotorPHSales[[#This Row],[Segment]]="Mid-range",MotorPHSales[[#This Row],[UnitPrice]]/(1+35%),MotorPHSales[[#This Row],[UnitPrice]]/(1+40%)))*MotorPHSales[[#This Row],[Quantity]]</f>
        <v>148074.07407407407</v>
      </c>
      <c r="Q471" s="44" t="str">
        <f>INDEX(CLEANED_MotorPH_Products_List_2!H:H,MATCH(MotorPHSales[[#This Row],[Product]],CLEANED_MotorPH_Products_List_2!$B:$B,0))</f>
        <v>6-speed</v>
      </c>
    </row>
    <row r="472" spans="1:17" ht="15.75" x14ac:dyDescent="0.3">
      <c r="A472" s="43">
        <v>45841</v>
      </c>
      <c r="B472" s="44" t="str">
        <f>TEXT(MotorPHSales[[#This Row],[Date]],"mmmm")</f>
        <v>July</v>
      </c>
      <c r="C472" s="44">
        <f>DAY(MotorPHSales[[#This Row],[Date]])</f>
        <v>3</v>
      </c>
      <c r="D472" s="44">
        <f>YEAR(MotorPHSales[[#This Row],[Date]])</f>
        <v>2025</v>
      </c>
      <c r="E472" s="44" t="s">
        <v>194</v>
      </c>
      <c r="F472" s="44" t="s">
        <v>49</v>
      </c>
      <c r="G472" s="45">
        <v>68900</v>
      </c>
      <c r="H472" s="44">
        <v>16</v>
      </c>
      <c r="I472" s="45">
        <v>1102400</v>
      </c>
      <c r="J472" s="44" t="s">
        <v>197</v>
      </c>
      <c r="K472" s="44" t="str">
        <f>INDEX(CLEANED_MotorPH_Products_List_2!C:C,MATCH(MotorPHSales[[#This Row],[Product]],CLEANED_MotorPH_Products_List_2!$B:$B,0))</f>
        <v>Standard</v>
      </c>
      <c r="L472" s="44" t="str">
        <f>INDEX(CLEANED_MotorPH_Products_List_2!E:E,MATCH(MotorPHSales[[#This Row],[Product]],CLEANED_MotorPH_Products_List_2!$B:$B,0))</f>
        <v>Single cylinder</v>
      </c>
      <c r="M472" s="44" t="str">
        <f>INDEX(CLEANED_MotorPH_Products_List_2!F:F,MATCH(MotorPHSales[[#This Row],[Product]],CLEANED_MotorPH_Products_List_2!$B:$B,0))</f>
        <v>air-cooled</v>
      </c>
      <c r="N472" s="44" t="str">
        <f>INDEX(CLEANED_MotorPH_Products_List_2!G:G,MATCH(MotorPHSales[[#This Row],[Product]],CLEANED_MotorPH_Products_List_2!$B:$B,0))</f>
        <v>149cc</v>
      </c>
      <c r="O472" s="44" t="str">
        <f>INDEX(CLEANED_MotorPH_Products_List_2!K:K,MATCH(MotorPHSales[[#This Row],[Product]],CLEANED_MotorPH_Products_List_2!B:B,0))</f>
        <v>Entry-level</v>
      </c>
      <c r="P472" s="45">
        <f>IF(MotorPHSales[[#This Row],[Segment]]="Entry-level",MotorPHSales[[#This Row],[UnitPrice]]/(1+30%),IF(MotorPHSales[[#This Row],[Segment]]="Mid-range",MotorPHSales[[#This Row],[UnitPrice]]/(1+35%),MotorPHSales[[#This Row],[UnitPrice]]/(1+40%)))*MotorPHSales[[#This Row],[Quantity]]</f>
        <v>848000</v>
      </c>
      <c r="Q472" s="44" t="str">
        <f>INDEX(CLEANED_MotorPH_Products_List_2!H:H,MATCH(MotorPHSales[[#This Row],[Product]],CLEANED_MotorPH_Products_List_2!$B:$B,0))</f>
        <v>5-speed</v>
      </c>
    </row>
    <row r="473" spans="1:17" ht="15.75" x14ac:dyDescent="0.3">
      <c r="A473" s="43">
        <v>45831</v>
      </c>
      <c r="B473" s="44" t="str">
        <f>TEXT(MotorPHSales[[#This Row],[Date]],"mmmm")</f>
        <v>June</v>
      </c>
      <c r="C473" s="44">
        <f>DAY(MotorPHSales[[#This Row],[Date]])</f>
        <v>23</v>
      </c>
      <c r="D473" s="44">
        <f>YEAR(MotorPHSales[[#This Row],[Date]])</f>
        <v>2025</v>
      </c>
      <c r="E473" s="44" t="s">
        <v>194</v>
      </c>
      <c r="F473" s="44" t="s">
        <v>97</v>
      </c>
      <c r="G473" s="45">
        <v>269000</v>
      </c>
      <c r="H473" s="44">
        <v>50</v>
      </c>
      <c r="I473" s="45">
        <v>13450000</v>
      </c>
      <c r="J473" s="44" t="s">
        <v>197</v>
      </c>
      <c r="K473" s="44" t="str">
        <f>INDEX(CLEANED_MotorPH_Products_List_2!C:C,MATCH(MotorPHSales[[#This Row],[Product]],CLEANED_MotorPH_Products_List_2!$B:$B,0))</f>
        <v>Cafe racer</v>
      </c>
      <c r="L473" s="44" t="str">
        <f>INDEX(CLEANED_MotorPH_Products_List_2!E:E,MATCH(MotorPHSales[[#This Row],[Product]],CLEANED_MotorPH_Products_List_2!$B:$B,0))</f>
        <v>Single cylinder</v>
      </c>
      <c r="M473" s="44" t="str">
        <f>INDEX(CLEANED_MotorPH_Products_List_2!F:F,MATCH(MotorPHSales[[#This Row],[Product]],CLEANED_MotorPH_Products_List_2!$B:$B,0))</f>
        <v>liquid-cooled</v>
      </c>
      <c r="N473" s="44" t="str">
        <f>INDEX(CLEANED_MotorPH_Products_List_2!G:G,MATCH(MotorPHSales[[#This Row],[Product]],CLEANED_MotorPH_Products_List_2!$B:$B,0))</f>
        <v>348cc</v>
      </c>
      <c r="O473" s="44" t="str">
        <f>INDEX(CLEANED_MotorPH_Products_List_2!K:K,MATCH(MotorPHSales[[#This Row],[Product]],CLEANED_MotorPH_Products_List_2!B:B,0))</f>
        <v>Mid-range</v>
      </c>
      <c r="P473" s="45">
        <f>IF(MotorPHSales[[#This Row],[Segment]]="Entry-level",MotorPHSales[[#This Row],[UnitPrice]]/(1+30%),IF(MotorPHSales[[#This Row],[Segment]]="Mid-range",MotorPHSales[[#This Row],[UnitPrice]]/(1+35%),MotorPHSales[[#This Row],[UnitPrice]]/(1+40%)))*MotorPHSales[[#This Row],[Quantity]]</f>
        <v>9962962.9629629627</v>
      </c>
      <c r="Q473" s="44" t="str">
        <f>INDEX(CLEANED_MotorPH_Products_List_2!H:H,MATCH(MotorPHSales[[#This Row],[Product]],CLEANED_MotorPH_Products_List_2!$B:$B,0))</f>
        <v>6-speed</v>
      </c>
    </row>
    <row r="474" spans="1:17" ht="15.75" x14ac:dyDescent="0.3">
      <c r="A474" s="43">
        <v>45818</v>
      </c>
      <c r="B474" s="44" t="str">
        <f>TEXT(MotorPHSales[[#This Row],[Date]],"mmmm")</f>
        <v>June</v>
      </c>
      <c r="C474" s="44">
        <f>DAY(MotorPHSales[[#This Row],[Date]])</f>
        <v>10</v>
      </c>
      <c r="D474" s="44">
        <f>YEAR(MotorPHSales[[#This Row],[Date]])</f>
        <v>2025</v>
      </c>
      <c r="E474" s="44" t="s">
        <v>196</v>
      </c>
      <c r="F474" s="44" t="s">
        <v>34</v>
      </c>
      <c r="G474" s="45">
        <v>320000</v>
      </c>
      <c r="H474" s="44">
        <v>20</v>
      </c>
      <c r="I474" s="45">
        <v>6400000</v>
      </c>
      <c r="J474" s="44" t="s">
        <v>198</v>
      </c>
      <c r="K474" s="44" t="str">
        <f>INDEX(CLEANED_MotorPH_Products_List_2!C:C,MATCH(MotorPHSales[[#This Row],[Product]],CLEANED_MotorPH_Products_List_2!$B:$B,0))</f>
        <v>Adventure</v>
      </c>
      <c r="L474" s="44" t="str">
        <f>INDEX(CLEANED_MotorPH_Products_List_2!E:E,MATCH(MotorPHSales[[#This Row],[Product]],CLEANED_MotorPH_Products_List_2!$B:$B,0))</f>
        <v>Single cylinder</v>
      </c>
      <c r="M474" s="44" t="str">
        <f>INDEX(CLEANED_MotorPH_Products_List_2!F:F,MATCH(MotorPHSales[[#This Row],[Product]],CLEANED_MotorPH_Products_List_2!$B:$B,0))</f>
        <v>liquid-cooled</v>
      </c>
      <c r="N474" s="44" t="str">
        <f>INDEX(CLEANED_MotorPH_Products_List_2!G:G,MATCH(MotorPHSales[[#This Row],[Product]],CLEANED_MotorPH_Products_List_2!$B:$B,0))</f>
        <v>313cc</v>
      </c>
      <c r="O474" s="44" t="str">
        <f>INDEX(CLEANED_MotorPH_Products_List_2!K:K,MATCH(MotorPHSales[[#This Row],[Product]],CLEANED_MotorPH_Products_List_2!B:B,0))</f>
        <v>Mid-range</v>
      </c>
      <c r="P474" s="45">
        <f>IF(MotorPHSales[[#This Row],[Segment]]="Entry-level",MotorPHSales[[#This Row],[UnitPrice]]/(1+30%),IF(MotorPHSales[[#This Row],[Segment]]="Mid-range",MotorPHSales[[#This Row],[UnitPrice]]/(1+35%),MotorPHSales[[#This Row],[UnitPrice]]/(1+40%)))*MotorPHSales[[#This Row],[Quantity]]</f>
        <v>4740740.7407407407</v>
      </c>
      <c r="Q474" s="44" t="str">
        <f>INDEX(CLEANED_MotorPH_Products_List_2!H:H,MATCH(MotorPHSales[[#This Row],[Product]],CLEANED_MotorPH_Products_List_2!$B:$B,0))</f>
        <v>6-speed</v>
      </c>
    </row>
    <row r="475" spans="1:17" ht="15.75" x14ac:dyDescent="0.3">
      <c r="A475" s="43">
        <v>45877</v>
      </c>
      <c r="B475" s="44" t="str">
        <f>TEXT(MotorPHSales[[#This Row],[Date]],"mmmm")</f>
        <v>August</v>
      </c>
      <c r="C475" s="44">
        <f>DAY(MotorPHSales[[#This Row],[Date]])</f>
        <v>8</v>
      </c>
      <c r="D475" s="44">
        <f>YEAR(MotorPHSales[[#This Row],[Date]])</f>
        <v>2025</v>
      </c>
      <c r="E475" s="44" t="s">
        <v>194</v>
      </c>
      <c r="F475" s="44" t="s">
        <v>97</v>
      </c>
      <c r="G475" s="45">
        <v>269000</v>
      </c>
      <c r="H475" s="44">
        <v>11</v>
      </c>
      <c r="I475" s="45">
        <v>2959000</v>
      </c>
      <c r="J475" s="44" t="s">
        <v>195</v>
      </c>
      <c r="K475" s="44" t="str">
        <f>INDEX(CLEANED_MotorPH_Products_List_2!C:C,MATCH(MotorPHSales[[#This Row],[Product]],CLEANED_MotorPH_Products_List_2!$B:$B,0))</f>
        <v>Cafe racer</v>
      </c>
      <c r="L475" s="44" t="str">
        <f>INDEX(CLEANED_MotorPH_Products_List_2!E:E,MATCH(MotorPHSales[[#This Row],[Product]],CLEANED_MotorPH_Products_List_2!$B:$B,0))</f>
        <v>Single cylinder</v>
      </c>
      <c r="M475" s="44" t="str">
        <f>INDEX(CLEANED_MotorPH_Products_List_2!F:F,MATCH(MotorPHSales[[#This Row],[Product]],CLEANED_MotorPH_Products_List_2!$B:$B,0))</f>
        <v>liquid-cooled</v>
      </c>
      <c r="N475" s="44" t="str">
        <f>INDEX(CLEANED_MotorPH_Products_List_2!G:G,MATCH(MotorPHSales[[#This Row],[Product]],CLEANED_MotorPH_Products_List_2!$B:$B,0))</f>
        <v>348cc</v>
      </c>
      <c r="O475" s="44" t="str">
        <f>INDEX(CLEANED_MotorPH_Products_List_2!K:K,MATCH(MotorPHSales[[#This Row],[Product]],CLEANED_MotorPH_Products_List_2!B:B,0))</f>
        <v>Mid-range</v>
      </c>
      <c r="P475" s="45">
        <f>IF(MotorPHSales[[#This Row],[Segment]]="Entry-level",MotorPHSales[[#This Row],[UnitPrice]]/(1+30%),IF(MotorPHSales[[#This Row],[Segment]]="Mid-range",MotorPHSales[[#This Row],[UnitPrice]]/(1+35%),MotorPHSales[[#This Row],[UnitPrice]]/(1+40%)))*MotorPHSales[[#This Row],[Quantity]]</f>
        <v>2191851.8518518517</v>
      </c>
      <c r="Q475" s="44" t="str">
        <f>INDEX(CLEANED_MotorPH_Products_List_2!H:H,MATCH(MotorPHSales[[#This Row],[Product]],CLEANED_MotorPH_Products_List_2!$B:$B,0))</f>
        <v>6-speed</v>
      </c>
    </row>
    <row r="476" spans="1:17" ht="15.75" x14ac:dyDescent="0.3">
      <c r="A476" s="43">
        <v>45842</v>
      </c>
      <c r="B476" s="44" t="str">
        <f>TEXT(MotorPHSales[[#This Row],[Date]],"mmmm")</f>
        <v>July</v>
      </c>
      <c r="C476" s="44">
        <f>DAY(MotorPHSales[[#This Row],[Date]])</f>
        <v>4</v>
      </c>
      <c r="D476" s="44">
        <f>YEAR(MotorPHSales[[#This Row],[Date]])</f>
        <v>2025</v>
      </c>
      <c r="E476" s="44" t="s">
        <v>196</v>
      </c>
      <c r="F476" s="44" t="s">
        <v>55</v>
      </c>
      <c r="G476" s="45">
        <v>80900</v>
      </c>
      <c r="H476" s="44">
        <v>18</v>
      </c>
      <c r="I476" s="45">
        <v>1456200</v>
      </c>
      <c r="J476" s="44" t="s">
        <v>198</v>
      </c>
      <c r="K476" s="44" t="str">
        <f>INDEX(CLEANED_MotorPH_Products_List_2!C:C,MATCH(MotorPHSales[[#This Row],[Product]],CLEANED_MotorPH_Products_List_2!$B:$B,0))</f>
        <v>Scooter</v>
      </c>
      <c r="L476" s="44" t="str">
        <f>INDEX(CLEANED_MotorPH_Products_List_2!E:E,MATCH(MotorPHSales[[#This Row],[Product]],CLEANED_MotorPH_Products_List_2!$B:$B,0))</f>
        <v>Single cylinder</v>
      </c>
      <c r="M476" s="44" t="str">
        <f>INDEX(CLEANED_MotorPH_Products_List_2!F:F,MATCH(MotorPHSales[[#This Row],[Product]],CLEANED_MotorPH_Products_List_2!$B:$B,0))</f>
        <v>liquid-cooled</v>
      </c>
      <c r="N476" s="44" t="str">
        <f>INDEX(CLEANED_MotorPH_Products_List_2!G:G,MATCH(MotorPHSales[[#This Row],[Product]],CLEANED_MotorPH_Products_List_2!$B:$B,0))</f>
        <v>125cc</v>
      </c>
      <c r="O476" s="44" t="str">
        <f>INDEX(CLEANED_MotorPH_Products_List_2!K:K,MATCH(MotorPHSales[[#This Row],[Product]],CLEANED_MotorPH_Products_List_2!B:B,0))</f>
        <v>Entry-level</v>
      </c>
      <c r="P476" s="45">
        <f>IF(MotorPHSales[[#This Row],[Segment]]="Entry-level",MotorPHSales[[#This Row],[UnitPrice]]/(1+30%),IF(MotorPHSales[[#This Row],[Segment]]="Mid-range",MotorPHSales[[#This Row],[UnitPrice]]/(1+35%),MotorPHSales[[#This Row],[UnitPrice]]/(1+40%)))*MotorPHSales[[#This Row],[Quantity]]</f>
        <v>1120153.846153846</v>
      </c>
      <c r="Q476" s="44" t="str">
        <f>INDEX(CLEANED_MotorPH_Products_List_2!H:H,MATCH(MotorPHSales[[#This Row],[Product]],CLEANED_MotorPH_Products_List_2!$B:$B,0))</f>
        <v>CVT</v>
      </c>
    </row>
    <row r="477" spans="1:17" ht="15.75" x14ac:dyDescent="0.3">
      <c r="A477" s="43">
        <v>45860</v>
      </c>
      <c r="B477" s="44" t="str">
        <f>TEXT(MotorPHSales[[#This Row],[Date]],"mmmm")</f>
        <v>July</v>
      </c>
      <c r="C477" s="44">
        <f>DAY(MotorPHSales[[#This Row],[Date]])</f>
        <v>22</v>
      </c>
      <c r="D477" s="44">
        <f>YEAR(MotorPHSales[[#This Row],[Date]])</f>
        <v>2025</v>
      </c>
      <c r="E477" s="44" t="s">
        <v>196</v>
      </c>
      <c r="F477" s="44" t="s">
        <v>32</v>
      </c>
      <c r="G477" s="45">
        <v>198000</v>
      </c>
      <c r="H477" s="44">
        <v>1</v>
      </c>
      <c r="I477" s="45">
        <v>198000</v>
      </c>
      <c r="J477" s="44" t="s">
        <v>195</v>
      </c>
      <c r="K477" s="44" t="str">
        <f>INDEX(CLEANED_MotorPH_Products_List_2!C:C,MATCH(MotorPHSales[[#This Row],[Product]],CLEANED_MotorPH_Products_List_2!$B:$B,0))</f>
        <v>Sport</v>
      </c>
      <c r="L477" s="44" t="str">
        <f>INDEX(CLEANED_MotorPH_Products_List_2!E:E,MATCH(MotorPHSales[[#This Row],[Product]],CLEANED_MotorPH_Products_List_2!$B:$B,0))</f>
        <v>Single cylinder</v>
      </c>
      <c r="M477" s="44" t="str">
        <f>INDEX(CLEANED_MotorPH_Products_List_2!F:F,MATCH(MotorPHSales[[#This Row],[Product]],CLEANED_MotorPH_Products_List_2!$B:$B,0))</f>
        <v>liquid-cooled</v>
      </c>
      <c r="N477" s="44" t="str">
        <f>INDEX(CLEANED_MotorPH_Products_List_2!G:G,MATCH(MotorPHSales[[#This Row],[Product]],CLEANED_MotorPH_Products_List_2!$B:$B,0))</f>
        <v>199cc</v>
      </c>
      <c r="O477" s="44" t="str">
        <f>INDEX(CLEANED_MotorPH_Products_List_2!K:K,MATCH(MotorPHSales[[#This Row],[Product]],CLEANED_MotorPH_Products_List_2!B:B,0))</f>
        <v>Entry-level</v>
      </c>
      <c r="P477" s="45">
        <f>IF(MotorPHSales[[#This Row],[Segment]]="Entry-level",MotorPHSales[[#This Row],[UnitPrice]]/(1+30%),IF(MotorPHSales[[#This Row],[Segment]]="Mid-range",MotorPHSales[[#This Row],[UnitPrice]]/(1+35%),MotorPHSales[[#This Row],[UnitPrice]]/(1+40%)))*MotorPHSales[[#This Row],[Quantity]]</f>
        <v>152307.69230769231</v>
      </c>
      <c r="Q477" s="44" t="str">
        <f>INDEX(CLEANED_MotorPH_Products_List_2!H:H,MATCH(MotorPHSales[[#This Row],[Product]],CLEANED_MotorPH_Products_List_2!$B:$B,0))</f>
        <v>6-speed</v>
      </c>
    </row>
    <row r="478" spans="1:17" ht="15.75" x14ac:dyDescent="0.3">
      <c r="A478" s="43">
        <v>45818</v>
      </c>
      <c r="B478" s="44" t="str">
        <f>TEXT(MotorPHSales[[#This Row],[Date]],"mmmm")</f>
        <v>June</v>
      </c>
      <c r="C478" s="44">
        <f>DAY(MotorPHSales[[#This Row],[Date]])</f>
        <v>10</v>
      </c>
      <c r="D478" s="44">
        <f>YEAR(MotorPHSales[[#This Row],[Date]])</f>
        <v>2025</v>
      </c>
      <c r="E478" s="44" t="s">
        <v>194</v>
      </c>
      <c r="F478" s="44" t="s">
        <v>99</v>
      </c>
      <c r="G478" s="45">
        <v>689000</v>
      </c>
      <c r="H478" s="44">
        <v>16</v>
      </c>
      <c r="I478" s="45">
        <v>11024000</v>
      </c>
      <c r="J478" s="44" t="s">
        <v>197</v>
      </c>
      <c r="K478" s="44" t="str">
        <f>INDEX(CLEANED_MotorPH_Products_List_2!C:C,MATCH(MotorPHSales[[#This Row],[Product]],CLEANED_MotorPH_Products_List_2!$B:$B,0))</f>
        <v>Heritage</v>
      </c>
      <c r="L478" s="44" t="str">
        <f>INDEX(CLEANED_MotorPH_Products_List_2!E:E,MATCH(MotorPHSales[[#This Row],[Product]],CLEANED_MotorPH_Products_List_2!$B:$B,0))</f>
        <v>V-twin</v>
      </c>
      <c r="M478" s="44" t="str">
        <f>INDEX(CLEANED_MotorPH_Products_List_2!F:F,MATCH(MotorPHSales[[#This Row],[Product]],CLEANED_MotorPH_Products_List_2!$B:$B,0))</f>
        <v>air-cooled</v>
      </c>
      <c r="N478" s="44" t="str">
        <f>INDEX(CLEANED_MotorPH_Products_List_2!G:G,MATCH(MotorPHSales[[#This Row],[Product]],CLEANED_MotorPH_Products_List_2!$B:$B,0))</f>
        <v>853cc</v>
      </c>
      <c r="O478" s="44" t="str">
        <f>INDEX(CLEANED_MotorPH_Products_List_2!K:K,MATCH(MotorPHSales[[#This Row],[Product]],CLEANED_MotorPH_Products_List_2!B:B,0))</f>
        <v>Premium</v>
      </c>
      <c r="P478" s="45">
        <f>IF(MotorPHSales[[#This Row],[Segment]]="Entry-level",MotorPHSales[[#This Row],[UnitPrice]]/(1+30%),IF(MotorPHSales[[#This Row],[Segment]]="Mid-range",MotorPHSales[[#This Row],[UnitPrice]]/(1+35%),MotorPHSales[[#This Row],[UnitPrice]]/(1+40%)))*MotorPHSales[[#This Row],[Quantity]]</f>
        <v>7874285.7142857146</v>
      </c>
      <c r="Q478" s="44" t="str">
        <f>INDEX(CLEANED_MotorPH_Products_List_2!H:H,MATCH(MotorPHSales[[#This Row],[Product]],CLEANED_MotorPH_Products_List_2!$B:$B,0))</f>
        <v>6-speed</v>
      </c>
    </row>
    <row r="479" spans="1:17" ht="15.75" x14ac:dyDescent="0.3">
      <c r="A479" s="43">
        <v>45827</v>
      </c>
      <c r="B479" s="44" t="str">
        <f>TEXT(MotorPHSales[[#This Row],[Date]],"mmmm")</f>
        <v>June</v>
      </c>
      <c r="C479" s="44">
        <f>DAY(MotorPHSales[[#This Row],[Date]])</f>
        <v>19</v>
      </c>
      <c r="D479" s="44">
        <f>YEAR(MotorPHSales[[#This Row],[Date]])</f>
        <v>2025</v>
      </c>
      <c r="E479" s="44" t="s">
        <v>196</v>
      </c>
      <c r="F479" s="44" t="s">
        <v>42</v>
      </c>
      <c r="G479" s="45">
        <v>125000</v>
      </c>
      <c r="H479" s="44">
        <v>3</v>
      </c>
      <c r="I479" s="45">
        <v>375000</v>
      </c>
      <c r="J479" s="44" t="s">
        <v>198</v>
      </c>
      <c r="K479" s="44" t="str">
        <f>INDEX(CLEANED_MotorPH_Products_List_2!C:C,MATCH(MotorPHSales[[#This Row],[Product]],CLEANED_MotorPH_Products_List_2!$B:$B,0))</f>
        <v>Naked bike</v>
      </c>
      <c r="L479" s="44" t="str">
        <f>INDEX(CLEANED_MotorPH_Products_List_2!E:E,MATCH(MotorPHSales[[#This Row],[Product]],CLEANED_MotorPH_Products_List_2!$B:$B,0))</f>
        <v>Single cylinder</v>
      </c>
      <c r="M479" s="44" t="str">
        <f>INDEX(CLEANED_MotorPH_Products_List_2!F:F,MATCH(MotorPHSales[[#This Row],[Product]],CLEANED_MotorPH_Products_List_2!$B:$B,0))</f>
        <v>liquid-cooled</v>
      </c>
      <c r="N479" s="44" t="str">
        <f>INDEX(CLEANED_MotorPH_Products_List_2!G:G,MATCH(MotorPHSales[[#This Row],[Product]],CLEANED_MotorPH_Products_List_2!$B:$B,0))</f>
        <v>147cc</v>
      </c>
      <c r="O479" s="44" t="str">
        <f>INDEX(CLEANED_MotorPH_Products_List_2!K:K,MATCH(MotorPHSales[[#This Row],[Product]],CLEANED_MotorPH_Products_List_2!B:B,0))</f>
        <v>Entry-level</v>
      </c>
      <c r="P479" s="45">
        <f>IF(MotorPHSales[[#This Row],[Segment]]="Entry-level",MotorPHSales[[#This Row],[UnitPrice]]/(1+30%),IF(MotorPHSales[[#This Row],[Segment]]="Mid-range",MotorPHSales[[#This Row],[UnitPrice]]/(1+35%),MotorPHSales[[#This Row],[UnitPrice]]/(1+40%)))*MotorPHSales[[#This Row],[Quantity]]</f>
        <v>288461.5384615385</v>
      </c>
      <c r="Q479" s="44" t="str">
        <f>INDEX(CLEANED_MotorPH_Products_List_2!H:H,MATCH(MotorPHSales[[#This Row],[Product]],CLEANED_MotorPH_Products_List_2!$B:$B,0))</f>
        <v>6-speed</v>
      </c>
    </row>
    <row r="480" spans="1:17" ht="15.75" x14ac:dyDescent="0.3">
      <c r="A480" s="43">
        <v>45866</v>
      </c>
      <c r="B480" s="44" t="str">
        <f>TEXT(MotorPHSales[[#This Row],[Date]],"mmmm")</f>
        <v>July</v>
      </c>
      <c r="C480" s="44">
        <f>DAY(MotorPHSales[[#This Row],[Date]])</f>
        <v>28</v>
      </c>
      <c r="D480" s="44">
        <f>YEAR(MotorPHSales[[#This Row],[Date]])</f>
        <v>2025</v>
      </c>
      <c r="E480" s="44" t="s">
        <v>196</v>
      </c>
      <c r="F480" s="44" t="s">
        <v>34</v>
      </c>
      <c r="G480" s="45">
        <v>320000</v>
      </c>
      <c r="H480" s="44">
        <v>9</v>
      </c>
      <c r="I480" s="45">
        <v>2880000</v>
      </c>
      <c r="J480" s="44" t="s">
        <v>198</v>
      </c>
      <c r="K480" s="44" t="str">
        <f>INDEX(CLEANED_MotorPH_Products_List_2!C:C,MATCH(MotorPHSales[[#This Row],[Product]],CLEANED_MotorPH_Products_List_2!$B:$B,0))</f>
        <v>Adventure</v>
      </c>
      <c r="L480" s="44" t="str">
        <f>INDEX(CLEANED_MotorPH_Products_List_2!E:E,MATCH(MotorPHSales[[#This Row],[Product]],CLEANED_MotorPH_Products_List_2!$B:$B,0))</f>
        <v>Single cylinder</v>
      </c>
      <c r="M480" s="44" t="str">
        <f>INDEX(CLEANED_MotorPH_Products_List_2!F:F,MATCH(MotorPHSales[[#This Row],[Product]],CLEANED_MotorPH_Products_List_2!$B:$B,0))</f>
        <v>liquid-cooled</v>
      </c>
      <c r="N480" s="44" t="str">
        <f>INDEX(CLEANED_MotorPH_Products_List_2!G:G,MATCH(MotorPHSales[[#This Row],[Product]],CLEANED_MotorPH_Products_List_2!$B:$B,0))</f>
        <v>313cc</v>
      </c>
      <c r="O480" s="44" t="str">
        <f>INDEX(CLEANED_MotorPH_Products_List_2!K:K,MATCH(MotorPHSales[[#This Row],[Product]],CLEANED_MotorPH_Products_List_2!B:B,0))</f>
        <v>Mid-range</v>
      </c>
      <c r="P480" s="45">
        <f>IF(MotorPHSales[[#This Row],[Segment]]="Entry-level",MotorPHSales[[#This Row],[UnitPrice]]/(1+30%),IF(MotorPHSales[[#This Row],[Segment]]="Mid-range",MotorPHSales[[#This Row],[UnitPrice]]/(1+35%),MotorPHSales[[#This Row],[UnitPrice]]/(1+40%)))*MotorPHSales[[#This Row],[Quantity]]</f>
        <v>2133333.333333333</v>
      </c>
      <c r="Q480" s="44" t="str">
        <f>INDEX(CLEANED_MotorPH_Products_List_2!H:H,MATCH(MotorPHSales[[#This Row],[Product]],CLEANED_MotorPH_Products_List_2!$B:$B,0))</f>
        <v>6-speed</v>
      </c>
    </row>
    <row r="481" spans="1:17" ht="15.75" x14ac:dyDescent="0.3">
      <c r="A481" s="43">
        <v>45809</v>
      </c>
      <c r="B481" s="44" t="str">
        <f>TEXT(MotorPHSales[[#This Row],[Date]],"mmmm")</f>
        <v>June</v>
      </c>
      <c r="C481" s="44">
        <f>DAY(MotorPHSales[[#This Row],[Date]])</f>
        <v>1</v>
      </c>
      <c r="D481" s="44">
        <f>YEAR(MotorPHSales[[#This Row],[Date]])</f>
        <v>2025</v>
      </c>
      <c r="E481" s="44" t="s">
        <v>194</v>
      </c>
      <c r="F481" s="44" t="s">
        <v>59</v>
      </c>
      <c r="G481" s="45">
        <v>67900</v>
      </c>
      <c r="H481" s="44">
        <v>6</v>
      </c>
      <c r="I481" s="45">
        <v>407400</v>
      </c>
      <c r="J481" s="44" t="s">
        <v>197</v>
      </c>
      <c r="K481" s="44" t="str">
        <f>INDEX(CLEANED_MotorPH_Products_List_2!C:C,MATCH(MotorPHSales[[#This Row],[Product]],CLEANED_MotorPH_Products_List_2!$B:$B,0))</f>
        <v>Commuter</v>
      </c>
      <c r="L481" s="44" t="str">
        <f>INDEX(CLEANED_MotorPH_Products_List_2!E:E,MATCH(MotorPHSales[[#This Row],[Product]],CLEANED_MotorPH_Products_List_2!$B:$B,0))</f>
        <v>Single cylinder</v>
      </c>
      <c r="M481" s="44" t="str">
        <f>INDEX(CLEANED_MotorPH_Products_List_2!F:F,MATCH(MotorPHSales[[#This Row],[Product]],CLEANED_MotorPH_Products_List_2!$B:$B,0))</f>
        <v>air-cooled</v>
      </c>
      <c r="N481" s="44" t="str">
        <f>INDEX(CLEANED_MotorPH_Products_List_2!G:G,MATCH(MotorPHSales[[#This Row],[Product]],CLEANED_MotorPH_Products_List_2!$B:$B,0))</f>
        <v>125cc</v>
      </c>
      <c r="O481" s="44" t="str">
        <f>INDEX(CLEANED_MotorPH_Products_List_2!K:K,MATCH(MotorPHSales[[#This Row],[Product]],CLEANED_MotorPH_Products_List_2!B:B,0))</f>
        <v>Entry-level</v>
      </c>
      <c r="P481" s="45">
        <f>IF(MotorPHSales[[#This Row],[Segment]]="Entry-level",MotorPHSales[[#This Row],[UnitPrice]]/(1+30%),IF(MotorPHSales[[#This Row],[Segment]]="Mid-range",MotorPHSales[[#This Row],[UnitPrice]]/(1+35%),MotorPHSales[[#This Row],[UnitPrice]]/(1+40%)))*MotorPHSales[[#This Row],[Quantity]]</f>
        <v>313384.61538461538</v>
      </c>
      <c r="Q481" s="44" t="str">
        <f>INDEX(CLEANED_MotorPH_Products_List_2!H:H,MATCH(MotorPHSales[[#This Row],[Product]],CLEANED_MotorPH_Products_List_2!$B:$B,0))</f>
        <v>4-speed</v>
      </c>
    </row>
    <row r="482" spans="1:17" ht="15.75" x14ac:dyDescent="0.3">
      <c r="A482" s="43">
        <v>45877</v>
      </c>
      <c r="B482" s="44" t="str">
        <f>TEXT(MotorPHSales[[#This Row],[Date]],"mmmm")</f>
        <v>August</v>
      </c>
      <c r="C482" s="44">
        <f>DAY(MotorPHSales[[#This Row],[Date]])</f>
        <v>8</v>
      </c>
      <c r="D482" s="44">
        <f>YEAR(MotorPHSales[[#This Row],[Date]])</f>
        <v>2025</v>
      </c>
      <c r="E482" s="44" t="s">
        <v>196</v>
      </c>
      <c r="F482" s="44" t="s">
        <v>14</v>
      </c>
      <c r="G482" s="45">
        <v>250000</v>
      </c>
      <c r="H482" s="44">
        <v>4</v>
      </c>
      <c r="I482" s="45">
        <v>1000000</v>
      </c>
      <c r="J482" s="44" t="s">
        <v>195</v>
      </c>
      <c r="K482" s="44" t="str">
        <f>INDEX(CLEANED_MotorPH_Products_List_2!C:C,MATCH(MotorPHSales[[#This Row],[Product]],CLEANED_MotorPH_Products_List_2!$B:$B,0))</f>
        <v>Classic</v>
      </c>
      <c r="L482" s="44" t="str">
        <f>INDEX(CLEANED_MotorPH_Products_List_2!E:E,MATCH(MotorPHSales[[#This Row],[Product]],CLEANED_MotorPH_Products_List_2!$B:$B,0))</f>
        <v>Single cylinder</v>
      </c>
      <c r="M482" s="44" t="str">
        <f>INDEX(CLEANED_MotorPH_Products_List_2!F:F,MATCH(MotorPHSales[[#This Row],[Product]],CLEANED_MotorPH_Products_List_2!$B:$B,0))</f>
        <v>air-cooled</v>
      </c>
      <c r="N482" s="44" t="str">
        <f>INDEX(CLEANED_MotorPH_Products_List_2!G:G,MATCH(MotorPHSales[[#This Row],[Product]],CLEANED_MotorPH_Products_List_2!$B:$B,0))</f>
        <v>349cc</v>
      </c>
      <c r="O482" s="44" t="str">
        <f>INDEX(CLEANED_MotorPH_Products_List_2!K:K,MATCH(MotorPHSales[[#This Row],[Product]],CLEANED_MotorPH_Products_List_2!B:B,0))</f>
        <v>Mid-range</v>
      </c>
      <c r="P482" s="45">
        <f>IF(MotorPHSales[[#This Row],[Segment]]="Entry-level",MotorPHSales[[#This Row],[UnitPrice]]/(1+30%),IF(MotorPHSales[[#This Row],[Segment]]="Mid-range",MotorPHSales[[#This Row],[UnitPrice]]/(1+35%),MotorPHSales[[#This Row],[UnitPrice]]/(1+40%)))*MotorPHSales[[#This Row],[Quantity]]</f>
        <v>740740.74074074067</v>
      </c>
      <c r="Q482" s="44" t="str">
        <f>INDEX(CLEANED_MotorPH_Products_List_2!H:H,MATCH(MotorPHSales[[#This Row],[Product]],CLEANED_MotorPH_Products_List_2!$B:$B,0))</f>
        <v>5-speed</v>
      </c>
    </row>
    <row r="483" spans="1:17" ht="15.75" x14ac:dyDescent="0.3">
      <c r="A483" s="43">
        <v>45812</v>
      </c>
      <c r="B483" s="44" t="str">
        <f>TEXT(MotorPHSales[[#This Row],[Date]],"mmmm")</f>
        <v>June</v>
      </c>
      <c r="C483" s="44">
        <f>DAY(MotorPHSales[[#This Row],[Date]])</f>
        <v>4</v>
      </c>
      <c r="D483" s="44">
        <f>YEAR(MotorPHSales[[#This Row],[Date]])</f>
        <v>2025</v>
      </c>
      <c r="E483" s="44" t="s">
        <v>196</v>
      </c>
      <c r="F483" s="44" t="s">
        <v>55</v>
      </c>
      <c r="G483" s="45">
        <v>80900</v>
      </c>
      <c r="H483" s="44">
        <v>14</v>
      </c>
      <c r="I483" s="45">
        <v>1132600</v>
      </c>
      <c r="J483" s="44" t="s">
        <v>198</v>
      </c>
      <c r="K483" s="44" t="str">
        <f>INDEX(CLEANED_MotorPH_Products_List_2!C:C,MATCH(MotorPHSales[[#This Row],[Product]],CLEANED_MotorPH_Products_List_2!$B:$B,0))</f>
        <v>Scooter</v>
      </c>
      <c r="L483" s="44" t="str">
        <f>INDEX(CLEANED_MotorPH_Products_List_2!E:E,MATCH(MotorPHSales[[#This Row],[Product]],CLEANED_MotorPH_Products_List_2!$B:$B,0))</f>
        <v>Single cylinder</v>
      </c>
      <c r="M483" s="44" t="str">
        <f>INDEX(CLEANED_MotorPH_Products_List_2!F:F,MATCH(MotorPHSales[[#This Row],[Product]],CLEANED_MotorPH_Products_List_2!$B:$B,0))</f>
        <v>liquid-cooled</v>
      </c>
      <c r="N483" s="44" t="str">
        <f>INDEX(CLEANED_MotorPH_Products_List_2!G:G,MATCH(MotorPHSales[[#This Row],[Product]],CLEANED_MotorPH_Products_List_2!$B:$B,0))</f>
        <v>125cc</v>
      </c>
      <c r="O483" s="44" t="str">
        <f>INDEX(CLEANED_MotorPH_Products_List_2!K:K,MATCH(MotorPHSales[[#This Row],[Product]],CLEANED_MotorPH_Products_List_2!B:B,0))</f>
        <v>Entry-level</v>
      </c>
      <c r="P483" s="45">
        <f>IF(MotorPHSales[[#This Row],[Segment]]="Entry-level",MotorPHSales[[#This Row],[UnitPrice]]/(1+30%),IF(MotorPHSales[[#This Row],[Segment]]="Mid-range",MotorPHSales[[#This Row],[UnitPrice]]/(1+35%),MotorPHSales[[#This Row],[UnitPrice]]/(1+40%)))*MotorPHSales[[#This Row],[Quantity]]</f>
        <v>871230.76923076913</v>
      </c>
      <c r="Q483" s="44" t="str">
        <f>INDEX(CLEANED_MotorPH_Products_List_2!H:H,MATCH(MotorPHSales[[#This Row],[Product]],CLEANED_MotorPH_Products_List_2!$B:$B,0))</f>
        <v>CVT</v>
      </c>
    </row>
    <row r="484" spans="1:17" ht="15.75" x14ac:dyDescent="0.3">
      <c r="A484" s="43">
        <v>45824</v>
      </c>
      <c r="B484" s="44" t="str">
        <f>TEXT(MotorPHSales[[#This Row],[Date]],"mmmm")</f>
        <v>June</v>
      </c>
      <c r="C484" s="44">
        <f>DAY(MotorPHSales[[#This Row],[Date]])</f>
        <v>16</v>
      </c>
      <c r="D484" s="44">
        <f>YEAR(MotorPHSales[[#This Row],[Date]])</f>
        <v>2025</v>
      </c>
      <c r="E484" s="44" t="s">
        <v>194</v>
      </c>
      <c r="F484" s="44" t="s">
        <v>68</v>
      </c>
      <c r="G484" s="45">
        <v>248000</v>
      </c>
      <c r="H484" s="44">
        <v>50</v>
      </c>
      <c r="I484" s="45">
        <v>12400000</v>
      </c>
      <c r="J484" s="44" t="s">
        <v>195</v>
      </c>
      <c r="K484" s="44" t="str">
        <f>INDEX(CLEANED_MotorPH_Products_List_2!C:C,MATCH(MotorPHSales[[#This Row],[Product]],CLEANED_MotorPH_Products_List_2!$B:$B,0))</f>
        <v>Adventure</v>
      </c>
      <c r="L484" s="44" t="str">
        <f>INDEX(CLEANED_MotorPH_Products_List_2!E:E,MATCH(MotorPHSales[[#This Row],[Product]],CLEANED_MotorPH_Products_List_2!$B:$B,0))</f>
        <v>Single cylinder</v>
      </c>
      <c r="M484" s="44" t="str">
        <f>INDEX(CLEANED_MotorPH_Products_List_2!F:F,MATCH(MotorPHSales[[#This Row],[Product]],CLEANED_MotorPH_Products_List_2!$B:$B,0))</f>
        <v>liquid-cooled</v>
      </c>
      <c r="N484" s="44" t="str">
        <f>INDEX(CLEANED_MotorPH_Products_List_2!G:G,MATCH(MotorPHSales[[#This Row],[Product]],CLEANED_MotorPH_Products_List_2!$B:$B,0))</f>
        <v>312cc</v>
      </c>
      <c r="O484" s="44" t="str">
        <f>INDEX(CLEANED_MotorPH_Products_List_2!K:K,MATCH(MotorPHSales[[#This Row],[Product]],CLEANED_MotorPH_Products_List_2!B:B,0))</f>
        <v>Mid-range</v>
      </c>
      <c r="P484" s="45">
        <f>IF(MotorPHSales[[#This Row],[Segment]]="Entry-level",MotorPHSales[[#This Row],[UnitPrice]]/(1+30%),IF(MotorPHSales[[#This Row],[Segment]]="Mid-range",MotorPHSales[[#This Row],[UnitPrice]]/(1+35%),MotorPHSales[[#This Row],[UnitPrice]]/(1+40%)))*MotorPHSales[[#This Row],[Quantity]]</f>
        <v>9185185.1851851847</v>
      </c>
      <c r="Q484" s="44" t="str">
        <f>INDEX(CLEANED_MotorPH_Products_List_2!H:H,MATCH(MotorPHSales[[#This Row],[Product]],CLEANED_MotorPH_Products_List_2!$B:$B,0))</f>
        <v>6-speed</v>
      </c>
    </row>
    <row r="485" spans="1:17" ht="15.75" x14ac:dyDescent="0.3">
      <c r="A485" s="43">
        <v>45832</v>
      </c>
      <c r="B485" s="44" t="str">
        <f>TEXT(MotorPHSales[[#This Row],[Date]],"mmmm")</f>
        <v>June</v>
      </c>
      <c r="C485" s="44">
        <f>DAY(MotorPHSales[[#This Row],[Date]])</f>
        <v>24</v>
      </c>
      <c r="D485" s="44">
        <f>YEAR(MotorPHSales[[#This Row],[Date]])</f>
        <v>2025</v>
      </c>
      <c r="E485" s="44" t="s">
        <v>194</v>
      </c>
      <c r="F485" s="44" t="s">
        <v>28</v>
      </c>
      <c r="G485" s="45">
        <v>164900</v>
      </c>
      <c r="H485" s="44">
        <v>13</v>
      </c>
      <c r="I485" s="45">
        <v>2143700</v>
      </c>
      <c r="J485" s="44" t="s">
        <v>195</v>
      </c>
      <c r="K485" s="44" t="str">
        <f>INDEX(CLEANED_MotorPH_Products_List_2!C:C,MATCH(MotorPHSales[[#This Row],[Product]],CLEANED_MotorPH_Products_List_2!$B:$B,0))</f>
        <v>Scooter</v>
      </c>
      <c r="L485" s="44" t="str">
        <f>INDEX(CLEANED_MotorPH_Products_List_2!E:E,MATCH(MotorPHSales[[#This Row],[Product]],CLEANED_MotorPH_Products_List_2!$B:$B,0))</f>
        <v>Single cylinder</v>
      </c>
      <c r="M485" s="44" t="str">
        <f>INDEX(CLEANED_MotorPH_Products_List_2!F:F,MATCH(MotorPHSales[[#This Row],[Product]],CLEANED_MotorPH_Products_List_2!$B:$B,0))</f>
        <v>liquid-cooled</v>
      </c>
      <c r="N485" s="44" t="str">
        <f>INDEX(CLEANED_MotorPH_Products_List_2!G:G,MATCH(MotorPHSales[[#This Row],[Product]],CLEANED_MotorPH_Products_List_2!$B:$B,0))</f>
        <v>157cc</v>
      </c>
      <c r="O485" s="44" t="str">
        <f>INDEX(CLEANED_MotorPH_Products_List_2!K:K,MATCH(MotorPHSales[[#This Row],[Product]],CLEANED_MotorPH_Products_List_2!B:B,0))</f>
        <v>Entry-level</v>
      </c>
      <c r="P485" s="45">
        <f>IF(MotorPHSales[[#This Row],[Segment]]="Entry-level",MotorPHSales[[#This Row],[UnitPrice]]/(1+30%),IF(MotorPHSales[[#This Row],[Segment]]="Mid-range",MotorPHSales[[#This Row],[UnitPrice]]/(1+35%),MotorPHSales[[#This Row],[UnitPrice]]/(1+40%)))*MotorPHSales[[#This Row],[Quantity]]</f>
        <v>1649000</v>
      </c>
      <c r="Q485" s="44" t="str">
        <f>INDEX(CLEANED_MotorPH_Products_List_2!H:H,MATCH(MotorPHSales[[#This Row],[Product]],CLEANED_MotorPH_Products_List_2!$B:$B,0))</f>
        <v>CVT</v>
      </c>
    </row>
    <row r="486" spans="1:17" ht="15.75" x14ac:dyDescent="0.3">
      <c r="A486" s="43">
        <v>45888</v>
      </c>
      <c r="B486" s="44" t="str">
        <f>TEXT(MotorPHSales[[#This Row],[Date]],"mmmm")</f>
        <v>August</v>
      </c>
      <c r="C486" s="44">
        <f>DAY(MotorPHSales[[#This Row],[Date]])</f>
        <v>19</v>
      </c>
      <c r="D486" s="44">
        <f>YEAR(MotorPHSales[[#This Row],[Date]])</f>
        <v>2025</v>
      </c>
      <c r="E486" s="44" t="s">
        <v>196</v>
      </c>
      <c r="F486" s="44" t="s">
        <v>68</v>
      </c>
      <c r="G486" s="45">
        <v>248000</v>
      </c>
      <c r="H486" s="44">
        <v>11</v>
      </c>
      <c r="I486" s="45">
        <v>2728000</v>
      </c>
      <c r="J486" s="44" t="s">
        <v>195</v>
      </c>
      <c r="K486" s="44" t="str">
        <f>INDEX(CLEANED_MotorPH_Products_List_2!C:C,MATCH(MotorPHSales[[#This Row],[Product]],CLEANED_MotorPH_Products_List_2!$B:$B,0))</f>
        <v>Adventure</v>
      </c>
      <c r="L486" s="44" t="str">
        <f>INDEX(CLEANED_MotorPH_Products_List_2!E:E,MATCH(MotorPHSales[[#This Row],[Product]],CLEANED_MotorPH_Products_List_2!$B:$B,0))</f>
        <v>Single cylinder</v>
      </c>
      <c r="M486" s="44" t="str">
        <f>INDEX(CLEANED_MotorPH_Products_List_2!F:F,MATCH(MotorPHSales[[#This Row],[Product]],CLEANED_MotorPH_Products_List_2!$B:$B,0))</f>
        <v>liquid-cooled</v>
      </c>
      <c r="N486" s="44" t="str">
        <f>INDEX(CLEANED_MotorPH_Products_List_2!G:G,MATCH(MotorPHSales[[#This Row],[Product]],CLEANED_MotorPH_Products_List_2!$B:$B,0))</f>
        <v>312cc</v>
      </c>
      <c r="O486" s="44" t="str">
        <f>INDEX(CLEANED_MotorPH_Products_List_2!K:K,MATCH(MotorPHSales[[#This Row],[Product]],CLEANED_MotorPH_Products_List_2!B:B,0))</f>
        <v>Mid-range</v>
      </c>
      <c r="P486" s="45">
        <f>IF(MotorPHSales[[#This Row],[Segment]]="Entry-level",MotorPHSales[[#This Row],[UnitPrice]]/(1+30%),IF(MotorPHSales[[#This Row],[Segment]]="Mid-range",MotorPHSales[[#This Row],[UnitPrice]]/(1+35%),MotorPHSales[[#This Row],[UnitPrice]]/(1+40%)))*MotorPHSales[[#This Row],[Quantity]]</f>
        <v>2020740.7407407404</v>
      </c>
      <c r="Q486" s="44" t="str">
        <f>INDEX(CLEANED_MotorPH_Products_List_2!H:H,MATCH(MotorPHSales[[#This Row],[Product]],CLEANED_MotorPH_Products_List_2!$B:$B,0))</f>
        <v>6-speed</v>
      </c>
    </row>
    <row r="487" spans="1:17" ht="15.75" x14ac:dyDescent="0.3">
      <c r="A487" s="43">
        <v>45810</v>
      </c>
      <c r="B487" s="44" t="str">
        <f>TEXT(MotorPHSales[[#This Row],[Date]],"mmmm")</f>
        <v>June</v>
      </c>
      <c r="C487" s="44">
        <f>DAY(MotorPHSales[[#This Row],[Date]])</f>
        <v>2</v>
      </c>
      <c r="D487" s="44">
        <f>YEAR(MotorPHSales[[#This Row],[Date]])</f>
        <v>2025</v>
      </c>
      <c r="E487" s="44" t="s">
        <v>196</v>
      </c>
      <c r="F487" s="44" t="s">
        <v>78</v>
      </c>
      <c r="G487" s="45">
        <v>99900</v>
      </c>
      <c r="H487" s="44">
        <v>5</v>
      </c>
      <c r="I487" s="45">
        <v>499500</v>
      </c>
      <c r="J487" s="44" t="s">
        <v>195</v>
      </c>
      <c r="K487" s="44" t="str">
        <f>INDEX(CLEANED_MotorPH_Products_List_2!C:C,MATCH(MotorPHSales[[#This Row],[Product]],CLEANED_MotorPH_Products_List_2!$B:$B,0))</f>
        <v>Street</v>
      </c>
      <c r="L487" s="44" t="str">
        <f>INDEX(CLEANED_MotorPH_Products_List_2!E:E,MATCH(MotorPHSales[[#This Row],[Product]],CLEANED_MotorPH_Products_List_2!$B:$B,0))</f>
        <v>Single cylinder</v>
      </c>
      <c r="M487" s="44" t="str">
        <f>INDEX(CLEANED_MotorPH_Products_List_2!F:F,MATCH(MotorPHSales[[#This Row],[Product]],CLEANED_MotorPH_Products_List_2!$B:$B,0))</f>
        <v>air-cooled</v>
      </c>
      <c r="N487" s="44" t="str">
        <f>INDEX(CLEANED_MotorPH_Products_List_2!G:G,MATCH(MotorPHSales[[#This Row],[Product]],CLEANED_MotorPH_Products_List_2!$B:$B,0))</f>
        <v>149cc</v>
      </c>
      <c r="O487" s="44" t="str">
        <f>INDEX(CLEANED_MotorPH_Products_List_2!K:K,MATCH(MotorPHSales[[#This Row],[Product]],CLEANED_MotorPH_Products_List_2!B:B,0))</f>
        <v>Entry-level</v>
      </c>
      <c r="P487" s="45">
        <f>IF(MotorPHSales[[#This Row],[Segment]]="Entry-level",MotorPHSales[[#This Row],[UnitPrice]]/(1+30%),IF(MotorPHSales[[#This Row],[Segment]]="Mid-range",MotorPHSales[[#This Row],[UnitPrice]]/(1+35%),MotorPHSales[[#This Row],[UnitPrice]]/(1+40%)))*MotorPHSales[[#This Row],[Quantity]]</f>
        <v>384230.76923076925</v>
      </c>
      <c r="Q487" s="44" t="str">
        <f>INDEX(CLEANED_MotorPH_Products_List_2!H:H,MATCH(MotorPHSales[[#This Row],[Product]],CLEANED_MotorPH_Products_List_2!$B:$B,0))</f>
        <v>5-speed</v>
      </c>
    </row>
    <row r="488" spans="1:17" ht="15.75" x14ac:dyDescent="0.3">
      <c r="A488" s="43">
        <v>45900</v>
      </c>
      <c r="B488" s="44" t="str">
        <f>TEXT(MotorPHSales[[#This Row],[Date]],"mmmm")</f>
        <v>August</v>
      </c>
      <c r="C488" s="44">
        <f>DAY(MotorPHSales[[#This Row],[Date]])</f>
        <v>31</v>
      </c>
      <c r="D488" s="44">
        <f>YEAR(MotorPHSales[[#This Row],[Date]])</f>
        <v>2025</v>
      </c>
      <c r="E488" s="44" t="s">
        <v>194</v>
      </c>
      <c r="F488" s="44" t="s">
        <v>18</v>
      </c>
      <c r="G488" s="45">
        <v>328000</v>
      </c>
      <c r="H488" s="44">
        <v>12</v>
      </c>
      <c r="I488" s="45">
        <v>3936000</v>
      </c>
      <c r="J488" s="44" t="s">
        <v>197</v>
      </c>
      <c r="K488" s="44" t="str">
        <f>INDEX(CLEANED_MotorPH_Products_List_2!C:C,MATCH(MotorPHSales[[#This Row],[Product]],CLEANED_MotorPH_Products_List_2!$B:$B,0))</f>
        <v>Cafe racer</v>
      </c>
      <c r="L488" s="44" t="str">
        <f>INDEX(CLEANED_MotorPH_Products_List_2!E:E,MATCH(MotorPHSales[[#This Row],[Product]],CLEANED_MotorPH_Products_List_2!$B:$B,0))</f>
        <v>Twin cylinder</v>
      </c>
      <c r="M488" s="44" t="str">
        <f>INDEX(CLEANED_MotorPH_Products_List_2!F:F,MATCH(MotorPHSales[[#This Row],[Product]],CLEANED_MotorPH_Products_List_2!$B:$B,0))</f>
        <v>air-cooled</v>
      </c>
      <c r="N488" s="44" t="str">
        <f>INDEX(CLEANED_MotorPH_Products_List_2!G:G,MATCH(MotorPHSales[[#This Row],[Product]],CLEANED_MotorPH_Products_List_2!$B:$B,0))</f>
        <v>471cc</v>
      </c>
      <c r="O488" s="44" t="str">
        <f>INDEX(CLEANED_MotorPH_Products_List_2!K:K,MATCH(MotorPHSales[[#This Row],[Product]],CLEANED_MotorPH_Products_List_2!B:B,0))</f>
        <v>Mid-range</v>
      </c>
      <c r="P488" s="45">
        <f>IF(MotorPHSales[[#This Row],[Segment]]="Entry-level",MotorPHSales[[#This Row],[UnitPrice]]/(1+30%),IF(MotorPHSales[[#This Row],[Segment]]="Mid-range",MotorPHSales[[#This Row],[UnitPrice]]/(1+35%),MotorPHSales[[#This Row],[UnitPrice]]/(1+40%)))*MotorPHSales[[#This Row],[Quantity]]</f>
        <v>2915555.5555555555</v>
      </c>
      <c r="Q488" s="44" t="str">
        <f>INDEX(CLEANED_MotorPH_Products_List_2!H:H,MATCH(MotorPHSales[[#This Row],[Product]],CLEANED_MotorPH_Products_List_2!$B:$B,0))</f>
        <v>6-speed</v>
      </c>
    </row>
    <row r="489" spans="1:17" ht="15.75" x14ac:dyDescent="0.3">
      <c r="A489" s="43">
        <v>45840</v>
      </c>
      <c r="B489" s="44" t="str">
        <f>TEXT(MotorPHSales[[#This Row],[Date]],"mmmm")</f>
        <v>July</v>
      </c>
      <c r="C489" s="44">
        <f>DAY(MotorPHSales[[#This Row],[Date]])</f>
        <v>2</v>
      </c>
      <c r="D489" s="44">
        <f>YEAR(MotorPHSales[[#This Row],[Date]])</f>
        <v>2025</v>
      </c>
      <c r="E489" s="44" t="s">
        <v>194</v>
      </c>
      <c r="F489" s="44" t="s">
        <v>88</v>
      </c>
      <c r="G489" s="45">
        <v>599000</v>
      </c>
      <c r="H489" s="44">
        <v>10</v>
      </c>
      <c r="I489" s="45">
        <v>5990000</v>
      </c>
      <c r="J489" s="44" t="s">
        <v>198</v>
      </c>
      <c r="K489" s="44" t="str">
        <f>INDEX(CLEANED_MotorPH_Products_List_2!C:C,MATCH(MotorPHSales[[#This Row],[Product]],CLEANED_MotorPH_Products_List_2!$B:$B,0))</f>
        <v>Naked bike</v>
      </c>
      <c r="L489" s="44" t="str">
        <f>INDEX(CLEANED_MotorPH_Products_List_2!E:E,MATCH(MotorPHSales[[#This Row],[Product]],CLEANED_MotorPH_Products_List_2!$B:$B,0))</f>
        <v>Parallel-twin</v>
      </c>
      <c r="M489" s="44" t="str">
        <f>INDEX(CLEANED_MotorPH_Products_List_2!F:F,MATCH(MotorPHSales[[#This Row],[Product]],CLEANED_MotorPH_Products_List_2!$B:$B,0))</f>
        <v>liquid-cooled</v>
      </c>
      <c r="N489" s="44" t="str">
        <f>INDEX(CLEANED_MotorPH_Products_List_2!G:G,MATCH(MotorPHSales[[#This Row],[Product]],CLEANED_MotorPH_Products_List_2!$B:$B,0))</f>
        <v>799cc</v>
      </c>
      <c r="O489" s="44" t="str">
        <f>INDEX(CLEANED_MotorPH_Products_List_2!K:K,MATCH(MotorPHSales[[#This Row],[Product]],CLEANED_MotorPH_Products_List_2!B:B,0))</f>
        <v>Premium</v>
      </c>
      <c r="P489" s="45">
        <f>IF(MotorPHSales[[#This Row],[Segment]]="Entry-level",MotorPHSales[[#This Row],[UnitPrice]]/(1+30%),IF(MotorPHSales[[#This Row],[Segment]]="Mid-range",MotorPHSales[[#This Row],[UnitPrice]]/(1+35%),MotorPHSales[[#This Row],[UnitPrice]]/(1+40%)))*MotorPHSales[[#This Row],[Quantity]]</f>
        <v>4278571.4285714291</v>
      </c>
      <c r="Q489" s="44" t="str">
        <f>INDEX(CLEANED_MotorPH_Products_List_2!H:H,MATCH(MotorPHSales[[#This Row],[Product]],CLEANED_MotorPH_Products_List_2!$B:$B,0))</f>
        <v>6-speed</v>
      </c>
    </row>
    <row r="490" spans="1:17" ht="15.75" x14ac:dyDescent="0.3">
      <c r="A490" s="43">
        <v>45899</v>
      </c>
      <c r="B490" s="44" t="str">
        <f>TEXT(MotorPHSales[[#This Row],[Date]],"mmmm")</f>
        <v>August</v>
      </c>
      <c r="C490" s="44">
        <f>DAY(MotorPHSales[[#This Row],[Date]])</f>
        <v>30</v>
      </c>
      <c r="D490" s="44">
        <f>YEAR(MotorPHSales[[#This Row],[Date]])</f>
        <v>2025</v>
      </c>
      <c r="E490" s="44" t="s">
        <v>194</v>
      </c>
      <c r="F490" s="44" t="s">
        <v>32</v>
      </c>
      <c r="G490" s="45">
        <v>198000</v>
      </c>
      <c r="H490" s="44">
        <v>26</v>
      </c>
      <c r="I490" s="45">
        <v>5148000</v>
      </c>
      <c r="J490" s="44" t="s">
        <v>198</v>
      </c>
      <c r="K490" s="44" t="str">
        <f>INDEX(CLEANED_MotorPH_Products_List_2!C:C,MATCH(MotorPHSales[[#This Row],[Product]],CLEANED_MotorPH_Products_List_2!$B:$B,0))</f>
        <v>Sport</v>
      </c>
      <c r="L490" s="44" t="str">
        <f>INDEX(CLEANED_MotorPH_Products_List_2!E:E,MATCH(MotorPHSales[[#This Row],[Product]],CLEANED_MotorPH_Products_List_2!$B:$B,0))</f>
        <v>Single cylinder</v>
      </c>
      <c r="M490" s="44" t="str">
        <f>INDEX(CLEANED_MotorPH_Products_List_2!F:F,MATCH(MotorPHSales[[#This Row],[Product]],CLEANED_MotorPH_Products_List_2!$B:$B,0))</f>
        <v>liquid-cooled</v>
      </c>
      <c r="N490" s="44" t="str">
        <f>INDEX(CLEANED_MotorPH_Products_List_2!G:G,MATCH(MotorPHSales[[#This Row],[Product]],CLEANED_MotorPH_Products_List_2!$B:$B,0))</f>
        <v>199cc</v>
      </c>
      <c r="O490" s="44" t="str">
        <f>INDEX(CLEANED_MotorPH_Products_List_2!K:K,MATCH(MotorPHSales[[#This Row],[Product]],CLEANED_MotorPH_Products_List_2!B:B,0))</f>
        <v>Entry-level</v>
      </c>
      <c r="P490" s="45">
        <f>IF(MotorPHSales[[#This Row],[Segment]]="Entry-level",MotorPHSales[[#This Row],[UnitPrice]]/(1+30%),IF(MotorPHSales[[#This Row],[Segment]]="Mid-range",MotorPHSales[[#This Row],[UnitPrice]]/(1+35%),MotorPHSales[[#This Row],[UnitPrice]]/(1+40%)))*MotorPHSales[[#This Row],[Quantity]]</f>
        <v>3960000</v>
      </c>
      <c r="Q490" s="44" t="str">
        <f>INDEX(CLEANED_MotorPH_Products_List_2!H:H,MATCH(MotorPHSales[[#This Row],[Product]],CLEANED_MotorPH_Products_List_2!$B:$B,0))</f>
        <v>6-speed</v>
      </c>
    </row>
    <row r="491" spans="1:17" ht="15.75" x14ac:dyDescent="0.3">
      <c r="A491" s="43">
        <v>45892</v>
      </c>
      <c r="B491" s="44" t="str">
        <f>TEXT(MotorPHSales[[#This Row],[Date]],"mmmm")</f>
        <v>August</v>
      </c>
      <c r="C491" s="44">
        <f>DAY(MotorPHSales[[#This Row],[Date]])</f>
        <v>23</v>
      </c>
      <c r="D491" s="44">
        <f>YEAR(MotorPHSales[[#This Row],[Date]])</f>
        <v>2025</v>
      </c>
      <c r="E491" s="44" t="s">
        <v>196</v>
      </c>
      <c r="F491" s="44" t="s">
        <v>40</v>
      </c>
      <c r="G491" s="45">
        <v>210000</v>
      </c>
      <c r="H491" s="44">
        <v>1</v>
      </c>
      <c r="I491" s="45">
        <v>210000</v>
      </c>
      <c r="J491" s="44" t="s">
        <v>195</v>
      </c>
      <c r="K491" s="44" t="str">
        <f>INDEX(CLEANED_MotorPH_Products_List_2!C:C,MATCH(MotorPHSales[[#This Row],[Product]],CLEANED_MotorPH_Products_List_2!$B:$B,0))</f>
        <v>Scooter</v>
      </c>
      <c r="L491" s="44" t="str">
        <f>INDEX(CLEANED_MotorPH_Products_List_2!E:E,MATCH(MotorPHSales[[#This Row],[Product]],CLEANED_MotorPH_Products_List_2!$B:$B,0))</f>
        <v>Single cylinder</v>
      </c>
      <c r="M491" s="44" t="str">
        <f>INDEX(CLEANED_MotorPH_Products_List_2!F:F,MATCH(MotorPHSales[[#This Row],[Product]],CLEANED_MotorPH_Products_List_2!$B:$B,0))</f>
        <v>air-cooled</v>
      </c>
      <c r="N491" s="44" t="str">
        <f>INDEX(CLEANED_MotorPH_Products_List_2!G:G,MATCH(MotorPHSales[[#This Row],[Product]],CLEANED_MotorPH_Products_List_2!$B:$B,0))</f>
        <v>150cc</v>
      </c>
      <c r="O491" s="44" t="str">
        <f>INDEX(CLEANED_MotorPH_Products_List_2!K:K,MATCH(MotorPHSales[[#This Row],[Product]],CLEANED_MotorPH_Products_List_2!B:B,0))</f>
        <v>Entry-level</v>
      </c>
      <c r="P491" s="45">
        <f>IF(MotorPHSales[[#This Row],[Segment]]="Entry-level",MotorPHSales[[#This Row],[UnitPrice]]/(1+30%),IF(MotorPHSales[[#This Row],[Segment]]="Mid-range",MotorPHSales[[#This Row],[UnitPrice]]/(1+35%),MotorPHSales[[#This Row],[UnitPrice]]/(1+40%)))*MotorPHSales[[#This Row],[Quantity]]</f>
        <v>161538.46153846153</v>
      </c>
      <c r="Q491" s="44" t="str">
        <f>INDEX(CLEANED_MotorPH_Products_List_2!H:H,MATCH(MotorPHSales[[#This Row],[Product]],CLEANED_MotorPH_Products_List_2!$B:$B,0))</f>
        <v>CVT</v>
      </c>
    </row>
    <row r="492" spans="1:17" ht="15.75" x14ac:dyDescent="0.3">
      <c r="A492" s="43">
        <v>45832</v>
      </c>
      <c r="B492" s="44" t="str">
        <f>TEXT(MotorPHSales[[#This Row],[Date]],"mmmm")</f>
        <v>June</v>
      </c>
      <c r="C492" s="44">
        <f>DAY(MotorPHSales[[#This Row],[Date]])</f>
        <v>24</v>
      </c>
      <c r="D492" s="44">
        <f>YEAR(MotorPHSales[[#This Row],[Date]])</f>
        <v>2025</v>
      </c>
      <c r="E492" s="44" t="s">
        <v>194</v>
      </c>
      <c r="F492" s="44" t="s">
        <v>42</v>
      </c>
      <c r="G492" s="45">
        <v>125000</v>
      </c>
      <c r="H492" s="44">
        <v>7</v>
      </c>
      <c r="I492" s="45">
        <v>875000</v>
      </c>
      <c r="J492" s="44" t="s">
        <v>197</v>
      </c>
      <c r="K492" s="44" t="str">
        <f>INDEX(CLEANED_MotorPH_Products_List_2!C:C,MATCH(MotorPHSales[[#This Row],[Product]],CLEANED_MotorPH_Products_List_2!$B:$B,0))</f>
        <v>Naked bike</v>
      </c>
      <c r="L492" s="44" t="str">
        <f>INDEX(CLEANED_MotorPH_Products_List_2!E:E,MATCH(MotorPHSales[[#This Row],[Product]],CLEANED_MotorPH_Products_List_2!$B:$B,0))</f>
        <v>Single cylinder</v>
      </c>
      <c r="M492" s="44" t="str">
        <f>INDEX(CLEANED_MotorPH_Products_List_2!F:F,MATCH(MotorPHSales[[#This Row],[Product]],CLEANED_MotorPH_Products_List_2!$B:$B,0))</f>
        <v>liquid-cooled</v>
      </c>
      <c r="N492" s="44" t="str">
        <f>INDEX(CLEANED_MotorPH_Products_List_2!G:G,MATCH(MotorPHSales[[#This Row],[Product]],CLEANED_MotorPH_Products_List_2!$B:$B,0))</f>
        <v>147cc</v>
      </c>
      <c r="O492" s="44" t="str">
        <f>INDEX(CLEANED_MotorPH_Products_List_2!K:K,MATCH(MotorPHSales[[#This Row],[Product]],CLEANED_MotorPH_Products_List_2!B:B,0))</f>
        <v>Entry-level</v>
      </c>
      <c r="P492" s="45">
        <f>IF(MotorPHSales[[#This Row],[Segment]]="Entry-level",MotorPHSales[[#This Row],[UnitPrice]]/(1+30%),IF(MotorPHSales[[#This Row],[Segment]]="Mid-range",MotorPHSales[[#This Row],[UnitPrice]]/(1+35%),MotorPHSales[[#This Row],[UnitPrice]]/(1+40%)))*MotorPHSales[[#This Row],[Quantity]]</f>
        <v>673076.92307692312</v>
      </c>
      <c r="Q492" s="44" t="str">
        <f>INDEX(CLEANED_MotorPH_Products_List_2!H:H,MATCH(MotorPHSales[[#This Row],[Product]],CLEANED_MotorPH_Products_List_2!$B:$B,0))</f>
        <v>6-speed</v>
      </c>
    </row>
    <row r="493" spans="1:17" ht="15.75" x14ac:dyDescent="0.3">
      <c r="A493" s="43">
        <v>45820</v>
      </c>
      <c r="B493" s="44" t="str">
        <f>TEXT(MotorPHSales[[#This Row],[Date]],"mmmm")</f>
        <v>June</v>
      </c>
      <c r="C493" s="44">
        <f>DAY(MotorPHSales[[#This Row],[Date]])</f>
        <v>12</v>
      </c>
      <c r="D493" s="44">
        <f>YEAR(MotorPHSales[[#This Row],[Date]])</f>
        <v>2025</v>
      </c>
      <c r="E493" s="44" t="s">
        <v>196</v>
      </c>
      <c r="F493" s="44" t="s">
        <v>6</v>
      </c>
      <c r="G493" s="45">
        <v>389000</v>
      </c>
      <c r="H493" s="44">
        <v>14</v>
      </c>
      <c r="I493" s="45">
        <v>5446000</v>
      </c>
      <c r="J493" s="44" t="s">
        <v>198</v>
      </c>
      <c r="K493" s="44" t="str">
        <f>INDEX(CLEANED_MotorPH_Products_List_2!C:C,MATCH(MotorPHSales[[#This Row],[Product]],CLEANED_MotorPH_Products_List_2!$B:$B,0))</f>
        <v>Sport</v>
      </c>
      <c r="L493" s="44" t="str">
        <f>INDEX(CLEANED_MotorPH_Products_List_2!E:E,MATCH(MotorPHSales[[#This Row],[Product]],CLEANED_MotorPH_Products_List_2!$B:$B,0))</f>
        <v>Parallel-twin</v>
      </c>
      <c r="M493" s="44" t="str">
        <f>INDEX(CLEANED_MotorPH_Products_List_2!F:F,MATCH(MotorPHSales[[#This Row],[Product]],CLEANED_MotorPH_Products_List_2!$B:$B,0))</f>
        <v>liquid-cooled</v>
      </c>
      <c r="N493" s="44" t="str">
        <f>INDEX(CLEANED_MotorPH_Products_List_2!G:G,MATCH(MotorPHSales[[#This Row],[Product]],CLEANED_MotorPH_Products_List_2!$B:$B,0))</f>
        <v>471cc</v>
      </c>
      <c r="O493" s="44" t="str">
        <f>INDEX(CLEANED_MotorPH_Products_List_2!K:K,MATCH(MotorPHSales[[#This Row],[Product]],CLEANED_MotorPH_Products_List_2!B:B,0))</f>
        <v>Mid-range</v>
      </c>
      <c r="P493" s="45">
        <f>IF(MotorPHSales[[#This Row],[Segment]]="Entry-level",MotorPHSales[[#This Row],[UnitPrice]]/(1+30%),IF(MotorPHSales[[#This Row],[Segment]]="Mid-range",MotorPHSales[[#This Row],[UnitPrice]]/(1+35%),MotorPHSales[[#This Row],[UnitPrice]]/(1+40%)))*MotorPHSales[[#This Row],[Quantity]]</f>
        <v>4034074.0740740742</v>
      </c>
      <c r="Q493" s="44" t="str">
        <f>INDEX(CLEANED_MotorPH_Products_List_2!H:H,MATCH(MotorPHSales[[#This Row],[Product]],CLEANED_MotorPH_Products_List_2!$B:$B,0))</f>
        <v>6-speed</v>
      </c>
    </row>
    <row r="494" spans="1:17" ht="15.75" x14ac:dyDescent="0.3">
      <c r="A494" s="43">
        <v>45858</v>
      </c>
      <c r="B494" s="44" t="str">
        <f>TEXT(MotorPHSales[[#This Row],[Date]],"mmmm")</f>
        <v>July</v>
      </c>
      <c r="C494" s="44">
        <f>DAY(MotorPHSales[[#This Row],[Date]])</f>
        <v>20</v>
      </c>
      <c r="D494" s="44">
        <f>YEAR(MotorPHSales[[#This Row],[Date]])</f>
        <v>2025</v>
      </c>
      <c r="E494" s="44" t="s">
        <v>196</v>
      </c>
      <c r="F494" s="44" t="s">
        <v>49</v>
      </c>
      <c r="G494" s="45">
        <v>68900</v>
      </c>
      <c r="H494" s="44">
        <v>7</v>
      </c>
      <c r="I494" s="45">
        <v>482300</v>
      </c>
      <c r="J494" s="44" t="s">
        <v>195</v>
      </c>
      <c r="K494" s="44" t="str">
        <f>INDEX(CLEANED_MotorPH_Products_List_2!C:C,MATCH(MotorPHSales[[#This Row],[Product]],CLEANED_MotorPH_Products_List_2!$B:$B,0))</f>
        <v>Standard</v>
      </c>
      <c r="L494" s="44" t="str">
        <f>INDEX(CLEANED_MotorPH_Products_List_2!E:E,MATCH(MotorPHSales[[#This Row],[Product]],CLEANED_MotorPH_Products_List_2!$B:$B,0))</f>
        <v>Single cylinder</v>
      </c>
      <c r="M494" s="44" t="str">
        <f>INDEX(CLEANED_MotorPH_Products_List_2!F:F,MATCH(MotorPHSales[[#This Row],[Product]],CLEANED_MotorPH_Products_List_2!$B:$B,0))</f>
        <v>air-cooled</v>
      </c>
      <c r="N494" s="44" t="str">
        <f>INDEX(CLEANED_MotorPH_Products_List_2!G:G,MATCH(MotorPHSales[[#This Row],[Product]],CLEANED_MotorPH_Products_List_2!$B:$B,0))</f>
        <v>149cc</v>
      </c>
      <c r="O494" s="44" t="str">
        <f>INDEX(CLEANED_MotorPH_Products_List_2!K:K,MATCH(MotorPHSales[[#This Row],[Product]],CLEANED_MotorPH_Products_List_2!B:B,0))</f>
        <v>Entry-level</v>
      </c>
      <c r="P494" s="45">
        <f>IF(MotorPHSales[[#This Row],[Segment]]="Entry-level",MotorPHSales[[#This Row],[UnitPrice]]/(1+30%),IF(MotorPHSales[[#This Row],[Segment]]="Mid-range",MotorPHSales[[#This Row],[UnitPrice]]/(1+35%),MotorPHSales[[#This Row],[UnitPrice]]/(1+40%)))*MotorPHSales[[#This Row],[Quantity]]</f>
        <v>371000</v>
      </c>
      <c r="Q494" s="44" t="str">
        <f>INDEX(CLEANED_MotorPH_Products_List_2!H:H,MATCH(MotorPHSales[[#This Row],[Product]],CLEANED_MotorPH_Products_List_2!$B:$B,0))</f>
        <v>5-speed</v>
      </c>
    </row>
    <row r="495" spans="1:17" ht="15.75" x14ac:dyDescent="0.3">
      <c r="A495" s="43">
        <v>45843</v>
      </c>
      <c r="B495" s="44" t="str">
        <f>TEXT(MotorPHSales[[#This Row],[Date]],"mmmm")</f>
        <v>July</v>
      </c>
      <c r="C495" s="44">
        <f>DAY(MotorPHSales[[#This Row],[Date]])</f>
        <v>5</v>
      </c>
      <c r="D495" s="44">
        <f>YEAR(MotorPHSales[[#This Row],[Date]])</f>
        <v>2025</v>
      </c>
      <c r="E495" s="44" t="s">
        <v>196</v>
      </c>
      <c r="F495" s="44" t="s">
        <v>84</v>
      </c>
      <c r="G495" s="45">
        <v>995000</v>
      </c>
      <c r="H495" s="44">
        <v>25</v>
      </c>
      <c r="I495" s="45">
        <v>24875000</v>
      </c>
      <c r="J495" s="44" t="s">
        <v>198</v>
      </c>
      <c r="K495" s="44" t="str">
        <f>INDEX(CLEANED_MotorPH_Products_List_2!C:C,MATCH(MotorPHSales[[#This Row],[Product]],CLEANED_MotorPH_Products_List_2!$B:$B,0))</f>
        <v>Heritage</v>
      </c>
      <c r="L495" s="44" t="str">
        <f>INDEX(CLEANED_MotorPH_Products_List_2!E:E,MATCH(MotorPHSales[[#This Row],[Product]],CLEANED_MotorPH_Products_List_2!$B:$B,0))</f>
        <v>Flat twin</v>
      </c>
      <c r="M495" s="44" t="str">
        <f>INDEX(CLEANED_MotorPH_Products_List_2!F:F,MATCH(MotorPHSales[[#This Row],[Product]],CLEANED_MotorPH_Products_List_2!$B:$B,0))</f>
        <v>air</v>
      </c>
      <c r="N495" s="44">
        <f>INDEX(CLEANED_MotorPH_Products_List_2!G:G,MATCH(MotorPHSales[[#This Row],[Product]],CLEANED_MotorPH_Products_List_2!$B:$B,0))</f>
        <v>0</v>
      </c>
      <c r="O495" s="44" t="str">
        <f>INDEX(CLEANED_MotorPH_Products_List_2!K:K,MATCH(MotorPHSales[[#This Row],[Product]],CLEANED_MotorPH_Products_List_2!B:B,0))</f>
        <v>Premium</v>
      </c>
      <c r="P495" s="45">
        <f>IF(MotorPHSales[[#This Row],[Segment]]="Entry-level",MotorPHSales[[#This Row],[UnitPrice]]/(1+30%),IF(MotorPHSales[[#This Row],[Segment]]="Mid-range",MotorPHSales[[#This Row],[UnitPrice]]/(1+35%),MotorPHSales[[#This Row],[UnitPrice]]/(1+40%)))*MotorPHSales[[#This Row],[Quantity]]</f>
        <v>17767857.142857146</v>
      </c>
      <c r="Q495" s="44">
        <f>INDEX(CLEANED_MotorPH_Products_List_2!H:H,MATCH(MotorPHSales[[#This Row],[Product]],CLEANED_MotorPH_Products_List_2!$B:$B,0))</f>
        <v>0</v>
      </c>
    </row>
    <row r="496" spans="1:17" ht="15.75" x14ac:dyDescent="0.3">
      <c r="A496" s="43">
        <v>45841</v>
      </c>
      <c r="B496" s="44" t="str">
        <f>TEXT(MotorPHSales[[#This Row],[Date]],"mmmm")</f>
        <v>July</v>
      </c>
      <c r="C496" s="44">
        <f>DAY(MotorPHSales[[#This Row],[Date]])</f>
        <v>3</v>
      </c>
      <c r="D496" s="44">
        <f>YEAR(MotorPHSales[[#This Row],[Date]])</f>
        <v>2025</v>
      </c>
      <c r="E496" s="44" t="s">
        <v>194</v>
      </c>
      <c r="F496" s="44" t="s">
        <v>30</v>
      </c>
      <c r="G496" s="45">
        <v>79900</v>
      </c>
      <c r="H496" s="44">
        <v>42</v>
      </c>
      <c r="I496" s="45">
        <v>3355800</v>
      </c>
      <c r="J496" s="44" t="s">
        <v>197</v>
      </c>
      <c r="K496" s="44" t="str">
        <f>INDEX(CLEANED_MotorPH_Products_List_2!C:C,MATCH(MotorPHSales[[#This Row],[Product]],CLEANED_MotorPH_Products_List_2!$B:$B,0))</f>
        <v>Scooter</v>
      </c>
      <c r="L496" s="44" t="str">
        <f>INDEX(CLEANED_MotorPH_Products_List_2!E:E,MATCH(MotorPHSales[[#This Row],[Product]],CLEANED_MotorPH_Products_List_2!$B:$B,0))</f>
        <v>Single cylinder</v>
      </c>
      <c r="M496" s="44" t="str">
        <f>INDEX(CLEANED_MotorPH_Products_List_2!F:F,MATCH(MotorPHSales[[#This Row],[Product]],CLEANED_MotorPH_Products_List_2!$B:$B,0))</f>
        <v>air-cooled</v>
      </c>
      <c r="N496" s="44" t="str">
        <f>INDEX(CLEANED_MotorPH_Products_List_2!G:G,MATCH(MotorPHSales[[#This Row],[Product]],CLEANED_MotorPH_Products_List_2!$B:$B,0))</f>
        <v>124cc</v>
      </c>
      <c r="O496" s="44" t="str">
        <f>INDEX(CLEANED_MotorPH_Products_List_2!K:K,MATCH(MotorPHSales[[#This Row],[Product]],CLEANED_MotorPH_Products_List_2!B:B,0))</f>
        <v>Entry-level</v>
      </c>
      <c r="P496" s="45">
        <f>IF(MotorPHSales[[#This Row],[Segment]]="Entry-level",MotorPHSales[[#This Row],[UnitPrice]]/(1+30%),IF(MotorPHSales[[#This Row],[Segment]]="Mid-range",MotorPHSales[[#This Row],[UnitPrice]]/(1+35%),MotorPHSales[[#This Row],[UnitPrice]]/(1+40%)))*MotorPHSales[[#This Row],[Quantity]]</f>
        <v>2581384.6153846155</v>
      </c>
      <c r="Q496" s="44" t="str">
        <f>INDEX(CLEANED_MotorPH_Products_List_2!H:H,MATCH(MotorPHSales[[#This Row],[Product]],CLEANED_MotorPH_Products_List_2!$B:$B,0))</f>
        <v>CVT</v>
      </c>
    </row>
    <row r="497" spans="1:17" ht="15.75" x14ac:dyDescent="0.3">
      <c r="A497" s="43">
        <v>45841</v>
      </c>
      <c r="B497" s="44" t="str">
        <f>TEXT(MotorPHSales[[#This Row],[Date]],"mmmm")</f>
        <v>July</v>
      </c>
      <c r="C497" s="44">
        <f>DAY(MotorPHSales[[#This Row],[Date]])</f>
        <v>3</v>
      </c>
      <c r="D497" s="44">
        <f>YEAR(MotorPHSales[[#This Row],[Date]])</f>
        <v>2025</v>
      </c>
      <c r="E497" s="44" t="s">
        <v>194</v>
      </c>
      <c r="F497" s="44" t="s">
        <v>99</v>
      </c>
      <c r="G497" s="45">
        <v>689000</v>
      </c>
      <c r="H497" s="44">
        <v>1</v>
      </c>
      <c r="I497" s="45">
        <v>689000</v>
      </c>
      <c r="J497" s="44" t="s">
        <v>195</v>
      </c>
      <c r="K497" s="44" t="str">
        <f>INDEX(CLEANED_MotorPH_Products_List_2!C:C,MATCH(MotorPHSales[[#This Row],[Product]],CLEANED_MotorPH_Products_List_2!$B:$B,0))</f>
        <v>Heritage</v>
      </c>
      <c r="L497" s="44" t="str">
        <f>INDEX(CLEANED_MotorPH_Products_List_2!E:E,MATCH(MotorPHSales[[#This Row],[Product]],CLEANED_MotorPH_Products_List_2!$B:$B,0))</f>
        <v>V-twin</v>
      </c>
      <c r="M497" s="44" t="str">
        <f>INDEX(CLEANED_MotorPH_Products_List_2!F:F,MATCH(MotorPHSales[[#This Row],[Product]],CLEANED_MotorPH_Products_List_2!$B:$B,0))</f>
        <v>air-cooled</v>
      </c>
      <c r="N497" s="44" t="str">
        <f>INDEX(CLEANED_MotorPH_Products_List_2!G:G,MATCH(MotorPHSales[[#This Row],[Product]],CLEANED_MotorPH_Products_List_2!$B:$B,0))</f>
        <v>853cc</v>
      </c>
      <c r="O497" s="44" t="str">
        <f>INDEX(CLEANED_MotorPH_Products_List_2!K:K,MATCH(MotorPHSales[[#This Row],[Product]],CLEANED_MotorPH_Products_List_2!B:B,0))</f>
        <v>Premium</v>
      </c>
      <c r="P497" s="45">
        <f>IF(MotorPHSales[[#This Row],[Segment]]="Entry-level",MotorPHSales[[#This Row],[UnitPrice]]/(1+30%),IF(MotorPHSales[[#This Row],[Segment]]="Mid-range",MotorPHSales[[#This Row],[UnitPrice]]/(1+35%),MotorPHSales[[#This Row],[UnitPrice]]/(1+40%)))*MotorPHSales[[#This Row],[Quantity]]</f>
        <v>492142.85714285716</v>
      </c>
      <c r="Q497" s="44" t="str">
        <f>INDEX(CLEANED_MotorPH_Products_List_2!H:H,MATCH(MotorPHSales[[#This Row],[Product]],CLEANED_MotorPH_Products_List_2!$B:$B,0))</f>
        <v>6-speed</v>
      </c>
    </row>
    <row r="498" spans="1:17" ht="15.75" x14ac:dyDescent="0.3">
      <c r="A498" s="43">
        <v>45869</v>
      </c>
      <c r="B498" s="44" t="str">
        <f>TEXT(MotorPHSales[[#This Row],[Date]],"mmmm")</f>
        <v>July</v>
      </c>
      <c r="C498" s="44">
        <f>DAY(MotorPHSales[[#This Row],[Date]])</f>
        <v>31</v>
      </c>
      <c r="D498" s="44">
        <f>YEAR(MotorPHSales[[#This Row],[Date]])</f>
        <v>2025</v>
      </c>
      <c r="E498" s="44" t="s">
        <v>196</v>
      </c>
      <c r="F498" s="44" t="s">
        <v>47</v>
      </c>
      <c r="G498" s="45">
        <v>398000</v>
      </c>
      <c r="H498" s="44">
        <v>42</v>
      </c>
      <c r="I498" s="45">
        <v>16716000</v>
      </c>
      <c r="J498" s="44" t="s">
        <v>198</v>
      </c>
      <c r="K498" s="44" t="str">
        <f>INDEX(CLEANED_MotorPH_Products_List_2!C:C,MATCH(MotorPHSales[[#This Row],[Product]],CLEANED_MotorPH_Products_List_2!$B:$B,0))</f>
        <v>Cruiser</v>
      </c>
      <c r="L498" s="44" t="str">
        <f>INDEX(CLEANED_MotorPH_Products_List_2!E:E,MATCH(MotorPHSales[[#This Row],[Product]],CLEANED_MotorPH_Products_List_2!$B:$B,0))</f>
        <v>Parallel-twin</v>
      </c>
      <c r="M498" s="44" t="str">
        <f>INDEX(CLEANED_MotorPH_Products_List_2!F:F,MATCH(MotorPHSales[[#This Row],[Product]],CLEANED_MotorPH_Products_List_2!$B:$B,0))</f>
        <v>liquid-cooled</v>
      </c>
      <c r="N498" s="44" t="str">
        <f>INDEX(CLEANED_MotorPH_Products_List_2!G:G,MATCH(MotorPHSales[[#This Row],[Product]],CLEANED_MotorPH_Products_List_2!$B:$B,0))</f>
        <v>649cc</v>
      </c>
      <c r="O498" s="44" t="str">
        <f>INDEX(CLEANED_MotorPH_Products_List_2!K:K,MATCH(MotorPHSales[[#This Row],[Product]],CLEANED_MotorPH_Products_List_2!B:B,0))</f>
        <v>Premium</v>
      </c>
      <c r="P498" s="45">
        <f>IF(MotorPHSales[[#This Row],[Segment]]="Entry-level",MotorPHSales[[#This Row],[UnitPrice]]/(1+30%),IF(MotorPHSales[[#This Row],[Segment]]="Mid-range",MotorPHSales[[#This Row],[UnitPrice]]/(1+35%),MotorPHSales[[#This Row],[UnitPrice]]/(1+40%)))*MotorPHSales[[#This Row],[Quantity]]</f>
        <v>11940000.000000002</v>
      </c>
      <c r="Q498" s="44" t="str">
        <f>INDEX(CLEANED_MotorPH_Products_List_2!H:H,MATCH(MotorPHSales[[#This Row],[Product]],CLEANED_MotorPH_Products_List_2!$B:$B,0))</f>
        <v>6-speed</v>
      </c>
    </row>
    <row r="499" spans="1:17" ht="15.75" x14ac:dyDescent="0.3">
      <c r="A499" s="43">
        <v>45859</v>
      </c>
      <c r="B499" s="44" t="str">
        <f>TEXT(MotorPHSales[[#This Row],[Date]],"mmmm")</f>
        <v>July</v>
      </c>
      <c r="C499" s="44">
        <f>DAY(MotorPHSales[[#This Row],[Date]])</f>
        <v>21</v>
      </c>
      <c r="D499" s="44">
        <f>YEAR(MotorPHSales[[#This Row],[Date]])</f>
        <v>2025</v>
      </c>
      <c r="E499" s="44" t="s">
        <v>196</v>
      </c>
      <c r="F499" s="44" t="s">
        <v>70</v>
      </c>
      <c r="G499" s="45">
        <v>219000</v>
      </c>
      <c r="H499" s="44">
        <v>1</v>
      </c>
      <c r="I499" s="45">
        <v>219000</v>
      </c>
      <c r="J499" s="44" t="s">
        <v>195</v>
      </c>
      <c r="K499" s="44" t="str">
        <f>INDEX(CLEANED_MotorPH_Products_List_2!C:C,MATCH(MotorPHSales[[#This Row],[Product]],CLEANED_MotorPH_Products_List_2!$B:$B,0))</f>
        <v>Scooter</v>
      </c>
      <c r="L499" s="44" t="str">
        <f>INDEX(CLEANED_MotorPH_Products_List_2!E:E,MATCH(MotorPHSales[[#This Row],[Product]],CLEANED_MotorPH_Products_List_2!$B:$B,0))</f>
        <v>Single cylinder</v>
      </c>
      <c r="M499" s="44" t="str">
        <f>INDEX(CLEANED_MotorPH_Products_List_2!F:F,MATCH(MotorPHSales[[#This Row],[Product]],CLEANED_MotorPH_Products_List_2!$B:$B,0))</f>
        <v>liquid-cooled</v>
      </c>
      <c r="N499" s="44" t="str">
        <f>INDEX(CLEANED_MotorPH_Products_List_2!G:G,MATCH(MotorPHSales[[#This Row],[Product]],CLEANED_MotorPH_Products_List_2!$B:$B,0))</f>
        <v>174cc</v>
      </c>
      <c r="O499" s="44" t="str">
        <f>INDEX(CLEANED_MotorPH_Products_List_2!K:K,MATCH(MotorPHSales[[#This Row],[Product]],CLEANED_MotorPH_Products_List_2!B:B,0))</f>
        <v>Entry-level</v>
      </c>
      <c r="P499" s="45">
        <f>IF(MotorPHSales[[#This Row],[Segment]]="Entry-level",MotorPHSales[[#This Row],[UnitPrice]]/(1+30%),IF(MotorPHSales[[#This Row],[Segment]]="Mid-range",MotorPHSales[[#This Row],[UnitPrice]]/(1+35%),MotorPHSales[[#This Row],[UnitPrice]]/(1+40%)))*MotorPHSales[[#This Row],[Quantity]]</f>
        <v>168461.53846153847</v>
      </c>
      <c r="Q499" s="44" t="str">
        <f>INDEX(CLEANED_MotorPH_Products_List_2!H:H,MATCH(MotorPHSales[[#This Row],[Product]],CLEANED_MotorPH_Products_List_2!$B:$B,0))</f>
        <v>CVT</v>
      </c>
    </row>
    <row r="500" spans="1:17" ht="15.75" x14ac:dyDescent="0.3">
      <c r="A500" s="43">
        <v>45851</v>
      </c>
      <c r="B500" s="44" t="str">
        <f>TEXT(MotorPHSales[[#This Row],[Date]],"mmmm")</f>
        <v>July</v>
      </c>
      <c r="C500" s="44">
        <f>DAY(MotorPHSales[[#This Row],[Date]])</f>
        <v>13</v>
      </c>
      <c r="D500" s="44">
        <f>YEAR(MotorPHSales[[#This Row],[Date]])</f>
        <v>2025</v>
      </c>
      <c r="E500" s="44" t="s">
        <v>194</v>
      </c>
      <c r="F500" s="44" t="s">
        <v>90</v>
      </c>
      <c r="G500" s="45">
        <v>165000</v>
      </c>
      <c r="H500" s="44">
        <v>18</v>
      </c>
      <c r="I500" s="45">
        <v>2970000</v>
      </c>
      <c r="J500" s="44" t="s">
        <v>195</v>
      </c>
      <c r="K500" s="44" t="str">
        <f>INDEX(CLEANED_MotorPH_Products_List_2!C:C,MATCH(MotorPHSales[[#This Row],[Product]],CLEANED_MotorPH_Products_List_2!$B:$B,0))</f>
        <v>Sport</v>
      </c>
      <c r="L500" s="44" t="str">
        <f>INDEX(CLEANED_MotorPH_Products_List_2!E:E,MATCH(MotorPHSales[[#This Row],[Product]],CLEANED_MotorPH_Products_List_2!$B:$B,0))</f>
        <v>Single cylinder</v>
      </c>
      <c r="M500" s="44" t="str">
        <f>INDEX(CLEANED_MotorPH_Products_List_2!F:F,MATCH(MotorPHSales[[#This Row],[Product]],CLEANED_MotorPH_Products_List_2!$B:$B,0))</f>
        <v>liquid-cooled</v>
      </c>
      <c r="N500" s="44" t="str">
        <f>INDEX(CLEANED_MotorPH_Products_List_2!G:G,MATCH(MotorPHSales[[#This Row],[Product]],CLEANED_MotorPH_Products_List_2!$B:$B,0))</f>
        <v>292cc</v>
      </c>
      <c r="O500" s="44" t="str">
        <f>INDEX(CLEANED_MotorPH_Products_List_2!K:K,MATCH(MotorPHSales[[#This Row],[Product]],CLEANED_MotorPH_Products_List_2!B:B,0))</f>
        <v>Mid-range</v>
      </c>
      <c r="P500" s="45">
        <f>IF(MotorPHSales[[#This Row],[Segment]]="Entry-level",MotorPHSales[[#This Row],[UnitPrice]]/(1+30%),IF(MotorPHSales[[#This Row],[Segment]]="Mid-range",MotorPHSales[[#This Row],[UnitPrice]]/(1+35%),MotorPHSales[[#This Row],[UnitPrice]]/(1+40%)))*MotorPHSales[[#This Row],[Quantity]]</f>
        <v>2200000</v>
      </c>
      <c r="Q500" s="44" t="str">
        <f>INDEX(CLEANED_MotorPH_Products_List_2!H:H,MATCH(MotorPHSales[[#This Row],[Product]],CLEANED_MotorPH_Products_List_2!$B:$B,0))</f>
        <v>6-speed</v>
      </c>
    </row>
    <row r="501" spans="1:17" ht="15.75" x14ac:dyDescent="0.3">
      <c r="A501" s="43">
        <v>45820</v>
      </c>
      <c r="B501" s="44" t="str">
        <f>TEXT(MotorPHSales[[#This Row],[Date]],"mmmm")</f>
        <v>June</v>
      </c>
      <c r="C501" s="44">
        <f>DAY(MotorPHSales[[#This Row],[Date]])</f>
        <v>12</v>
      </c>
      <c r="D501" s="44">
        <f>YEAR(MotorPHSales[[#This Row],[Date]])</f>
        <v>2025</v>
      </c>
      <c r="E501" s="44" t="s">
        <v>196</v>
      </c>
      <c r="F501" s="44" t="s">
        <v>22</v>
      </c>
      <c r="G501" s="45">
        <v>182000</v>
      </c>
      <c r="H501" s="44">
        <v>11</v>
      </c>
      <c r="I501" s="45">
        <v>2002000</v>
      </c>
      <c r="J501" s="44" t="s">
        <v>195</v>
      </c>
      <c r="K501" s="44" t="str">
        <f>INDEX(CLEANED_MotorPH_Products_List_2!C:C,MATCH(MotorPHSales[[#This Row],[Product]],CLEANED_MotorPH_Products_List_2!$B:$B,0))</f>
        <v>Retro</v>
      </c>
      <c r="L501" s="44" t="str">
        <f>INDEX(CLEANED_MotorPH_Products_List_2!E:E,MATCH(MotorPHSales[[#This Row],[Product]],CLEANED_MotorPH_Products_List_2!$B:$B,0))</f>
        <v>Single cylinder</v>
      </c>
      <c r="M501" s="44" t="str">
        <f>INDEX(CLEANED_MotorPH_Products_List_2!F:F,MATCH(MotorPHSales[[#This Row],[Product]],CLEANED_MotorPH_Products_List_2!$B:$B,0))</f>
        <v>liquid-cooled</v>
      </c>
      <c r="N501" s="44" t="str">
        <f>INDEX(CLEANED_MotorPH_Products_List_2!G:G,MATCH(MotorPHSales[[#This Row],[Product]],CLEANED_MotorPH_Products_List_2!$B:$B,0))</f>
        <v>155cc</v>
      </c>
      <c r="O501" s="44" t="str">
        <f>INDEX(CLEANED_MotorPH_Products_List_2!K:K,MATCH(MotorPHSales[[#This Row],[Product]],CLEANED_MotorPH_Products_List_2!B:B,0))</f>
        <v>Entry-level</v>
      </c>
      <c r="P501" s="45">
        <f>IF(MotorPHSales[[#This Row],[Segment]]="Entry-level",MotorPHSales[[#This Row],[UnitPrice]]/(1+30%),IF(MotorPHSales[[#This Row],[Segment]]="Mid-range",MotorPHSales[[#This Row],[UnitPrice]]/(1+35%),MotorPHSales[[#This Row],[UnitPrice]]/(1+40%)))*MotorPHSales[[#This Row],[Quantity]]</f>
        <v>1540000</v>
      </c>
      <c r="Q501" s="44" t="str">
        <f>INDEX(CLEANED_MotorPH_Products_List_2!H:H,MATCH(MotorPHSales[[#This Row],[Product]],CLEANED_MotorPH_Products_List_2!$B:$B,0))</f>
        <v>6-speed</v>
      </c>
    </row>
    <row r="502" spans="1:17" ht="15.75" x14ac:dyDescent="0.3">
      <c r="A502" s="43">
        <v>45875</v>
      </c>
      <c r="B502" s="44" t="str">
        <f>TEXT(MotorPHSales[[#This Row],[Date]],"mmmm")</f>
        <v>August</v>
      </c>
      <c r="C502" s="44">
        <f>DAY(MotorPHSales[[#This Row],[Date]])</f>
        <v>6</v>
      </c>
      <c r="D502" s="44">
        <f>YEAR(MotorPHSales[[#This Row],[Date]])</f>
        <v>2025</v>
      </c>
      <c r="E502" s="44" t="s">
        <v>194</v>
      </c>
      <c r="F502" s="44" t="s">
        <v>30</v>
      </c>
      <c r="G502" s="45">
        <v>79900</v>
      </c>
      <c r="H502" s="44">
        <v>1</v>
      </c>
      <c r="I502" s="45">
        <v>79900</v>
      </c>
      <c r="J502" s="44" t="s">
        <v>198</v>
      </c>
      <c r="K502" s="44" t="str">
        <f>INDEX(CLEANED_MotorPH_Products_List_2!C:C,MATCH(MotorPHSales[[#This Row],[Product]],CLEANED_MotorPH_Products_List_2!$B:$B,0))</f>
        <v>Scooter</v>
      </c>
      <c r="L502" s="44" t="str">
        <f>INDEX(CLEANED_MotorPH_Products_List_2!E:E,MATCH(MotorPHSales[[#This Row],[Product]],CLEANED_MotorPH_Products_List_2!$B:$B,0))</f>
        <v>Single cylinder</v>
      </c>
      <c r="M502" s="44" t="str">
        <f>INDEX(CLEANED_MotorPH_Products_List_2!F:F,MATCH(MotorPHSales[[#This Row],[Product]],CLEANED_MotorPH_Products_List_2!$B:$B,0))</f>
        <v>air-cooled</v>
      </c>
      <c r="N502" s="44" t="str">
        <f>INDEX(CLEANED_MotorPH_Products_List_2!G:G,MATCH(MotorPHSales[[#This Row],[Product]],CLEANED_MotorPH_Products_List_2!$B:$B,0))</f>
        <v>124cc</v>
      </c>
      <c r="O502" s="44" t="str">
        <f>INDEX(CLEANED_MotorPH_Products_List_2!K:K,MATCH(MotorPHSales[[#This Row],[Product]],CLEANED_MotorPH_Products_List_2!B:B,0))</f>
        <v>Entry-level</v>
      </c>
      <c r="P502" s="45">
        <f>IF(MotorPHSales[[#This Row],[Segment]]="Entry-level",MotorPHSales[[#This Row],[UnitPrice]]/(1+30%),IF(MotorPHSales[[#This Row],[Segment]]="Mid-range",MotorPHSales[[#This Row],[UnitPrice]]/(1+35%),MotorPHSales[[#This Row],[UnitPrice]]/(1+40%)))*MotorPHSales[[#This Row],[Quantity]]</f>
        <v>61461.538461538461</v>
      </c>
      <c r="Q502" s="44" t="str">
        <f>INDEX(CLEANED_MotorPH_Products_List_2!H:H,MATCH(MotorPHSales[[#This Row],[Product]],CLEANED_MotorPH_Products_List_2!$B:$B,0))</f>
        <v>CVT</v>
      </c>
    </row>
    <row r="503" spans="1:17" ht="15.75" x14ac:dyDescent="0.3">
      <c r="A503" s="43">
        <v>45873</v>
      </c>
      <c r="B503" s="44" t="str">
        <f>TEXT(MotorPHSales[[#This Row],[Date]],"mmmm")</f>
        <v>August</v>
      </c>
      <c r="C503" s="44">
        <f>DAY(MotorPHSales[[#This Row],[Date]])</f>
        <v>4</v>
      </c>
      <c r="D503" s="44">
        <f>YEAR(MotorPHSales[[#This Row],[Date]])</f>
        <v>2025</v>
      </c>
      <c r="E503" s="44" t="s">
        <v>194</v>
      </c>
      <c r="F503" s="44" t="s">
        <v>97</v>
      </c>
      <c r="G503" s="45">
        <v>269000</v>
      </c>
      <c r="H503" s="44">
        <v>19</v>
      </c>
      <c r="I503" s="45">
        <v>5111000</v>
      </c>
      <c r="J503" s="44" t="s">
        <v>198</v>
      </c>
      <c r="K503" s="44" t="str">
        <f>INDEX(CLEANED_MotorPH_Products_List_2!C:C,MATCH(MotorPHSales[[#This Row],[Product]],CLEANED_MotorPH_Products_List_2!$B:$B,0))</f>
        <v>Cafe racer</v>
      </c>
      <c r="L503" s="44" t="str">
        <f>INDEX(CLEANED_MotorPH_Products_List_2!E:E,MATCH(MotorPHSales[[#This Row],[Product]],CLEANED_MotorPH_Products_List_2!$B:$B,0))</f>
        <v>Single cylinder</v>
      </c>
      <c r="M503" s="44" t="str">
        <f>INDEX(CLEANED_MotorPH_Products_List_2!F:F,MATCH(MotorPHSales[[#This Row],[Product]],CLEANED_MotorPH_Products_List_2!$B:$B,0))</f>
        <v>liquid-cooled</v>
      </c>
      <c r="N503" s="44" t="str">
        <f>INDEX(CLEANED_MotorPH_Products_List_2!G:G,MATCH(MotorPHSales[[#This Row],[Product]],CLEANED_MotorPH_Products_List_2!$B:$B,0))</f>
        <v>348cc</v>
      </c>
      <c r="O503" s="44" t="str">
        <f>INDEX(CLEANED_MotorPH_Products_List_2!K:K,MATCH(MotorPHSales[[#This Row],[Product]],CLEANED_MotorPH_Products_List_2!B:B,0))</f>
        <v>Mid-range</v>
      </c>
      <c r="P503" s="45">
        <f>IF(MotorPHSales[[#This Row],[Segment]]="Entry-level",MotorPHSales[[#This Row],[UnitPrice]]/(1+30%),IF(MotorPHSales[[#This Row],[Segment]]="Mid-range",MotorPHSales[[#This Row],[UnitPrice]]/(1+35%),MotorPHSales[[#This Row],[UnitPrice]]/(1+40%)))*MotorPHSales[[#This Row],[Quantity]]</f>
        <v>3785925.9259259254</v>
      </c>
      <c r="Q503" s="44" t="str">
        <f>INDEX(CLEANED_MotorPH_Products_List_2!H:H,MATCH(MotorPHSales[[#This Row],[Product]],CLEANED_MotorPH_Products_List_2!$B:$B,0))</f>
        <v>6-speed</v>
      </c>
    </row>
    <row r="504" spans="1:17" ht="15.75" x14ac:dyDescent="0.3">
      <c r="A504" s="43">
        <v>45841</v>
      </c>
      <c r="B504" s="44" t="str">
        <f>TEXT(MotorPHSales[[#This Row],[Date]],"mmmm")</f>
        <v>July</v>
      </c>
      <c r="C504" s="44">
        <f>DAY(MotorPHSales[[#This Row],[Date]])</f>
        <v>3</v>
      </c>
      <c r="D504" s="44">
        <f>YEAR(MotorPHSales[[#This Row],[Date]])</f>
        <v>2025</v>
      </c>
      <c r="E504" s="44" t="s">
        <v>196</v>
      </c>
      <c r="F504" s="44" t="s">
        <v>68</v>
      </c>
      <c r="G504" s="45">
        <v>248000</v>
      </c>
      <c r="H504" s="44">
        <v>40</v>
      </c>
      <c r="I504" s="45">
        <v>9920000</v>
      </c>
      <c r="J504" s="44" t="s">
        <v>198</v>
      </c>
      <c r="K504" s="44" t="str">
        <f>INDEX(CLEANED_MotorPH_Products_List_2!C:C,MATCH(MotorPHSales[[#This Row],[Product]],CLEANED_MotorPH_Products_List_2!$B:$B,0))</f>
        <v>Adventure</v>
      </c>
      <c r="L504" s="44" t="str">
        <f>INDEX(CLEANED_MotorPH_Products_List_2!E:E,MATCH(MotorPHSales[[#This Row],[Product]],CLEANED_MotorPH_Products_List_2!$B:$B,0))</f>
        <v>Single cylinder</v>
      </c>
      <c r="M504" s="44" t="str">
        <f>INDEX(CLEANED_MotorPH_Products_List_2!F:F,MATCH(MotorPHSales[[#This Row],[Product]],CLEANED_MotorPH_Products_List_2!$B:$B,0))</f>
        <v>liquid-cooled</v>
      </c>
      <c r="N504" s="44" t="str">
        <f>INDEX(CLEANED_MotorPH_Products_List_2!G:G,MATCH(MotorPHSales[[#This Row],[Product]],CLEANED_MotorPH_Products_List_2!$B:$B,0))</f>
        <v>312cc</v>
      </c>
      <c r="O504" s="44" t="str">
        <f>INDEX(CLEANED_MotorPH_Products_List_2!K:K,MATCH(MotorPHSales[[#This Row],[Product]],CLEANED_MotorPH_Products_List_2!B:B,0))</f>
        <v>Mid-range</v>
      </c>
      <c r="P504" s="45">
        <f>IF(MotorPHSales[[#This Row],[Segment]]="Entry-level",MotorPHSales[[#This Row],[UnitPrice]]/(1+30%),IF(MotorPHSales[[#This Row],[Segment]]="Mid-range",MotorPHSales[[#This Row],[UnitPrice]]/(1+35%),MotorPHSales[[#This Row],[UnitPrice]]/(1+40%)))*MotorPHSales[[#This Row],[Quantity]]</f>
        <v>7348148.1481481474</v>
      </c>
      <c r="Q504" s="44" t="str">
        <f>INDEX(CLEANED_MotorPH_Products_List_2!H:H,MATCH(MotorPHSales[[#This Row],[Product]],CLEANED_MotorPH_Products_List_2!$B:$B,0))</f>
        <v>6-speed</v>
      </c>
    </row>
    <row r="505" spans="1:17" ht="15.75" x14ac:dyDescent="0.3">
      <c r="A505" s="43">
        <v>45848</v>
      </c>
      <c r="B505" s="44" t="str">
        <f>TEXT(MotorPHSales[[#This Row],[Date]],"mmmm")</f>
        <v>July</v>
      </c>
      <c r="C505" s="44">
        <f>DAY(MotorPHSales[[#This Row],[Date]])</f>
        <v>10</v>
      </c>
      <c r="D505" s="44">
        <f>YEAR(MotorPHSales[[#This Row],[Date]])</f>
        <v>2025</v>
      </c>
      <c r="E505" s="44" t="s">
        <v>194</v>
      </c>
      <c r="F505" s="44" t="s">
        <v>97</v>
      </c>
      <c r="G505" s="45">
        <v>269000</v>
      </c>
      <c r="H505" s="44">
        <v>13</v>
      </c>
      <c r="I505" s="45">
        <v>3497000</v>
      </c>
      <c r="J505" s="44" t="s">
        <v>198</v>
      </c>
      <c r="K505" s="44" t="str">
        <f>INDEX(CLEANED_MotorPH_Products_List_2!C:C,MATCH(MotorPHSales[[#This Row],[Product]],CLEANED_MotorPH_Products_List_2!$B:$B,0))</f>
        <v>Cafe racer</v>
      </c>
      <c r="L505" s="44" t="str">
        <f>INDEX(CLEANED_MotorPH_Products_List_2!E:E,MATCH(MotorPHSales[[#This Row],[Product]],CLEANED_MotorPH_Products_List_2!$B:$B,0))</f>
        <v>Single cylinder</v>
      </c>
      <c r="M505" s="44" t="str">
        <f>INDEX(CLEANED_MotorPH_Products_List_2!F:F,MATCH(MotorPHSales[[#This Row],[Product]],CLEANED_MotorPH_Products_List_2!$B:$B,0))</f>
        <v>liquid-cooled</v>
      </c>
      <c r="N505" s="44" t="str">
        <f>INDEX(CLEANED_MotorPH_Products_List_2!G:G,MATCH(MotorPHSales[[#This Row],[Product]],CLEANED_MotorPH_Products_List_2!$B:$B,0))</f>
        <v>348cc</v>
      </c>
      <c r="O505" s="44" t="str">
        <f>INDEX(CLEANED_MotorPH_Products_List_2!K:K,MATCH(MotorPHSales[[#This Row],[Product]],CLEANED_MotorPH_Products_List_2!B:B,0))</f>
        <v>Mid-range</v>
      </c>
      <c r="P505" s="45">
        <f>IF(MotorPHSales[[#This Row],[Segment]]="Entry-level",MotorPHSales[[#This Row],[UnitPrice]]/(1+30%),IF(MotorPHSales[[#This Row],[Segment]]="Mid-range",MotorPHSales[[#This Row],[UnitPrice]]/(1+35%),MotorPHSales[[#This Row],[UnitPrice]]/(1+40%)))*MotorPHSales[[#This Row],[Quantity]]</f>
        <v>2590370.3703703703</v>
      </c>
      <c r="Q505" s="44" t="str">
        <f>INDEX(CLEANED_MotorPH_Products_List_2!H:H,MATCH(MotorPHSales[[#This Row],[Product]],CLEANED_MotorPH_Products_List_2!$B:$B,0))</f>
        <v>6-speed</v>
      </c>
    </row>
    <row r="506" spans="1:17" ht="15.75" x14ac:dyDescent="0.3">
      <c r="A506" s="43">
        <v>45882</v>
      </c>
      <c r="B506" s="44" t="str">
        <f>TEXT(MotorPHSales[[#This Row],[Date]],"mmmm")</f>
        <v>August</v>
      </c>
      <c r="C506" s="44">
        <f>DAY(MotorPHSales[[#This Row],[Date]])</f>
        <v>13</v>
      </c>
      <c r="D506" s="44">
        <f>YEAR(MotorPHSales[[#This Row],[Date]])</f>
        <v>2025</v>
      </c>
      <c r="E506" s="44" t="s">
        <v>196</v>
      </c>
      <c r="F506" s="44" t="s">
        <v>59</v>
      </c>
      <c r="G506" s="45">
        <v>67900</v>
      </c>
      <c r="H506" s="44">
        <v>43</v>
      </c>
      <c r="I506" s="45">
        <v>2919700</v>
      </c>
      <c r="J506" s="44" t="s">
        <v>198</v>
      </c>
      <c r="K506" s="44" t="str">
        <f>INDEX(CLEANED_MotorPH_Products_List_2!C:C,MATCH(MotorPHSales[[#This Row],[Product]],CLEANED_MotorPH_Products_List_2!$B:$B,0))</f>
        <v>Commuter</v>
      </c>
      <c r="L506" s="44" t="str">
        <f>INDEX(CLEANED_MotorPH_Products_List_2!E:E,MATCH(MotorPHSales[[#This Row],[Product]],CLEANED_MotorPH_Products_List_2!$B:$B,0))</f>
        <v>Single cylinder</v>
      </c>
      <c r="M506" s="44" t="str">
        <f>INDEX(CLEANED_MotorPH_Products_List_2!F:F,MATCH(MotorPHSales[[#This Row],[Product]],CLEANED_MotorPH_Products_List_2!$B:$B,0))</f>
        <v>air-cooled</v>
      </c>
      <c r="N506" s="44" t="str">
        <f>INDEX(CLEANED_MotorPH_Products_List_2!G:G,MATCH(MotorPHSales[[#This Row],[Product]],CLEANED_MotorPH_Products_List_2!$B:$B,0))</f>
        <v>125cc</v>
      </c>
      <c r="O506" s="44" t="str">
        <f>INDEX(CLEANED_MotorPH_Products_List_2!K:K,MATCH(MotorPHSales[[#This Row],[Product]],CLEANED_MotorPH_Products_List_2!B:B,0))</f>
        <v>Entry-level</v>
      </c>
      <c r="P506" s="45">
        <f>IF(MotorPHSales[[#This Row],[Segment]]="Entry-level",MotorPHSales[[#This Row],[UnitPrice]]/(1+30%),IF(MotorPHSales[[#This Row],[Segment]]="Mid-range",MotorPHSales[[#This Row],[UnitPrice]]/(1+35%),MotorPHSales[[#This Row],[UnitPrice]]/(1+40%)))*MotorPHSales[[#This Row],[Quantity]]</f>
        <v>2245923.0769230765</v>
      </c>
      <c r="Q506" s="44" t="str">
        <f>INDEX(CLEANED_MotorPH_Products_List_2!H:H,MATCH(MotorPHSales[[#This Row],[Product]],CLEANED_MotorPH_Products_List_2!$B:$B,0))</f>
        <v>4-speed</v>
      </c>
    </row>
    <row r="507" spans="1:17" ht="15.75" x14ac:dyDescent="0.3">
      <c r="A507" s="43">
        <v>45851</v>
      </c>
      <c r="B507" s="44" t="str">
        <f>TEXT(MotorPHSales[[#This Row],[Date]],"mmmm")</f>
        <v>July</v>
      </c>
      <c r="C507" s="44">
        <f>DAY(MotorPHSales[[#This Row],[Date]])</f>
        <v>13</v>
      </c>
      <c r="D507" s="44">
        <f>YEAR(MotorPHSales[[#This Row],[Date]])</f>
        <v>2025</v>
      </c>
      <c r="E507" s="44" t="s">
        <v>196</v>
      </c>
      <c r="F507" s="44" t="s">
        <v>49</v>
      </c>
      <c r="G507" s="45">
        <v>68900</v>
      </c>
      <c r="H507" s="44">
        <v>14</v>
      </c>
      <c r="I507" s="45">
        <v>964600</v>
      </c>
      <c r="J507" s="44" t="s">
        <v>195</v>
      </c>
      <c r="K507" s="44" t="str">
        <f>INDEX(CLEANED_MotorPH_Products_List_2!C:C,MATCH(MotorPHSales[[#This Row],[Product]],CLEANED_MotorPH_Products_List_2!$B:$B,0))</f>
        <v>Standard</v>
      </c>
      <c r="L507" s="44" t="str">
        <f>INDEX(CLEANED_MotorPH_Products_List_2!E:E,MATCH(MotorPHSales[[#This Row],[Product]],CLEANED_MotorPH_Products_List_2!$B:$B,0))</f>
        <v>Single cylinder</v>
      </c>
      <c r="M507" s="44" t="str">
        <f>INDEX(CLEANED_MotorPH_Products_List_2!F:F,MATCH(MotorPHSales[[#This Row],[Product]],CLEANED_MotorPH_Products_List_2!$B:$B,0))</f>
        <v>air-cooled</v>
      </c>
      <c r="N507" s="44" t="str">
        <f>INDEX(CLEANED_MotorPH_Products_List_2!G:G,MATCH(MotorPHSales[[#This Row],[Product]],CLEANED_MotorPH_Products_List_2!$B:$B,0))</f>
        <v>149cc</v>
      </c>
      <c r="O507" s="44" t="str">
        <f>INDEX(CLEANED_MotorPH_Products_List_2!K:K,MATCH(MotorPHSales[[#This Row],[Product]],CLEANED_MotorPH_Products_List_2!B:B,0))</f>
        <v>Entry-level</v>
      </c>
      <c r="P507" s="45">
        <f>IF(MotorPHSales[[#This Row],[Segment]]="Entry-level",MotorPHSales[[#This Row],[UnitPrice]]/(1+30%),IF(MotorPHSales[[#This Row],[Segment]]="Mid-range",MotorPHSales[[#This Row],[UnitPrice]]/(1+35%),MotorPHSales[[#This Row],[UnitPrice]]/(1+40%)))*MotorPHSales[[#This Row],[Quantity]]</f>
        <v>742000</v>
      </c>
      <c r="Q507" s="44" t="str">
        <f>INDEX(CLEANED_MotorPH_Products_List_2!H:H,MATCH(MotorPHSales[[#This Row],[Product]],CLEANED_MotorPH_Products_List_2!$B:$B,0))</f>
        <v>5-speed</v>
      </c>
    </row>
    <row r="508" spans="1:17" ht="15.75" x14ac:dyDescent="0.3">
      <c r="A508" s="43">
        <v>45852</v>
      </c>
      <c r="B508" s="44" t="str">
        <f>TEXT(MotorPHSales[[#This Row],[Date]],"mmmm")</f>
        <v>July</v>
      </c>
      <c r="C508" s="44">
        <f>DAY(MotorPHSales[[#This Row],[Date]])</f>
        <v>14</v>
      </c>
      <c r="D508" s="44">
        <f>YEAR(MotorPHSales[[#This Row],[Date]])</f>
        <v>2025</v>
      </c>
      <c r="E508" s="44" t="s">
        <v>194</v>
      </c>
      <c r="F508" s="44" t="s">
        <v>8</v>
      </c>
      <c r="G508" s="45">
        <v>178000</v>
      </c>
      <c r="H508" s="44">
        <v>11</v>
      </c>
      <c r="I508" s="45">
        <v>1958000</v>
      </c>
      <c r="J508" s="44" t="s">
        <v>197</v>
      </c>
      <c r="K508" s="44" t="str">
        <f>INDEX(CLEANED_MotorPH_Products_List_2!C:C,MATCH(MotorPHSales[[#This Row],[Product]],CLEANED_MotorPH_Products_List_2!$B:$B,0))</f>
        <v>Naked bike</v>
      </c>
      <c r="L508" s="44" t="str">
        <f>INDEX(CLEANED_MotorPH_Products_List_2!E:E,MATCH(MotorPHSales[[#This Row],[Product]],CLEANED_MotorPH_Products_List_2!$B:$B,0))</f>
        <v>Single cylinder</v>
      </c>
      <c r="M508" s="44" t="str">
        <f>INDEX(CLEANED_MotorPH_Products_List_2!F:F,MATCH(MotorPHSales[[#This Row],[Product]],CLEANED_MotorPH_Products_List_2!$B:$B,0))</f>
        <v>liquid-cooled</v>
      </c>
      <c r="N508" s="44" t="str">
        <f>INDEX(CLEANED_MotorPH_Products_List_2!G:G,MATCH(MotorPHSales[[#This Row],[Product]],CLEANED_MotorPH_Products_List_2!$B:$B,0))</f>
        <v>155cc</v>
      </c>
      <c r="O508" s="44" t="str">
        <f>INDEX(CLEANED_MotorPH_Products_List_2!K:K,MATCH(MotorPHSales[[#This Row],[Product]],CLEANED_MotorPH_Products_List_2!B:B,0))</f>
        <v>Entry-level</v>
      </c>
      <c r="P508" s="45">
        <f>IF(MotorPHSales[[#This Row],[Segment]]="Entry-level",MotorPHSales[[#This Row],[UnitPrice]]/(1+30%),IF(MotorPHSales[[#This Row],[Segment]]="Mid-range",MotorPHSales[[#This Row],[UnitPrice]]/(1+35%),MotorPHSales[[#This Row],[UnitPrice]]/(1+40%)))*MotorPHSales[[#This Row],[Quantity]]</f>
        <v>1506153.846153846</v>
      </c>
      <c r="Q508" s="44" t="str">
        <f>INDEX(CLEANED_MotorPH_Products_List_2!H:H,MATCH(MotorPHSales[[#This Row],[Product]],CLEANED_MotorPH_Products_List_2!$B:$B,0))</f>
        <v>6-speed</v>
      </c>
    </row>
    <row r="509" spans="1:17" ht="15.75" x14ac:dyDescent="0.3">
      <c r="A509" s="43">
        <v>45837</v>
      </c>
      <c r="B509" s="44" t="str">
        <f>TEXT(MotorPHSales[[#This Row],[Date]],"mmmm")</f>
        <v>June</v>
      </c>
      <c r="C509" s="44">
        <f>DAY(MotorPHSales[[#This Row],[Date]])</f>
        <v>29</v>
      </c>
      <c r="D509" s="44">
        <f>YEAR(MotorPHSales[[#This Row],[Date]])</f>
        <v>2025</v>
      </c>
      <c r="E509" s="44" t="s">
        <v>196</v>
      </c>
      <c r="F509" s="44" t="s">
        <v>59</v>
      </c>
      <c r="G509" s="45">
        <v>67900</v>
      </c>
      <c r="H509" s="44">
        <v>11</v>
      </c>
      <c r="I509" s="45">
        <v>746900</v>
      </c>
      <c r="J509" s="44" t="s">
        <v>198</v>
      </c>
      <c r="K509" s="44" t="str">
        <f>INDEX(CLEANED_MotorPH_Products_List_2!C:C,MATCH(MotorPHSales[[#This Row],[Product]],CLEANED_MotorPH_Products_List_2!$B:$B,0))</f>
        <v>Commuter</v>
      </c>
      <c r="L509" s="44" t="str">
        <f>INDEX(CLEANED_MotorPH_Products_List_2!E:E,MATCH(MotorPHSales[[#This Row],[Product]],CLEANED_MotorPH_Products_List_2!$B:$B,0))</f>
        <v>Single cylinder</v>
      </c>
      <c r="M509" s="44" t="str">
        <f>INDEX(CLEANED_MotorPH_Products_List_2!F:F,MATCH(MotorPHSales[[#This Row],[Product]],CLEANED_MotorPH_Products_List_2!$B:$B,0))</f>
        <v>air-cooled</v>
      </c>
      <c r="N509" s="44" t="str">
        <f>INDEX(CLEANED_MotorPH_Products_List_2!G:G,MATCH(MotorPHSales[[#This Row],[Product]],CLEANED_MotorPH_Products_List_2!$B:$B,0))</f>
        <v>125cc</v>
      </c>
      <c r="O509" s="44" t="str">
        <f>INDEX(CLEANED_MotorPH_Products_List_2!K:K,MATCH(MotorPHSales[[#This Row],[Product]],CLEANED_MotorPH_Products_List_2!B:B,0))</f>
        <v>Entry-level</v>
      </c>
      <c r="P509" s="45">
        <f>IF(MotorPHSales[[#This Row],[Segment]]="Entry-level",MotorPHSales[[#This Row],[UnitPrice]]/(1+30%),IF(MotorPHSales[[#This Row],[Segment]]="Mid-range",MotorPHSales[[#This Row],[UnitPrice]]/(1+35%),MotorPHSales[[#This Row],[UnitPrice]]/(1+40%)))*MotorPHSales[[#This Row],[Quantity]]</f>
        <v>574538.4615384615</v>
      </c>
      <c r="Q509" s="44" t="str">
        <f>INDEX(CLEANED_MotorPH_Products_List_2!H:H,MATCH(MotorPHSales[[#This Row],[Product]],CLEANED_MotorPH_Products_List_2!$B:$B,0))</f>
        <v>4-speed</v>
      </c>
    </row>
    <row r="510" spans="1:17" ht="15.75" x14ac:dyDescent="0.3">
      <c r="A510" s="43">
        <v>45821</v>
      </c>
      <c r="B510" s="44" t="str">
        <f>TEXT(MotorPHSales[[#This Row],[Date]],"mmmm")</f>
        <v>June</v>
      </c>
      <c r="C510" s="44">
        <f>DAY(MotorPHSales[[#This Row],[Date]])</f>
        <v>13</v>
      </c>
      <c r="D510" s="44">
        <f>YEAR(MotorPHSales[[#This Row],[Date]])</f>
        <v>2025</v>
      </c>
      <c r="E510" s="44" t="s">
        <v>196</v>
      </c>
      <c r="F510" s="44" t="s">
        <v>78</v>
      </c>
      <c r="G510" s="45">
        <v>99900</v>
      </c>
      <c r="H510" s="44">
        <v>30</v>
      </c>
      <c r="I510" s="45">
        <v>2997000</v>
      </c>
      <c r="J510" s="44" t="s">
        <v>197</v>
      </c>
      <c r="K510" s="44" t="str">
        <f>INDEX(CLEANED_MotorPH_Products_List_2!C:C,MATCH(MotorPHSales[[#This Row],[Product]],CLEANED_MotorPH_Products_List_2!$B:$B,0))</f>
        <v>Street</v>
      </c>
      <c r="L510" s="44" t="str">
        <f>INDEX(CLEANED_MotorPH_Products_List_2!E:E,MATCH(MotorPHSales[[#This Row],[Product]],CLEANED_MotorPH_Products_List_2!$B:$B,0))</f>
        <v>Single cylinder</v>
      </c>
      <c r="M510" s="44" t="str">
        <f>INDEX(CLEANED_MotorPH_Products_List_2!F:F,MATCH(MotorPHSales[[#This Row],[Product]],CLEANED_MotorPH_Products_List_2!$B:$B,0))</f>
        <v>air-cooled</v>
      </c>
      <c r="N510" s="44" t="str">
        <f>INDEX(CLEANED_MotorPH_Products_List_2!G:G,MATCH(MotorPHSales[[#This Row],[Product]],CLEANED_MotorPH_Products_List_2!$B:$B,0))</f>
        <v>149cc</v>
      </c>
      <c r="O510" s="44" t="str">
        <f>INDEX(CLEANED_MotorPH_Products_List_2!K:K,MATCH(MotorPHSales[[#This Row],[Product]],CLEANED_MotorPH_Products_List_2!B:B,0))</f>
        <v>Entry-level</v>
      </c>
      <c r="P510" s="45">
        <f>IF(MotorPHSales[[#This Row],[Segment]]="Entry-level",MotorPHSales[[#This Row],[UnitPrice]]/(1+30%),IF(MotorPHSales[[#This Row],[Segment]]="Mid-range",MotorPHSales[[#This Row],[UnitPrice]]/(1+35%),MotorPHSales[[#This Row],[UnitPrice]]/(1+40%)))*MotorPHSales[[#This Row],[Quantity]]</f>
        <v>2305384.6153846155</v>
      </c>
      <c r="Q510" s="44" t="str">
        <f>INDEX(CLEANED_MotorPH_Products_List_2!H:H,MATCH(MotorPHSales[[#This Row],[Product]],CLEANED_MotorPH_Products_List_2!$B:$B,0))</f>
        <v>5-speed</v>
      </c>
    </row>
    <row r="511" spans="1:17" ht="15.75" x14ac:dyDescent="0.3">
      <c r="A511" s="43">
        <v>45820</v>
      </c>
      <c r="B511" s="44" t="str">
        <f>TEXT(MotorPHSales[[#This Row],[Date]],"mmmm")</f>
        <v>June</v>
      </c>
      <c r="C511" s="44">
        <f>DAY(MotorPHSales[[#This Row],[Date]])</f>
        <v>12</v>
      </c>
      <c r="D511" s="44">
        <f>YEAR(MotorPHSales[[#This Row],[Date]])</f>
        <v>2025</v>
      </c>
      <c r="E511" s="44" t="s">
        <v>196</v>
      </c>
      <c r="F511" s="44" t="s">
        <v>72</v>
      </c>
      <c r="G511" s="45">
        <v>319000</v>
      </c>
      <c r="H511" s="44">
        <v>17</v>
      </c>
      <c r="I511" s="45">
        <v>5423000</v>
      </c>
      <c r="J511" s="44" t="s">
        <v>198</v>
      </c>
      <c r="K511" s="44" t="str">
        <f>INDEX(CLEANED_MotorPH_Products_List_2!C:C,MATCH(MotorPHSales[[#This Row],[Product]],CLEANED_MotorPH_Products_List_2!$B:$B,0))</f>
        <v>Scooter</v>
      </c>
      <c r="L511" s="44" t="str">
        <f>INDEX(CLEANED_MotorPH_Products_List_2!E:E,MATCH(MotorPHSales[[#This Row],[Product]],CLEANED_MotorPH_Products_List_2!$B:$B,0))</f>
        <v>Single cylinder</v>
      </c>
      <c r="M511" s="44" t="str">
        <f>INDEX(CLEANED_MotorPH_Products_List_2!F:F,MATCH(MotorPHSales[[#This Row],[Product]],CLEANED_MotorPH_Products_List_2!$B:$B,0))</f>
        <v>liquid-cooled</v>
      </c>
      <c r="N511" s="44" t="str">
        <f>INDEX(CLEANED_MotorPH_Products_List_2!G:G,MATCH(MotorPHSales[[#This Row],[Product]],CLEANED_MotorPH_Products_List_2!$B:$B,0))</f>
        <v>292cc</v>
      </c>
      <c r="O511" s="44" t="str">
        <f>INDEX(CLEANED_MotorPH_Products_List_2!K:K,MATCH(MotorPHSales[[#This Row],[Product]],CLEANED_MotorPH_Products_List_2!B:B,0))</f>
        <v>Mid-range</v>
      </c>
      <c r="P511" s="45">
        <f>IF(MotorPHSales[[#This Row],[Segment]]="Entry-level",MotorPHSales[[#This Row],[UnitPrice]]/(1+30%),IF(MotorPHSales[[#This Row],[Segment]]="Mid-range",MotorPHSales[[#This Row],[UnitPrice]]/(1+35%),MotorPHSales[[#This Row],[UnitPrice]]/(1+40%)))*MotorPHSales[[#This Row],[Quantity]]</f>
        <v>4017037.0370370368</v>
      </c>
      <c r="Q511" s="44" t="str">
        <f>INDEX(CLEANED_MotorPH_Products_List_2!H:H,MATCH(MotorPHSales[[#This Row],[Product]],CLEANED_MotorPH_Products_List_2!$B:$B,0))</f>
        <v>CVT</v>
      </c>
    </row>
    <row r="512" spans="1:17" ht="15.75" x14ac:dyDescent="0.3">
      <c r="A512" s="43">
        <v>45854</v>
      </c>
      <c r="B512" s="44" t="str">
        <f>TEXT(MotorPHSales[[#This Row],[Date]],"mmmm")</f>
        <v>July</v>
      </c>
      <c r="C512" s="44">
        <f>DAY(MotorPHSales[[#This Row],[Date]])</f>
        <v>16</v>
      </c>
      <c r="D512" s="44">
        <f>YEAR(MotorPHSales[[#This Row],[Date]])</f>
        <v>2025</v>
      </c>
      <c r="E512" s="44" t="s">
        <v>196</v>
      </c>
      <c r="F512" s="44" t="s">
        <v>86</v>
      </c>
      <c r="G512" s="45">
        <v>650000</v>
      </c>
      <c r="H512" s="44">
        <v>8</v>
      </c>
      <c r="I512" s="45">
        <v>5200000</v>
      </c>
      <c r="J512" s="44" t="s">
        <v>197</v>
      </c>
      <c r="K512" s="44" t="str">
        <f>INDEX(CLEANED_MotorPH_Products_List_2!C:C,MATCH(MotorPHSales[[#This Row],[Product]],CLEANED_MotorPH_Products_List_2!$B:$B,0))</f>
        <v>Cruiser</v>
      </c>
      <c r="L512" s="44" t="str">
        <f>INDEX(CLEANED_MotorPH_Products_List_2!E:E,MATCH(MotorPHSales[[#This Row],[Product]],CLEANED_MotorPH_Products_List_2!$B:$B,0))</f>
        <v>Parallel-twin</v>
      </c>
      <c r="M512" s="44" t="str">
        <f>INDEX(CLEANED_MotorPH_Products_List_2!F:F,MATCH(MotorPHSales[[#This Row],[Product]],CLEANED_MotorPH_Products_List_2!$B:$B,0))</f>
        <v>liquid-cooled</v>
      </c>
      <c r="N512" s="44" t="str">
        <f>INDEX(CLEANED_MotorPH_Products_List_2!G:G,MATCH(MotorPHSales[[#This Row],[Product]],CLEANED_MotorPH_Products_List_2!$B:$B,0))</f>
        <v>1084cc</v>
      </c>
      <c r="O512" s="44" t="str">
        <f>INDEX(CLEANED_MotorPH_Products_List_2!K:K,MATCH(MotorPHSales[[#This Row],[Product]],CLEANED_MotorPH_Products_List_2!B:B,0))</f>
        <v>Premium</v>
      </c>
      <c r="P512" s="45">
        <f>IF(MotorPHSales[[#This Row],[Segment]]="Entry-level",MotorPHSales[[#This Row],[UnitPrice]]/(1+30%),IF(MotorPHSales[[#This Row],[Segment]]="Mid-range",MotorPHSales[[#This Row],[UnitPrice]]/(1+35%),MotorPHSales[[#This Row],[UnitPrice]]/(1+40%)))*MotorPHSales[[#This Row],[Quantity]]</f>
        <v>3714285.7142857146</v>
      </c>
      <c r="Q512" s="44" t="str">
        <f>INDEX(CLEANED_MotorPH_Products_List_2!H:H,MATCH(MotorPHSales[[#This Row],[Product]],CLEANED_MotorPH_Products_List_2!$B:$B,0))</f>
        <v>6-speed</v>
      </c>
    </row>
    <row r="513" spans="1:17" ht="15.75" x14ac:dyDescent="0.3">
      <c r="A513" s="43">
        <v>45810</v>
      </c>
      <c r="B513" s="44" t="str">
        <f>TEXT(MotorPHSales[[#This Row],[Date]],"mmmm")</f>
        <v>June</v>
      </c>
      <c r="C513" s="44">
        <f>DAY(MotorPHSales[[#This Row],[Date]])</f>
        <v>2</v>
      </c>
      <c r="D513" s="44">
        <f>YEAR(MotorPHSales[[#This Row],[Date]])</f>
        <v>2025</v>
      </c>
      <c r="E513" s="44" t="s">
        <v>194</v>
      </c>
      <c r="F513" s="44" t="s">
        <v>26</v>
      </c>
      <c r="G513" s="45">
        <v>151900</v>
      </c>
      <c r="H513" s="44">
        <v>29</v>
      </c>
      <c r="I513" s="45">
        <v>4405100</v>
      </c>
      <c r="J513" s="44" t="s">
        <v>195</v>
      </c>
      <c r="K513" s="44" t="str">
        <f>INDEX(CLEANED_MotorPH_Products_List_2!C:C,MATCH(MotorPHSales[[#This Row],[Product]],CLEANED_MotorPH_Products_List_2!$B:$B,0))</f>
        <v>Scooter</v>
      </c>
      <c r="L513" s="44" t="str">
        <f>INDEX(CLEANED_MotorPH_Products_List_2!E:E,MATCH(MotorPHSales[[#This Row],[Product]],CLEANED_MotorPH_Products_List_2!$B:$B,0))</f>
        <v>Single cylinder</v>
      </c>
      <c r="M513" s="44" t="str">
        <f>INDEX(CLEANED_MotorPH_Products_List_2!F:F,MATCH(MotorPHSales[[#This Row],[Product]],CLEANED_MotorPH_Products_List_2!$B:$B,0))</f>
        <v>liquid-cooled</v>
      </c>
      <c r="N513" s="44" t="str">
        <f>INDEX(CLEANED_MotorPH_Products_List_2!G:G,MATCH(MotorPHSales[[#This Row],[Product]],CLEANED_MotorPH_Products_List_2!$B:$B,0))</f>
        <v>155cc</v>
      </c>
      <c r="O513" s="44" t="str">
        <f>INDEX(CLEANED_MotorPH_Products_List_2!K:K,MATCH(MotorPHSales[[#This Row],[Product]],CLEANED_MotorPH_Products_List_2!B:B,0))</f>
        <v>Entry-level</v>
      </c>
      <c r="P513" s="45">
        <f>IF(MotorPHSales[[#This Row],[Segment]]="Entry-level",MotorPHSales[[#This Row],[UnitPrice]]/(1+30%),IF(MotorPHSales[[#This Row],[Segment]]="Mid-range",MotorPHSales[[#This Row],[UnitPrice]]/(1+35%),MotorPHSales[[#This Row],[UnitPrice]]/(1+40%)))*MotorPHSales[[#This Row],[Quantity]]</f>
        <v>3388538.4615384615</v>
      </c>
      <c r="Q513" s="44" t="str">
        <f>INDEX(CLEANED_MotorPH_Products_List_2!H:H,MATCH(MotorPHSales[[#This Row],[Product]],CLEANED_MotorPH_Products_List_2!$B:$B,0))</f>
        <v>CVT</v>
      </c>
    </row>
    <row r="514" spans="1:17" ht="15.75" x14ac:dyDescent="0.3">
      <c r="A514" s="43">
        <v>45843</v>
      </c>
      <c r="B514" s="44" t="str">
        <f>TEXT(MotorPHSales[[#This Row],[Date]],"mmmm")</f>
        <v>July</v>
      </c>
      <c r="C514" s="44">
        <f>DAY(MotorPHSales[[#This Row],[Date]])</f>
        <v>5</v>
      </c>
      <c r="D514" s="44">
        <f>YEAR(MotorPHSales[[#This Row],[Date]])</f>
        <v>2025</v>
      </c>
      <c r="E514" s="44" t="s">
        <v>194</v>
      </c>
      <c r="F514" s="44" t="s">
        <v>82</v>
      </c>
      <c r="G514" s="45">
        <v>199000</v>
      </c>
      <c r="H514" s="44">
        <v>7</v>
      </c>
      <c r="I514" s="45">
        <v>1393000</v>
      </c>
      <c r="J514" s="44" t="s">
        <v>198</v>
      </c>
      <c r="K514" s="44" t="str">
        <f>INDEX(CLEANED_MotorPH_Products_List_2!C:C,MATCH(MotorPHSales[[#This Row],[Product]],CLEANED_MotorPH_Products_List_2!$B:$B,0))</f>
        <v>Dual-sport</v>
      </c>
      <c r="L514" s="44" t="str">
        <f>INDEX(CLEANED_MotorPH_Products_List_2!E:E,MATCH(MotorPHSales[[#This Row],[Product]],CLEANED_MotorPH_Products_List_2!$B:$B,0))</f>
        <v>Single cylinder</v>
      </c>
      <c r="M514" s="44" t="str">
        <f>INDEX(CLEANED_MotorPH_Products_List_2!F:F,MATCH(MotorPHSales[[#This Row],[Product]],CLEANED_MotorPH_Products_List_2!$B:$B,0))</f>
        <v>air-cooled</v>
      </c>
      <c r="N514" s="44" t="str">
        <f>INDEX(CLEANED_MotorPH_Products_List_2!G:G,MATCH(MotorPHSales[[#This Row],[Product]],CLEANED_MotorPH_Products_List_2!$B:$B,0))</f>
        <v>233cc</v>
      </c>
      <c r="O514" s="44" t="str">
        <f>INDEX(CLEANED_MotorPH_Products_List_2!K:K,MATCH(MotorPHSales[[#This Row],[Product]],CLEANED_MotorPH_Products_List_2!B:B,0))</f>
        <v>Mid-range</v>
      </c>
      <c r="P514" s="45">
        <f>IF(MotorPHSales[[#This Row],[Segment]]="Entry-level",MotorPHSales[[#This Row],[UnitPrice]]/(1+30%),IF(MotorPHSales[[#This Row],[Segment]]="Mid-range",MotorPHSales[[#This Row],[UnitPrice]]/(1+35%),MotorPHSales[[#This Row],[UnitPrice]]/(1+40%)))*MotorPHSales[[#This Row],[Quantity]]</f>
        <v>1031851.8518518517</v>
      </c>
      <c r="Q514" s="44" t="str">
        <f>INDEX(CLEANED_MotorPH_Products_List_2!H:H,MATCH(MotorPHSales[[#This Row],[Product]],CLEANED_MotorPH_Products_List_2!$B:$B,0))</f>
        <v>6-speed</v>
      </c>
    </row>
    <row r="515" spans="1:17" ht="15.75" x14ac:dyDescent="0.3">
      <c r="A515" s="43">
        <v>45895</v>
      </c>
      <c r="B515" s="44" t="str">
        <f>TEXT(MotorPHSales[[#This Row],[Date]],"mmmm")</f>
        <v>August</v>
      </c>
      <c r="C515" s="44">
        <f>DAY(MotorPHSales[[#This Row],[Date]])</f>
        <v>26</v>
      </c>
      <c r="D515" s="44">
        <f>YEAR(MotorPHSales[[#This Row],[Date]])</f>
        <v>2025</v>
      </c>
      <c r="E515" s="44" t="s">
        <v>194</v>
      </c>
      <c r="F515" s="44" t="s">
        <v>70</v>
      </c>
      <c r="G515" s="45">
        <v>219000</v>
      </c>
      <c r="H515" s="44">
        <v>40</v>
      </c>
      <c r="I515" s="45">
        <v>8760000</v>
      </c>
      <c r="J515" s="44" t="s">
        <v>198</v>
      </c>
      <c r="K515" s="44" t="str">
        <f>INDEX(CLEANED_MotorPH_Products_List_2!C:C,MATCH(MotorPHSales[[#This Row],[Product]],CLEANED_MotorPH_Products_List_2!$B:$B,0))</f>
        <v>Scooter</v>
      </c>
      <c r="L515" s="44" t="str">
        <f>INDEX(CLEANED_MotorPH_Products_List_2!E:E,MATCH(MotorPHSales[[#This Row],[Product]],CLEANED_MotorPH_Products_List_2!$B:$B,0))</f>
        <v>Single cylinder</v>
      </c>
      <c r="M515" s="44" t="str">
        <f>INDEX(CLEANED_MotorPH_Products_List_2!F:F,MATCH(MotorPHSales[[#This Row],[Product]],CLEANED_MotorPH_Products_List_2!$B:$B,0))</f>
        <v>liquid-cooled</v>
      </c>
      <c r="N515" s="44" t="str">
        <f>INDEX(CLEANED_MotorPH_Products_List_2!G:G,MATCH(MotorPHSales[[#This Row],[Product]],CLEANED_MotorPH_Products_List_2!$B:$B,0))</f>
        <v>174cc</v>
      </c>
      <c r="O515" s="44" t="str">
        <f>INDEX(CLEANED_MotorPH_Products_List_2!K:K,MATCH(MotorPHSales[[#This Row],[Product]],CLEANED_MotorPH_Products_List_2!B:B,0))</f>
        <v>Entry-level</v>
      </c>
      <c r="P515" s="45">
        <f>IF(MotorPHSales[[#This Row],[Segment]]="Entry-level",MotorPHSales[[#This Row],[UnitPrice]]/(1+30%),IF(MotorPHSales[[#This Row],[Segment]]="Mid-range",MotorPHSales[[#This Row],[UnitPrice]]/(1+35%),MotorPHSales[[#This Row],[UnitPrice]]/(1+40%)))*MotorPHSales[[#This Row],[Quantity]]</f>
        <v>6738461.538461539</v>
      </c>
      <c r="Q515" s="44" t="str">
        <f>INDEX(CLEANED_MotorPH_Products_List_2!H:H,MATCH(MotorPHSales[[#This Row],[Product]],CLEANED_MotorPH_Products_List_2!$B:$B,0))</f>
        <v>CVT</v>
      </c>
    </row>
    <row r="516" spans="1:17" ht="15.75" x14ac:dyDescent="0.3">
      <c r="A516" s="43">
        <v>45889</v>
      </c>
      <c r="B516" s="44" t="str">
        <f>TEXT(MotorPHSales[[#This Row],[Date]],"mmmm")</f>
        <v>August</v>
      </c>
      <c r="C516" s="44">
        <f>DAY(MotorPHSales[[#This Row],[Date]])</f>
        <v>20</v>
      </c>
      <c r="D516" s="44">
        <f>YEAR(MotorPHSales[[#This Row],[Date]])</f>
        <v>2025</v>
      </c>
      <c r="E516" s="44" t="s">
        <v>196</v>
      </c>
      <c r="F516" s="44" t="s">
        <v>94</v>
      </c>
      <c r="G516" s="45">
        <v>299000</v>
      </c>
      <c r="H516" s="44">
        <v>19</v>
      </c>
      <c r="I516" s="45">
        <v>5681000</v>
      </c>
      <c r="J516" s="44" t="s">
        <v>195</v>
      </c>
      <c r="K516" s="44" t="str">
        <f>INDEX(CLEANED_MotorPH_Products_List_2!C:C,MATCH(MotorPHSales[[#This Row],[Product]],CLEANED_MotorPH_Products_List_2!$B:$B,0))</f>
        <v>Dual-sport</v>
      </c>
      <c r="L516" s="44" t="str">
        <f>INDEX(CLEANED_MotorPH_Products_List_2!E:E,MATCH(MotorPHSales[[#This Row],[Product]],CLEANED_MotorPH_Products_List_2!$B:$B,0))</f>
        <v>Single cylinder</v>
      </c>
      <c r="M516" s="44" t="str">
        <f>INDEX(CLEANED_MotorPH_Products_List_2!F:F,MATCH(MotorPHSales[[#This Row],[Product]],CLEANED_MotorPH_Products_List_2!$B:$B,0))</f>
        <v>air-cooled</v>
      </c>
      <c r="N516" s="44" t="str">
        <f>INDEX(CLEANED_MotorPH_Products_List_2!G:G,MATCH(MotorPHSales[[#This Row],[Product]],CLEANED_MotorPH_Products_List_2!$B:$B,0))</f>
        <v>249cc</v>
      </c>
      <c r="O516" s="44" t="str">
        <f>INDEX(CLEANED_MotorPH_Products_List_2!K:K,MATCH(MotorPHSales[[#This Row],[Product]],CLEANED_MotorPH_Products_List_2!B:B,0))</f>
        <v>Mid-range</v>
      </c>
      <c r="P516" s="45">
        <f>IF(MotorPHSales[[#This Row],[Segment]]="Entry-level",MotorPHSales[[#This Row],[UnitPrice]]/(1+30%),IF(MotorPHSales[[#This Row],[Segment]]="Mid-range",MotorPHSales[[#This Row],[UnitPrice]]/(1+35%),MotorPHSales[[#This Row],[UnitPrice]]/(1+40%)))*MotorPHSales[[#This Row],[Quantity]]</f>
        <v>4208148.1481481474</v>
      </c>
      <c r="Q516" s="44" t="str">
        <f>INDEX(CLEANED_MotorPH_Products_List_2!H:H,MATCH(MotorPHSales[[#This Row],[Product]],CLEANED_MotorPH_Products_List_2!$B:$B,0))</f>
        <v>5-speed</v>
      </c>
    </row>
    <row r="517" spans="1:17" ht="15.75" x14ac:dyDescent="0.3">
      <c r="A517" s="43">
        <v>45898</v>
      </c>
      <c r="B517" s="44" t="str">
        <f>TEXT(MotorPHSales[[#This Row],[Date]],"mmmm")</f>
        <v>August</v>
      </c>
      <c r="C517" s="44">
        <f>DAY(MotorPHSales[[#This Row],[Date]])</f>
        <v>29</v>
      </c>
      <c r="D517" s="44">
        <f>YEAR(MotorPHSales[[#This Row],[Date]])</f>
        <v>2025</v>
      </c>
      <c r="E517" s="44" t="s">
        <v>194</v>
      </c>
      <c r="F517" s="44" t="s">
        <v>101</v>
      </c>
      <c r="G517" s="45">
        <v>72900</v>
      </c>
      <c r="H517" s="44">
        <v>4</v>
      </c>
      <c r="I517" s="45">
        <v>291600</v>
      </c>
      <c r="J517" s="44" t="s">
        <v>198</v>
      </c>
      <c r="K517" s="44" t="str">
        <f>INDEX(CLEANED_MotorPH_Products_List_2!C:C,MATCH(MotorPHSales[[#This Row],[Product]],CLEANED_MotorPH_Products_List_2!$B:$B,0))</f>
        <v>Underbone</v>
      </c>
      <c r="L517" s="44" t="str">
        <f>INDEX(CLEANED_MotorPH_Products_List_2!E:E,MATCH(MotorPHSales[[#This Row],[Product]],CLEANED_MotorPH_Products_List_2!$B:$B,0))</f>
        <v>Single cylinder</v>
      </c>
      <c r="M517" s="44" t="str">
        <f>INDEX(CLEANED_MotorPH_Products_List_2!F:F,MATCH(MotorPHSales[[#This Row],[Product]],CLEANED_MotorPH_Products_List_2!$B:$B,0))</f>
        <v>air-cooled</v>
      </c>
      <c r="N517" s="44" t="str">
        <f>INDEX(CLEANED_MotorPH_Products_List_2!G:G,MATCH(MotorPHSales[[#This Row],[Product]],CLEANED_MotorPH_Products_List_2!$B:$B,0))</f>
        <v>150cc</v>
      </c>
      <c r="O517" s="44" t="str">
        <f>INDEX(CLEANED_MotorPH_Products_List_2!K:K,MATCH(MotorPHSales[[#This Row],[Product]],CLEANED_MotorPH_Products_List_2!B:B,0))</f>
        <v>Entry-level</v>
      </c>
      <c r="P517" s="45">
        <f>IF(MotorPHSales[[#This Row],[Segment]]="Entry-level",MotorPHSales[[#This Row],[UnitPrice]]/(1+30%),IF(MotorPHSales[[#This Row],[Segment]]="Mid-range",MotorPHSales[[#This Row],[UnitPrice]]/(1+35%),MotorPHSales[[#This Row],[UnitPrice]]/(1+40%)))*MotorPHSales[[#This Row],[Quantity]]</f>
        <v>224307.69230769231</v>
      </c>
      <c r="Q517" s="44" t="str">
        <f>INDEX(CLEANED_MotorPH_Products_List_2!H:H,MATCH(MotorPHSales[[#This Row],[Product]],CLEANED_MotorPH_Products_List_2!$B:$B,0))</f>
        <v>CVT</v>
      </c>
    </row>
    <row r="518" spans="1:17" ht="15.75" x14ac:dyDescent="0.3">
      <c r="A518" s="43">
        <v>45816</v>
      </c>
      <c r="B518" s="44" t="str">
        <f>TEXT(MotorPHSales[[#This Row],[Date]],"mmmm")</f>
        <v>June</v>
      </c>
      <c r="C518" s="44">
        <f>DAY(MotorPHSales[[#This Row],[Date]])</f>
        <v>8</v>
      </c>
      <c r="D518" s="44">
        <f>YEAR(MotorPHSales[[#This Row],[Date]])</f>
        <v>2025</v>
      </c>
      <c r="E518" s="44" t="s">
        <v>194</v>
      </c>
      <c r="F518" s="44" t="s">
        <v>86</v>
      </c>
      <c r="G518" s="45">
        <v>650000</v>
      </c>
      <c r="H518" s="44">
        <v>21</v>
      </c>
      <c r="I518" s="45">
        <v>13650000</v>
      </c>
      <c r="J518" s="44" t="s">
        <v>195</v>
      </c>
      <c r="K518" s="44" t="str">
        <f>INDEX(CLEANED_MotorPH_Products_List_2!C:C,MATCH(MotorPHSales[[#This Row],[Product]],CLEANED_MotorPH_Products_List_2!$B:$B,0))</f>
        <v>Cruiser</v>
      </c>
      <c r="L518" s="44" t="str">
        <f>INDEX(CLEANED_MotorPH_Products_List_2!E:E,MATCH(MotorPHSales[[#This Row],[Product]],CLEANED_MotorPH_Products_List_2!$B:$B,0))</f>
        <v>Parallel-twin</v>
      </c>
      <c r="M518" s="44" t="str">
        <f>INDEX(CLEANED_MotorPH_Products_List_2!F:F,MATCH(MotorPHSales[[#This Row],[Product]],CLEANED_MotorPH_Products_List_2!$B:$B,0))</f>
        <v>liquid-cooled</v>
      </c>
      <c r="N518" s="44" t="str">
        <f>INDEX(CLEANED_MotorPH_Products_List_2!G:G,MATCH(MotorPHSales[[#This Row],[Product]],CLEANED_MotorPH_Products_List_2!$B:$B,0))</f>
        <v>1084cc</v>
      </c>
      <c r="O518" s="44" t="str">
        <f>INDEX(CLEANED_MotorPH_Products_List_2!K:K,MATCH(MotorPHSales[[#This Row],[Product]],CLEANED_MotorPH_Products_List_2!B:B,0))</f>
        <v>Premium</v>
      </c>
      <c r="P518" s="45">
        <f>IF(MotorPHSales[[#This Row],[Segment]]="Entry-level",MotorPHSales[[#This Row],[UnitPrice]]/(1+30%),IF(MotorPHSales[[#This Row],[Segment]]="Mid-range",MotorPHSales[[#This Row],[UnitPrice]]/(1+35%),MotorPHSales[[#This Row],[UnitPrice]]/(1+40%)))*MotorPHSales[[#This Row],[Quantity]]</f>
        <v>9750000</v>
      </c>
      <c r="Q518" s="44" t="str">
        <f>INDEX(CLEANED_MotorPH_Products_List_2!H:H,MATCH(MotorPHSales[[#This Row],[Product]],CLEANED_MotorPH_Products_List_2!$B:$B,0))</f>
        <v>6-speed</v>
      </c>
    </row>
    <row r="519" spans="1:17" ht="15.75" x14ac:dyDescent="0.3">
      <c r="A519" s="43">
        <v>45834</v>
      </c>
      <c r="B519" s="44" t="str">
        <f>TEXT(MotorPHSales[[#This Row],[Date]],"mmmm")</f>
        <v>June</v>
      </c>
      <c r="C519" s="44">
        <f>DAY(MotorPHSales[[#This Row],[Date]])</f>
        <v>26</v>
      </c>
      <c r="D519" s="44">
        <f>YEAR(MotorPHSales[[#This Row],[Date]])</f>
        <v>2025</v>
      </c>
      <c r="E519" s="44" t="s">
        <v>196</v>
      </c>
      <c r="F519" s="44" t="s">
        <v>76</v>
      </c>
      <c r="G519" s="45">
        <v>369000</v>
      </c>
      <c r="H519" s="44">
        <v>16</v>
      </c>
      <c r="I519" s="45">
        <v>5904000</v>
      </c>
      <c r="J519" s="44" t="s">
        <v>198</v>
      </c>
      <c r="K519" s="44" t="str">
        <f>INDEX(CLEANED_MotorPH_Products_List_2!C:C,MATCH(MotorPHSales[[#This Row],[Product]],CLEANED_MotorPH_Products_List_2!$B:$B,0))</f>
        <v>Adventure</v>
      </c>
      <c r="L519" s="44" t="str">
        <f>INDEX(CLEANED_MotorPH_Products_List_2!E:E,MATCH(MotorPHSales[[#This Row],[Product]],CLEANED_MotorPH_Products_List_2!$B:$B,0))</f>
        <v>Parallel-twin</v>
      </c>
      <c r="M519" s="44" t="str">
        <f>INDEX(CLEANED_MotorPH_Products_List_2!F:F,MATCH(MotorPHSales[[#This Row],[Product]],CLEANED_MotorPH_Products_List_2!$B:$B,0))</f>
        <v>liquid-cooled</v>
      </c>
      <c r="N519" s="44" t="str">
        <f>INDEX(CLEANED_MotorPH_Products_List_2!G:G,MATCH(MotorPHSales[[#This Row],[Product]],CLEANED_MotorPH_Products_List_2!$B:$B,0))</f>
        <v>649cc</v>
      </c>
      <c r="O519" s="44" t="str">
        <f>INDEX(CLEANED_MotorPH_Products_List_2!K:K,MATCH(MotorPHSales[[#This Row],[Product]],CLEANED_MotorPH_Products_List_2!B:B,0))</f>
        <v>Premium</v>
      </c>
      <c r="P519" s="45">
        <f>IF(MotorPHSales[[#This Row],[Segment]]="Entry-level",MotorPHSales[[#This Row],[UnitPrice]]/(1+30%),IF(MotorPHSales[[#This Row],[Segment]]="Mid-range",MotorPHSales[[#This Row],[UnitPrice]]/(1+35%),MotorPHSales[[#This Row],[UnitPrice]]/(1+40%)))*MotorPHSales[[#This Row],[Quantity]]</f>
        <v>4217142.8571428573</v>
      </c>
      <c r="Q519" s="44" t="str">
        <f>INDEX(CLEANED_MotorPH_Products_List_2!H:H,MATCH(MotorPHSales[[#This Row],[Product]],CLEANED_MotorPH_Products_List_2!$B:$B,0))</f>
        <v>6-speed</v>
      </c>
    </row>
    <row r="520" spans="1:17" ht="15.75" x14ac:dyDescent="0.3">
      <c r="A520" s="43">
        <v>45882</v>
      </c>
      <c r="B520" s="44" t="str">
        <f>TEXT(MotorPHSales[[#This Row],[Date]],"mmmm")</f>
        <v>August</v>
      </c>
      <c r="C520" s="44">
        <f>DAY(MotorPHSales[[#This Row],[Date]])</f>
        <v>13</v>
      </c>
      <c r="D520" s="44">
        <f>YEAR(MotorPHSales[[#This Row],[Date]])</f>
        <v>2025</v>
      </c>
      <c r="E520" s="44" t="s">
        <v>194</v>
      </c>
      <c r="F520" s="44" t="s">
        <v>32</v>
      </c>
      <c r="G520" s="45">
        <v>198000</v>
      </c>
      <c r="H520" s="44">
        <v>19</v>
      </c>
      <c r="I520" s="45">
        <v>3762000</v>
      </c>
      <c r="J520" s="44" t="s">
        <v>195</v>
      </c>
      <c r="K520" s="44" t="str">
        <f>INDEX(CLEANED_MotorPH_Products_List_2!C:C,MATCH(MotorPHSales[[#This Row],[Product]],CLEANED_MotorPH_Products_List_2!$B:$B,0))</f>
        <v>Sport</v>
      </c>
      <c r="L520" s="44" t="str">
        <f>INDEX(CLEANED_MotorPH_Products_List_2!E:E,MATCH(MotorPHSales[[#This Row],[Product]],CLEANED_MotorPH_Products_List_2!$B:$B,0))</f>
        <v>Single cylinder</v>
      </c>
      <c r="M520" s="44" t="str">
        <f>INDEX(CLEANED_MotorPH_Products_List_2!F:F,MATCH(MotorPHSales[[#This Row],[Product]],CLEANED_MotorPH_Products_List_2!$B:$B,0))</f>
        <v>liquid-cooled</v>
      </c>
      <c r="N520" s="44" t="str">
        <f>INDEX(CLEANED_MotorPH_Products_List_2!G:G,MATCH(MotorPHSales[[#This Row],[Product]],CLEANED_MotorPH_Products_List_2!$B:$B,0))</f>
        <v>199cc</v>
      </c>
      <c r="O520" s="44" t="str">
        <f>INDEX(CLEANED_MotorPH_Products_List_2!K:K,MATCH(MotorPHSales[[#This Row],[Product]],CLEANED_MotorPH_Products_List_2!B:B,0))</f>
        <v>Entry-level</v>
      </c>
      <c r="P520" s="45">
        <f>IF(MotorPHSales[[#This Row],[Segment]]="Entry-level",MotorPHSales[[#This Row],[UnitPrice]]/(1+30%),IF(MotorPHSales[[#This Row],[Segment]]="Mid-range",MotorPHSales[[#This Row],[UnitPrice]]/(1+35%),MotorPHSales[[#This Row],[UnitPrice]]/(1+40%)))*MotorPHSales[[#This Row],[Quantity]]</f>
        <v>2893846.153846154</v>
      </c>
      <c r="Q520" s="44" t="str">
        <f>INDEX(CLEANED_MotorPH_Products_List_2!H:H,MATCH(MotorPHSales[[#This Row],[Product]],CLEANED_MotorPH_Products_List_2!$B:$B,0))</f>
        <v>6-speed</v>
      </c>
    </row>
    <row r="521" spans="1:17" ht="15.75" x14ac:dyDescent="0.3">
      <c r="A521" s="43">
        <v>45842</v>
      </c>
      <c r="B521" s="44" t="str">
        <f>TEXT(MotorPHSales[[#This Row],[Date]],"mmmm")</f>
        <v>July</v>
      </c>
      <c r="C521" s="44">
        <f>DAY(MotorPHSales[[#This Row],[Date]])</f>
        <v>4</v>
      </c>
      <c r="D521" s="44">
        <f>YEAR(MotorPHSales[[#This Row],[Date]])</f>
        <v>2025</v>
      </c>
      <c r="E521" s="44" t="s">
        <v>194</v>
      </c>
      <c r="F521" s="44" t="s">
        <v>94</v>
      </c>
      <c r="G521" s="45">
        <v>299000</v>
      </c>
      <c r="H521" s="44">
        <v>3</v>
      </c>
      <c r="I521" s="45">
        <v>897000</v>
      </c>
      <c r="J521" s="44" t="s">
        <v>198</v>
      </c>
      <c r="K521" s="44" t="str">
        <f>INDEX(CLEANED_MotorPH_Products_List_2!C:C,MATCH(MotorPHSales[[#This Row],[Product]],CLEANED_MotorPH_Products_List_2!$B:$B,0))</f>
        <v>Dual-sport</v>
      </c>
      <c r="L521" s="44" t="str">
        <f>INDEX(CLEANED_MotorPH_Products_List_2!E:E,MATCH(MotorPHSales[[#This Row],[Product]],CLEANED_MotorPH_Products_List_2!$B:$B,0))</f>
        <v>Single cylinder</v>
      </c>
      <c r="M521" s="44" t="str">
        <f>INDEX(CLEANED_MotorPH_Products_List_2!F:F,MATCH(MotorPHSales[[#This Row],[Product]],CLEANED_MotorPH_Products_List_2!$B:$B,0))</f>
        <v>air-cooled</v>
      </c>
      <c r="N521" s="44" t="str">
        <f>INDEX(CLEANED_MotorPH_Products_List_2!G:G,MATCH(MotorPHSales[[#This Row],[Product]],CLEANED_MotorPH_Products_List_2!$B:$B,0))</f>
        <v>249cc</v>
      </c>
      <c r="O521" s="44" t="str">
        <f>INDEX(CLEANED_MotorPH_Products_List_2!K:K,MATCH(MotorPHSales[[#This Row],[Product]],CLEANED_MotorPH_Products_List_2!B:B,0))</f>
        <v>Mid-range</v>
      </c>
      <c r="P521" s="45">
        <f>IF(MotorPHSales[[#This Row],[Segment]]="Entry-level",MotorPHSales[[#This Row],[UnitPrice]]/(1+30%),IF(MotorPHSales[[#This Row],[Segment]]="Mid-range",MotorPHSales[[#This Row],[UnitPrice]]/(1+35%),MotorPHSales[[#This Row],[UnitPrice]]/(1+40%)))*MotorPHSales[[#This Row],[Quantity]]</f>
        <v>664444.44444444438</v>
      </c>
      <c r="Q521" s="44" t="str">
        <f>INDEX(CLEANED_MotorPH_Products_List_2!H:H,MATCH(MotorPHSales[[#This Row],[Product]],CLEANED_MotorPH_Products_List_2!$B:$B,0))</f>
        <v>5-speed</v>
      </c>
    </row>
    <row r="522" spans="1:17" ht="15.75" x14ac:dyDescent="0.3">
      <c r="A522" s="43">
        <v>45815</v>
      </c>
      <c r="B522" s="44" t="str">
        <f>TEXT(MotorPHSales[[#This Row],[Date]],"mmmm")</f>
        <v>June</v>
      </c>
      <c r="C522" s="44">
        <f>DAY(MotorPHSales[[#This Row],[Date]])</f>
        <v>7</v>
      </c>
      <c r="D522" s="44">
        <f>YEAR(MotorPHSales[[#This Row],[Date]])</f>
        <v>2025</v>
      </c>
      <c r="E522" s="44" t="s">
        <v>194</v>
      </c>
      <c r="F522" s="44" t="s">
        <v>80</v>
      </c>
      <c r="G522" s="45">
        <v>398000</v>
      </c>
      <c r="H522" s="44">
        <v>20</v>
      </c>
      <c r="I522" s="45">
        <v>7960000</v>
      </c>
      <c r="J522" s="44" t="s">
        <v>197</v>
      </c>
      <c r="K522" s="44" t="str">
        <f>INDEX(CLEANED_MotorPH_Products_List_2!C:C,MATCH(MotorPHSales[[#This Row],[Product]],CLEANED_MotorPH_Products_List_2!$B:$B,0))</f>
        <v>Scooter</v>
      </c>
      <c r="L522" s="44" t="str">
        <f>INDEX(CLEANED_MotorPH_Products_List_2!E:E,MATCH(MotorPHSales[[#This Row],[Product]],CLEANED_MotorPH_Products_List_2!$B:$B,0))</f>
        <v>Single cylinder</v>
      </c>
      <c r="M522" s="44" t="str">
        <f>INDEX(CLEANED_MotorPH_Products_List_2!F:F,MATCH(MotorPHSales[[#This Row],[Product]],CLEANED_MotorPH_Products_List_2!$B:$B,0))</f>
        <v>liquid-cooled</v>
      </c>
      <c r="N522" s="44" t="str">
        <f>INDEX(CLEANED_MotorPH_Products_List_2!G:G,MATCH(MotorPHSales[[#This Row],[Product]],CLEANED_MotorPH_Products_List_2!$B:$B,0))</f>
        <v>278cc</v>
      </c>
      <c r="O522" s="44" t="str">
        <f>INDEX(CLEANED_MotorPH_Products_List_2!K:K,MATCH(MotorPHSales[[#This Row],[Product]],CLEANED_MotorPH_Products_List_2!B:B,0))</f>
        <v>Mid-range</v>
      </c>
      <c r="P522" s="45">
        <f>IF(MotorPHSales[[#This Row],[Segment]]="Entry-level",MotorPHSales[[#This Row],[UnitPrice]]/(1+30%),IF(MotorPHSales[[#This Row],[Segment]]="Mid-range",MotorPHSales[[#This Row],[UnitPrice]]/(1+35%),MotorPHSales[[#This Row],[UnitPrice]]/(1+40%)))*MotorPHSales[[#This Row],[Quantity]]</f>
        <v>5896296.2962962957</v>
      </c>
      <c r="Q522" s="44" t="str">
        <f>INDEX(CLEANED_MotorPH_Products_List_2!H:H,MATCH(MotorPHSales[[#This Row],[Product]],CLEANED_MotorPH_Products_List_2!$B:$B,0))</f>
        <v>CVT</v>
      </c>
    </row>
    <row r="523" spans="1:17" ht="15.75" x14ac:dyDescent="0.3">
      <c r="A523" s="43">
        <v>45876</v>
      </c>
      <c r="B523" s="44" t="str">
        <f>TEXT(MotorPHSales[[#This Row],[Date]],"mmmm")</f>
        <v>August</v>
      </c>
      <c r="C523" s="44">
        <f>DAY(MotorPHSales[[#This Row],[Date]])</f>
        <v>7</v>
      </c>
      <c r="D523" s="44">
        <f>YEAR(MotorPHSales[[#This Row],[Date]])</f>
        <v>2025</v>
      </c>
      <c r="E523" s="44" t="s">
        <v>194</v>
      </c>
      <c r="F523" s="44" t="s">
        <v>49</v>
      </c>
      <c r="G523" s="45">
        <v>68900</v>
      </c>
      <c r="H523" s="44">
        <v>9</v>
      </c>
      <c r="I523" s="45">
        <v>620100</v>
      </c>
      <c r="J523" s="44" t="s">
        <v>198</v>
      </c>
      <c r="K523" s="44" t="str">
        <f>INDEX(CLEANED_MotorPH_Products_List_2!C:C,MATCH(MotorPHSales[[#This Row],[Product]],CLEANED_MotorPH_Products_List_2!$B:$B,0))</f>
        <v>Standard</v>
      </c>
      <c r="L523" s="44" t="str">
        <f>INDEX(CLEANED_MotorPH_Products_List_2!E:E,MATCH(MotorPHSales[[#This Row],[Product]],CLEANED_MotorPH_Products_List_2!$B:$B,0))</f>
        <v>Single cylinder</v>
      </c>
      <c r="M523" s="44" t="str">
        <f>INDEX(CLEANED_MotorPH_Products_List_2!F:F,MATCH(MotorPHSales[[#This Row],[Product]],CLEANED_MotorPH_Products_List_2!$B:$B,0))</f>
        <v>air-cooled</v>
      </c>
      <c r="N523" s="44" t="str">
        <f>INDEX(CLEANED_MotorPH_Products_List_2!G:G,MATCH(MotorPHSales[[#This Row],[Product]],CLEANED_MotorPH_Products_List_2!$B:$B,0))</f>
        <v>149cc</v>
      </c>
      <c r="O523" s="44" t="str">
        <f>INDEX(CLEANED_MotorPH_Products_List_2!K:K,MATCH(MotorPHSales[[#This Row],[Product]],CLEANED_MotorPH_Products_List_2!B:B,0))</f>
        <v>Entry-level</v>
      </c>
      <c r="P523" s="45">
        <f>IF(MotorPHSales[[#This Row],[Segment]]="Entry-level",MotorPHSales[[#This Row],[UnitPrice]]/(1+30%),IF(MotorPHSales[[#This Row],[Segment]]="Mid-range",MotorPHSales[[#This Row],[UnitPrice]]/(1+35%),MotorPHSales[[#This Row],[UnitPrice]]/(1+40%)))*MotorPHSales[[#This Row],[Quantity]]</f>
        <v>477000</v>
      </c>
      <c r="Q523" s="44" t="str">
        <f>INDEX(CLEANED_MotorPH_Products_List_2!H:H,MATCH(MotorPHSales[[#This Row],[Product]],CLEANED_MotorPH_Products_List_2!$B:$B,0))</f>
        <v>5-speed</v>
      </c>
    </row>
    <row r="524" spans="1:17" ht="15.75" x14ac:dyDescent="0.3">
      <c r="A524" s="43">
        <v>45866</v>
      </c>
      <c r="B524" s="44" t="str">
        <f>TEXT(MotorPHSales[[#This Row],[Date]],"mmmm")</f>
        <v>July</v>
      </c>
      <c r="C524" s="44">
        <f>DAY(MotorPHSales[[#This Row],[Date]])</f>
        <v>28</v>
      </c>
      <c r="D524" s="44">
        <f>YEAR(MotorPHSales[[#This Row],[Date]])</f>
        <v>2025</v>
      </c>
      <c r="E524" s="44" t="s">
        <v>196</v>
      </c>
      <c r="F524" s="44" t="s">
        <v>57</v>
      </c>
      <c r="G524" s="45">
        <v>125900</v>
      </c>
      <c r="H524" s="44">
        <v>16</v>
      </c>
      <c r="I524" s="45">
        <v>2014400</v>
      </c>
      <c r="J524" s="44" t="s">
        <v>198</v>
      </c>
      <c r="K524" s="44" t="str">
        <f>INDEX(CLEANED_MotorPH_Products_List_2!C:C,MATCH(MotorPHSales[[#This Row],[Product]],CLEANED_MotorPH_Products_List_2!$B:$B,0))</f>
        <v>Underbone</v>
      </c>
      <c r="L524" s="44" t="str">
        <f>INDEX(CLEANED_MotorPH_Products_List_2!E:E,MATCH(MotorPHSales[[#This Row],[Product]],CLEANED_MotorPH_Products_List_2!$B:$B,0))</f>
        <v>Single cylinder</v>
      </c>
      <c r="M524" s="44" t="str">
        <f>INDEX(CLEANED_MotorPH_Products_List_2!F:F,MATCH(MotorPHSales[[#This Row],[Product]],CLEANED_MotorPH_Products_List_2!$B:$B,0))</f>
        <v>liquid-cooled</v>
      </c>
      <c r="N524" s="44" t="str">
        <f>INDEX(CLEANED_MotorPH_Products_List_2!G:G,MATCH(MotorPHSales[[#This Row],[Product]],CLEANED_MotorPH_Products_List_2!$B:$B,0))</f>
        <v>155cc</v>
      </c>
      <c r="O524" s="44" t="str">
        <f>INDEX(CLEANED_MotorPH_Products_List_2!K:K,MATCH(MotorPHSales[[#This Row],[Product]],CLEANED_MotorPH_Products_List_2!B:B,0))</f>
        <v>Entry-level</v>
      </c>
      <c r="P524" s="45">
        <f>IF(MotorPHSales[[#This Row],[Segment]]="Entry-level",MotorPHSales[[#This Row],[UnitPrice]]/(1+30%),IF(MotorPHSales[[#This Row],[Segment]]="Mid-range",MotorPHSales[[#This Row],[UnitPrice]]/(1+35%),MotorPHSales[[#This Row],[UnitPrice]]/(1+40%)))*MotorPHSales[[#This Row],[Quantity]]</f>
        <v>1549538.4615384615</v>
      </c>
      <c r="Q524" s="44" t="str">
        <f>INDEX(CLEANED_MotorPH_Products_List_2!H:H,MATCH(MotorPHSales[[#This Row],[Product]],CLEANED_MotorPH_Products_List_2!$B:$B,0))</f>
        <v>6-speed</v>
      </c>
    </row>
    <row r="525" spans="1:17" ht="15.75" x14ac:dyDescent="0.3">
      <c r="A525" s="43">
        <v>45883</v>
      </c>
      <c r="B525" s="44" t="str">
        <f>TEXT(MotorPHSales[[#This Row],[Date]],"mmmm")</f>
        <v>August</v>
      </c>
      <c r="C525" s="44">
        <f>DAY(MotorPHSales[[#This Row],[Date]])</f>
        <v>14</v>
      </c>
      <c r="D525" s="44">
        <f>YEAR(MotorPHSales[[#This Row],[Date]])</f>
        <v>2025</v>
      </c>
      <c r="E525" s="44" t="s">
        <v>194</v>
      </c>
      <c r="F525" s="44" t="s">
        <v>22</v>
      </c>
      <c r="G525" s="45">
        <v>182000</v>
      </c>
      <c r="H525" s="44">
        <v>5</v>
      </c>
      <c r="I525" s="45">
        <v>910000</v>
      </c>
      <c r="J525" s="44" t="s">
        <v>198</v>
      </c>
      <c r="K525" s="44" t="str">
        <f>INDEX(CLEANED_MotorPH_Products_List_2!C:C,MATCH(MotorPHSales[[#This Row],[Product]],CLEANED_MotorPH_Products_List_2!$B:$B,0))</f>
        <v>Retro</v>
      </c>
      <c r="L525" s="44" t="str">
        <f>INDEX(CLEANED_MotorPH_Products_List_2!E:E,MATCH(MotorPHSales[[#This Row],[Product]],CLEANED_MotorPH_Products_List_2!$B:$B,0))</f>
        <v>Single cylinder</v>
      </c>
      <c r="M525" s="44" t="str">
        <f>INDEX(CLEANED_MotorPH_Products_List_2!F:F,MATCH(MotorPHSales[[#This Row],[Product]],CLEANED_MotorPH_Products_List_2!$B:$B,0))</f>
        <v>liquid-cooled</v>
      </c>
      <c r="N525" s="44" t="str">
        <f>INDEX(CLEANED_MotorPH_Products_List_2!G:G,MATCH(MotorPHSales[[#This Row],[Product]],CLEANED_MotorPH_Products_List_2!$B:$B,0))</f>
        <v>155cc</v>
      </c>
      <c r="O525" s="44" t="str">
        <f>INDEX(CLEANED_MotorPH_Products_List_2!K:K,MATCH(MotorPHSales[[#This Row],[Product]],CLEANED_MotorPH_Products_List_2!B:B,0))</f>
        <v>Entry-level</v>
      </c>
      <c r="P525" s="45">
        <f>IF(MotorPHSales[[#This Row],[Segment]]="Entry-level",MotorPHSales[[#This Row],[UnitPrice]]/(1+30%),IF(MotorPHSales[[#This Row],[Segment]]="Mid-range",MotorPHSales[[#This Row],[UnitPrice]]/(1+35%),MotorPHSales[[#This Row],[UnitPrice]]/(1+40%)))*MotorPHSales[[#This Row],[Quantity]]</f>
        <v>700000</v>
      </c>
      <c r="Q525" s="44" t="str">
        <f>INDEX(CLEANED_MotorPH_Products_List_2!H:H,MATCH(MotorPHSales[[#This Row],[Product]],CLEANED_MotorPH_Products_List_2!$B:$B,0))</f>
        <v>6-speed</v>
      </c>
    </row>
    <row r="526" spans="1:17" ht="15.75" x14ac:dyDescent="0.3">
      <c r="A526" s="43">
        <v>45837</v>
      </c>
      <c r="B526" s="44" t="str">
        <f>TEXT(MotorPHSales[[#This Row],[Date]],"mmmm")</f>
        <v>June</v>
      </c>
      <c r="C526" s="44">
        <f>DAY(MotorPHSales[[#This Row],[Date]])</f>
        <v>29</v>
      </c>
      <c r="D526" s="44">
        <f>YEAR(MotorPHSales[[#This Row],[Date]])</f>
        <v>2025</v>
      </c>
      <c r="E526" s="44" t="s">
        <v>194</v>
      </c>
      <c r="F526" s="44" t="s">
        <v>34</v>
      </c>
      <c r="G526" s="45">
        <v>320000</v>
      </c>
      <c r="H526" s="44">
        <v>4</v>
      </c>
      <c r="I526" s="45">
        <v>1280000</v>
      </c>
      <c r="J526" s="44" t="s">
        <v>195</v>
      </c>
      <c r="K526" s="44" t="str">
        <f>INDEX(CLEANED_MotorPH_Products_List_2!C:C,MATCH(MotorPHSales[[#This Row],[Product]],CLEANED_MotorPH_Products_List_2!$B:$B,0))</f>
        <v>Adventure</v>
      </c>
      <c r="L526" s="44" t="str">
        <f>INDEX(CLEANED_MotorPH_Products_List_2!E:E,MATCH(MotorPHSales[[#This Row],[Product]],CLEANED_MotorPH_Products_List_2!$B:$B,0))</f>
        <v>Single cylinder</v>
      </c>
      <c r="M526" s="44" t="str">
        <f>INDEX(CLEANED_MotorPH_Products_List_2!F:F,MATCH(MotorPHSales[[#This Row],[Product]],CLEANED_MotorPH_Products_List_2!$B:$B,0))</f>
        <v>liquid-cooled</v>
      </c>
      <c r="N526" s="44" t="str">
        <f>INDEX(CLEANED_MotorPH_Products_List_2!G:G,MATCH(MotorPHSales[[#This Row],[Product]],CLEANED_MotorPH_Products_List_2!$B:$B,0))</f>
        <v>313cc</v>
      </c>
      <c r="O526" s="44" t="str">
        <f>INDEX(CLEANED_MotorPH_Products_List_2!K:K,MATCH(MotorPHSales[[#This Row],[Product]],CLEANED_MotorPH_Products_List_2!B:B,0))</f>
        <v>Mid-range</v>
      </c>
      <c r="P526" s="45">
        <f>IF(MotorPHSales[[#This Row],[Segment]]="Entry-level",MotorPHSales[[#This Row],[UnitPrice]]/(1+30%),IF(MotorPHSales[[#This Row],[Segment]]="Mid-range",MotorPHSales[[#This Row],[UnitPrice]]/(1+35%),MotorPHSales[[#This Row],[UnitPrice]]/(1+40%)))*MotorPHSales[[#This Row],[Quantity]]</f>
        <v>948148.14814814809</v>
      </c>
      <c r="Q526" s="44" t="str">
        <f>INDEX(CLEANED_MotorPH_Products_List_2!H:H,MATCH(MotorPHSales[[#This Row],[Product]],CLEANED_MotorPH_Products_List_2!$B:$B,0))</f>
        <v>6-speed</v>
      </c>
    </row>
    <row r="527" spans="1:17" ht="15.75" x14ac:dyDescent="0.3">
      <c r="A527" s="43">
        <v>45844</v>
      </c>
      <c r="B527" s="44" t="str">
        <f>TEXT(MotorPHSales[[#This Row],[Date]],"mmmm")</f>
        <v>July</v>
      </c>
      <c r="C527" s="44">
        <f>DAY(MotorPHSales[[#This Row],[Date]])</f>
        <v>6</v>
      </c>
      <c r="D527" s="44">
        <f>YEAR(MotorPHSales[[#This Row],[Date]])</f>
        <v>2025</v>
      </c>
      <c r="E527" s="44" t="s">
        <v>194</v>
      </c>
      <c r="F527" s="44" t="s">
        <v>30</v>
      </c>
      <c r="G527" s="45">
        <v>79900</v>
      </c>
      <c r="H527" s="44">
        <v>34</v>
      </c>
      <c r="I527" s="45">
        <v>2716600</v>
      </c>
      <c r="J527" s="44" t="s">
        <v>198</v>
      </c>
      <c r="K527" s="44" t="str">
        <f>INDEX(CLEANED_MotorPH_Products_List_2!C:C,MATCH(MotorPHSales[[#This Row],[Product]],CLEANED_MotorPH_Products_List_2!$B:$B,0))</f>
        <v>Scooter</v>
      </c>
      <c r="L527" s="44" t="str">
        <f>INDEX(CLEANED_MotorPH_Products_List_2!E:E,MATCH(MotorPHSales[[#This Row],[Product]],CLEANED_MotorPH_Products_List_2!$B:$B,0))</f>
        <v>Single cylinder</v>
      </c>
      <c r="M527" s="44" t="str">
        <f>INDEX(CLEANED_MotorPH_Products_List_2!F:F,MATCH(MotorPHSales[[#This Row],[Product]],CLEANED_MotorPH_Products_List_2!$B:$B,0))</f>
        <v>air-cooled</v>
      </c>
      <c r="N527" s="44" t="str">
        <f>INDEX(CLEANED_MotorPH_Products_List_2!G:G,MATCH(MotorPHSales[[#This Row],[Product]],CLEANED_MotorPH_Products_List_2!$B:$B,0))</f>
        <v>124cc</v>
      </c>
      <c r="O527" s="44" t="str">
        <f>INDEX(CLEANED_MotorPH_Products_List_2!K:K,MATCH(MotorPHSales[[#This Row],[Product]],CLEANED_MotorPH_Products_List_2!B:B,0))</f>
        <v>Entry-level</v>
      </c>
      <c r="P527" s="45">
        <f>IF(MotorPHSales[[#This Row],[Segment]]="Entry-level",MotorPHSales[[#This Row],[UnitPrice]]/(1+30%),IF(MotorPHSales[[#This Row],[Segment]]="Mid-range",MotorPHSales[[#This Row],[UnitPrice]]/(1+35%),MotorPHSales[[#This Row],[UnitPrice]]/(1+40%)))*MotorPHSales[[#This Row],[Quantity]]</f>
        <v>2089692.3076923077</v>
      </c>
      <c r="Q527" s="44" t="str">
        <f>INDEX(CLEANED_MotorPH_Products_List_2!H:H,MATCH(MotorPHSales[[#This Row],[Product]],CLEANED_MotorPH_Products_List_2!$B:$B,0))</f>
        <v>CVT</v>
      </c>
    </row>
    <row r="528" spans="1:17" ht="15.75" x14ac:dyDescent="0.3">
      <c r="A528" s="43">
        <v>45897</v>
      </c>
      <c r="B528" s="44" t="str">
        <f>TEXT(MotorPHSales[[#This Row],[Date]],"mmmm")</f>
        <v>August</v>
      </c>
      <c r="C528" s="44">
        <f>DAY(MotorPHSales[[#This Row],[Date]])</f>
        <v>28</v>
      </c>
      <c r="D528" s="44">
        <f>YEAR(MotorPHSales[[#This Row],[Date]])</f>
        <v>2025</v>
      </c>
      <c r="E528" s="44" t="s">
        <v>194</v>
      </c>
      <c r="F528" s="44" t="s">
        <v>86</v>
      </c>
      <c r="G528" s="45">
        <v>650000</v>
      </c>
      <c r="H528" s="44">
        <v>11</v>
      </c>
      <c r="I528" s="45">
        <v>7150000</v>
      </c>
      <c r="J528" s="44" t="s">
        <v>198</v>
      </c>
      <c r="K528" s="44" t="str">
        <f>INDEX(CLEANED_MotorPH_Products_List_2!C:C,MATCH(MotorPHSales[[#This Row],[Product]],CLEANED_MotorPH_Products_List_2!$B:$B,0))</f>
        <v>Cruiser</v>
      </c>
      <c r="L528" s="44" t="str">
        <f>INDEX(CLEANED_MotorPH_Products_List_2!E:E,MATCH(MotorPHSales[[#This Row],[Product]],CLEANED_MotorPH_Products_List_2!$B:$B,0))</f>
        <v>Parallel-twin</v>
      </c>
      <c r="M528" s="44" t="str">
        <f>INDEX(CLEANED_MotorPH_Products_List_2!F:F,MATCH(MotorPHSales[[#This Row],[Product]],CLEANED_MotorPH_Products_List_2!$B:$B,0))</f>
        <v>liquid-cooled</v>
      </c>
      <c r="N528" s="44" t="str">
        <f>INDEX(CLEANED_MotorPH_Products_List_2!G:G,MATCH(MotorPHSales[[#This Row],[Product]],CLEANED_MotorPH_Products_List_2!$B:$B,0))</f>
        <v>1084cc</v>
      </c>
      <c r="O528" s="44" t="str">
        <f>INDEX(CLEANED_MotorPH_Products_List_2!K:K,MATCH(MotorPHSales[[#This Row],[Product]],CLEANED_MotorPH_Products_List_2!B:B,0))</f>
        <v>Premium</v>
      </c>
      <c r="P528" s="45">
        <f>IF(MotorPHSales[[#This Row],[Segment]]="Entry-level",MotorPHSales[[#This Row],[UnitPrice]]/(1+30%),IF(MotorPHSales[[#This Row],[Segment]]="Mid-range",MotorPHSales[[#This Row],[UnitPrice]]/(1+35%),MotorPHSales[[#This Row],[UnitPrice]]/(1+40%)))*MotorPHSales[[#This Row],[Quantity]]</f>
        <v>5107142.8571428573</v>
      </c>
      <c r="Q528" s="44" t="str">
        <f>INDEX(CLEANED_MotorPH_Products_List_2!H:H,MATCH(MotorPHSales[[#This Row],[Product]],CLEANED_MotorPH_Products_List_2!$B:$B,0))</f>
        <v>6-speed</v>
      </c>
    </row>
    <row r="529" spans="1:17" ht="15.75" x14ac:dyDescent="0.3">
      <c r="A529" s="43">
        <v>45829</v>
      </c>
      <c r="B529" s="44" t="str">
        <f>TEXT(MotorPHSales[[#This Row],[Date]],"mmmm")</f>
        <v>June</v>
      </c>
      <c r="C529" s="44">
        <f>DAY(MotorPHSales[[#This Row],[Date]])</f>
        <v>21</v>
      </c>
      <c r="D529" s="44">
        <f>YEAR(MotorPHSales[[#This Row],[Date]])</f>
        <v>2025</v>
      </c>
      <c r="E529" s="44" t="s">
        <v>196</v>
      </c>
      <c r="F529" s="44" t="s">
        <v>6</v>
      </c>
      <c r="G529" s="45">
        <v>389000</v>
      </c>
      <c r="H529" s="44">
        <v>13</v>
      </c>
      <c r="I529" s="45">
        <v>5057000</v>
      </c>
      <c r="J529" s="44" t="s">
        <v>198</v>
      </c>
      <c r="K529" s="44" t="str">
        <f>INDEX(CLEANED_MotorPH_Products_List_2!C:C,MATCH(MotorPHSales[[#This Row],[Product]],CLEANED_MotorPH_Products_List_2!$B:$B,0))</f>
        <v>Sport</v>
      </c>
      <c r="L529" s="44" t="str">
        <f>INDEX(CLEANED_MotorPH_Products_List_2!E:E,MATCH(MotorPHSales[[#This Row],[Product]],CLEANED_MotorPH_Products_List_2!$B:$B,0))</f>
        <v>Parallel-twin</v>
      </c>
      <c r="M529" s="44" t="str">
        <f>INDEX(CLEANED_MotorPH_Products_List_2!F:F,MATCH(MotorPHSales[[#This Row],[Product]],CLEANED_MotorPH_Products_List_2!$B:$B,0))</f>
        <v>liquid-cooled</v>
      </c>
      <c r="N529" s="44" t="str">
        <f>INDEX(CLEANED_MotorPH_Products_List_2!G:G,MATCH(MotorPHSales[[#This Row],[Product]],CLEANED_MotorPH_Products_List_2!$B:$B,0))</f>
        <v>471cc</v>
      </c>
      <c r="O529" s="44" t="str">
        <f>INDEX(CLEANED_MotorPH_Products_List_2!K:K,MATCH(MotorPHSales[[#This Row],[Product]],CLEANED_MotorPH_Products_List_2!B:B,0))</f>
        <v>Mid-range</v>
      </c>
      <c r="P529" s="45">
        <f>IF(MotorPHSales[[#This Row],[Segment]]="Entry-level",MotorPHSales[[#This Row],[UnitPrice]]/(1+30%),IF(MotorPHSales[[#This Row],[Segment]]="Mid-range",MotorPHSales[[#This Row],[UnitPrice]]/(1+35%),MotorPHSales[[#This Row],[UnitPrice]]/(1+40%)))*MotorPHSales[[#This Row],[Quantity]]</f>
        <v>3745925.9259259258</v>
      </c>
      <c r="Q529" s="44" t="str">
        <f>INDEX(CLEANED_MotorPH_Products_List_2!H:H,MATCH(MotorPHSales[[#This Row],[Product]],CLEANED_MotorPH_Products_List_2!$B:$B,0))</f>
        <v>6-speed</v>
      </c>
    </row>
    <row r="530" spans="1:17" ht="15.75" x14ac:dyDescent="0.3">
      <c r="A530" s="43">
        <v>45844</v>
      </c>
      <c r="B530" s="44" t="str">
        <f>TEXT(MotorPHSales[[#This Row],[Date]],"mmmm")</f>
        <v>July</v>
      </c>
      <c r="C530" s="44">
        <f>DAY(MotorPHSales[[#This Row],[Date]])</f>
        <v>6</v>
      </c>
      <c r="D530" s="44">
        <f>YEAR(MotorPHSales[[#This Row],[Date]])</f>
        <v>2025</v>
      </c>
      <c r="E530" s="44" t="s">
        <v>194</v>
      </c>
      <c r="F530" s="44" t="s">
        <v>72</v>
      </c>
      <c r="G530" s="45">
        <v>319000</v>
      </c>
      <c r="H530" s="44">
        <v>18</v>
      </c>
      <c r="I530" s="45">
        <v>5742000</v>
      </c>
      <c r="J530" s="44" t="s">
        <v>195</v>
      </c>
      <c r="K530" s="44" t="str">
        <f>INDEX(CLEANED_MotorPH_Products_List_2!C:C,MATCH(MotorPHSales[[#This Row],[Product]],CLEANED_MotorPH_Products_List_2!$B:$B,0))</f>
        <v>Scooter</v>
      </c>
      <c r="L530" s="44" t="str">
        <f>INDEX(CLEANED_MotorPH_Products_List_2!E:E,MATCH(MotorPHSales[[#This Row],[Product]],CLEANED_MotorPH_Products_List_2!$B:$B,0))</f>
        <v>Single cylinder</v>
      </c>
      <c r="M530" s="44" t="str">
        <f>INDEX(CLEANED_MotorPH_Products_List_2!F:F,MATCH(MotorPHSales[[#This Row],[Product]],CLEANED_MotorPH_Products_List_2!$B:$B,0))</f>
        <v>liquid-cooled</v>
      </c>
      <c r="N530" s="44" t="str">
        <f>INDEX(CLEANED_MotorPH_Products_List_2!G:G,MATCH(MotorPHSales[[#This Row],[Product]],CLEANED_MotorPH_Products_List_2!$B:$B,0))</f>
        <v>292cc</v>
      </c>
      <c r="O530" s="44" t="str">
        <f>INDEX(CLEANED_MotorPH_Products_List_2!K:K,MATCH(MotorPHSales[[#This Row],[Product]],CLEANED_MotorPH_Products_List_2!B:B,0))</f>
        <v>Mid-range</v>
      </c>
      <c r="P530" s="45">
        <f>IF(MotorPHSales[[#This Row],[Segment]]="Entry-level",MotorPHSales[[#This Row],[UnitPrice]]/(1+30%),IF(MotorPHSales[[#This Row],[Segment]]="Mid-range",MotorPHSales[[#This Row],[UnitPrice]]/(1+35%),MotorPHSales[[#This Row],[UnitPrice]]/(1+40%)))*MotorPHSales[[#This Row],[Quantity]]</f>
        <v>4253333.333333333</v>
      </c>
      <c r="Q530" s="44" t="str">
        <f>INDEX(CLEANED_MotorPH_Products_List_2!H:H,MATCH(MotorPHSales[[#This Row],[Product]],CLEANED_MotorPH_Products_List_2!$B:$B,0))</f>
        <v>CVT</v>
      </c>
    </row>
    <row r="531" spans="1:17" ht="15.75" x14ac:dyDescent="0.3">
      <c r="A531" s="43">
        <v>45818</v>
      </c>
      <c r="B531" s="44" t="str">
        <f>TEXT(MotorPHSales[[#This Row],[Date]],"mmmm")</f>
        <v>June</v>
      </c>
      <c r="C531" s="44">
        <f>DAY(MotorPHSales[[#This Row],[Date]])</f>
        <v>10</v>
      </c>
      <c r="D531" s="44">
        <f>YEAR(MotorPHSales[[#This Row],[Date]])</f>
        <v>2025</v>
      </c>
      <c r="E531" s="44" t="s">
        <v>194</v>
      </c>
      <c r="F531" s="44" t="s">
        <v>101</v>
      </c>
      <c r="G531" s="45">
        <v>72900</v>
      </c>
      <c r="H531" s="44">
        <v>7</v>
      </c>
      <c r="I531" s="45">
        <v>510300</v>
      </c>
      <c r="J531" s="44" t="s">
        <v>195</v>
      </c>
      <c r="K531" s="44" t="str">
        <f>INDEX(CLEANED_MotorPH_Products_List_2!C:C,MATCH(MotorPHSales[[#This Row],[Product]],CLEANED_MotorPH_Products_List_2!$B:$B,0))</f>
        <v>Underbone</v>
      </c>
      <c r="L531" s="44" t="str">
        <f>INDEX(CLEANED_MotorPH_Products_List_2!E:E,MATCH(MotorPHSales[[#This Row],[Product]],CLEANED_MotorPH_Products_List_2!$B:$B,0))</f>
        <v>Single cylinder</v>
      </c>
      <c r="M531" s="44" t="str">
        <f>INDEX(CLEANED_MotorPH_Products_List_2!F:F,MATCH(MotorPHSales[[#This Row],[Product]],CLEANED_MotorPH_Products_List_2!$B:$B,0))</f>
        <v>air-cooled</v>
      </c>
      <c r="N531" s="44" t="str">
        <f>INDEX(CLEANED_MotorPH_Products_List_2!G:G,MATCH(MotorPHSales[[#This Row],[Product]],CLEANED_MotorPH_Products_List_2!$B:$B,0))</f>
        <v>150cc</v>
      </c>
      <c r="O531" s="44" t="str">
        <f>INDEX(CLEANED_MotorPH_Products_List_2!K:K,MATCH(MotorPHSales[[#This Row],[Product]],CLEANED_MotorPH_Products_List_2!B:B,0))</f>
        <v>Entry-level</v>
      </c>
      <c r="P531" s="45">
        <f>IF(MotorPHSales[[#This Row],[Segment]]="Entry-level",MotorPHSales[[#This Row],[UnitPrice]]/(1+30%),IF(MotorPHSales[[#This Row],[Segment]]="Mid-range",MotorPHSales[[#This Row],[UnitPrice]]/(1+35%),MotorPHSales[[#This Row],[UnitPrice]]/(1+40%)))*MotorPHSales[[#This Row],[Quantity]]</f>
        <v>392538.46153846156</v>
      </c>
      <c r="Q531" s="44" t="str">
        <f>INDEX(CLEANED_MotorPH_Products_List_2!H:H,MATCH(MotorPHSales[[#This Row],[Product]],CLEANED_MotorPH_Products_List_2!$B:$B,0))</f>
        <v>CVT</v>
      </c>
    </row>
    <row r="532" spans="1:17" ht="15.75" x14ac:dyDescent="0.3">
      <c r="A532" s="43">
        <v>45881</v>
      </c>
      <c r="B532" s="44" t="str">
        <f>TEXT(MotorPHSales[[#This Row],[Date]],"mmmm")</f>
        <v>August</v>
      </c>
      <c r="C532" s="44">
        <f>DAY(MotorPHSales[[#This Row],[Date]])</f>
        <v>12</v>
      </c>
      <c r="D532" s="44">
        <f>YEAR(MotorPHSales[[#This Row],[Date]])</f>
        <v>2025</v>
      </c>
      <c r="E532" s="44" t="s">
        <v>194</v>
      </c>
      <c r="F532" s="44" t="s">
        <v>96</v>
      </c>
      <c r="G532" s="45">
        <v>80900</v>
      </c>
      <c r="H532" s="44">
        <v>46</v>
      </c>
      <c r="I532" s="45">
        <v>3721400</v>
      </c>
      <c r="J532" s="44" t="s">
        <v>197</v>
      </c>
      <c r="K532" s="44" t="str">
        <f>INDEX(CLEANED_MotorPH_Products_List_2!C:C,MATCH(MotorPHSales[[#This Row],[Product]],CLEANED_MotorPH_Products_List_2!$B:$B,0))</f>
        <v>Scooter</v>
      </c>
      <c r="L532" s="44" t="str">
        <f>INDEX(CLEANED_MotorPH_Products_List_2!E:E,MATCH(MotorPHSales[[#This Row],[Product]],CLEANED_MotorPH_Products_List_2!$B:$B,0))</f>
        <v>Single cylinder</v>
      </c>
      <c r="M532" s="44" t="str">
        <f>INDEX(CLEANED_MotorPH_Products_List_2!F:F,MATCH(MotorPHSales[[#This Row],[Product]],CLEANED_MotorPH_Products_List_2!$B:$B,0))</f>
        <v>air-cooled</v>
      </c>
      <c r="N532" s="44" t="str">
        <f>INDEX(CLEANED_MotorPH_Products_List_2!G:G,MATCH(MotorPHSales[[#This Row],[Product]],CLEANED_MotorPH_Products_List_2!$B:$B,0))</f>
        <v>124cc</v>
      </c>
      <c r="O532" s="44" t="str">
        <f>INDEX(CLEANED_MotorPH_Products_List_2!K:K,MATCH(MotorPHSales[[#This Row],[Product]],CLEANED_MotorPH_Products_List_2!B:B,0))</f>
        <v>Entry-level</v>
      </c>
      <c r="P532" s="45">
        <f>IF(MotorPHSales[[#This Row],[Segment]]="Entry-level",MotorPHSales[[#This Row],[UnitPrice]]/(1+30%),IF(MotorPHSales[[#This Row],[Segment]]="Mid-range",MotorPHSales[[#This Row],[UnitPrice]]/(1+35%),MotorPHSales[[#This Row],[UnitPrice]]/(1+40%)))*MotorPHSales[[#This Row],[Quantity]]</f>
        <v>2862615.3846153845</v>
      </c>
      <c r="Q532" s="44" t="str">
        <f>INDEX(CLEANED_MotorPH_Products_List_2!H:H,MATCH(MotorPHSales[[#This Row],[Product]],CLEANED_MotorPH_Products_List_2!$B:$B,0))</f>
        <v>CVT</v>
      </c>
    </row>
    <row r="533" spans="1:17" ht="15.75" x14ac:dyDescent="0.3">
      <c r="A533" s="43">
        <v>45832</v>
      </c>
      <c r="B533" s="44" t="str">
        <f>TEXT(MotorPHSales[[#This Row],[Date]],"mmmm")</f>
        <v>June</v>
      </c>
      <c r="C533" s="44">
        <f>DAY(MotorPHSales[[#This Row],[Date]])</f>
        <v>24</v>
      </c>
      <c r="D533" s="44">
        <f>YEAR(MotorPHSales[[#This Row],[Date]])</f>
        <v>2025</v>
      </c>
      <c r="E533" s="44" t="s">
        <v>194</v>
      </c>
      <c r="F533" s="44" t="s">
        <v>66</v>
      </c>
      <c r="G533" s="45">
        <v>499000</v>
      </c>
      <c r="H533" s="44">
        <v>49</v>
      </c>
      <c r="I533" s="45">
        <v>24451000</v>
      </c>
      <c r="J533" s="44" t="s">
        <v>197</v>
      </c>
      <c r="K533" s="44" t="str">
        <f>INDEX(CLEANED_MotorPH_Products_List_2!C:C,MATCH(MotorPHSales[[#This Row],[Product]],CLEANED_MotorPH_Products_List_2!$B:$B,0))</f>
        <v>Cruiser</v>
      </c>
      <c r="L533" s="44" t="str">
        <f>INDEX(CLEANED_MotorPH_Products_List_2!E:E,MATCH(MotorPHSales[[#This Row],[Product]],CLEANED_MotorPH_Products_List_2!$B:$B,0))</f>
        <v>V-twin</v>
      </c>
      <c r="M533" s="44" t="str">
        <f>INDEX(CLEANED_MotorPH_Products_List_2!F:F,MATCH(MotorPHSales[[#This Row],[Product]],CLEANED_MotorPH_Products_List_2!$B:$B,0))</f>
        <v>liquid-cooled</v>
      </c>
      <c r="N533" s="44" t="str">
        <f>INDEX(CLEANED_MotorPH_Products_List_2!G:G,MATCH(MotorPHSales[[#This Row],[Product]],CLEANED_MotorPH_Products_List_2!$B:$B,0))</f>
        <v>749cc</v>
      </c>
      <c r="O533" s="44" t="str">
        <f>INDEX(CLEANED_MotorPH_Products_List_2!K:K,MATCH(MotorPHSales[[#This Row],[Product]],CLEANED_MotorPH_Products_List_2!B:B,0))</f>
        <v>Premium</v>
      </c>
      <c r="P533" s="45">
        <f>IF(MotorPHSales[[#This Row],[Segment]]="Entry-level",MotorPHSales[[#This Row],[UnitPrice]]/(1+30%),IF(MotorPHSales[[#This Row],[Segment]]="Mid-range",MotorPHSales[[#This Row],[UnitPrice]]/(1+35%),MotorPHSales[[#This Row],[UnitPrice]]/(1+40%)))*MotorPHSales[[#This Row],[Quantity]]</f>
        <v>17465000.000000004</v>
      </c>
      <c r="Q533" s="44" t="str">
        <f>INDEX(CLEANED_MotorPH_Products_List_2!H:H,MATCH(MotorPHSales[[#This Row],[Product]],CLEANED_MotorPH_Products_List_2!$B:$B,0))</f>
        <v>6-speed</v>
      </c>
    </row>
    <row r="534" spans="1:17" ht="15.75" x14ac:dyDescent="0.3">
      <c r="A534" s="43">
        <v>45872</v>
      </c>
      <c r="B534" s="44" t="str">
        <f>TEXT(MotorPHSales[[#This Row],[Date]],"mmmm")</f>
        <v>August</v>
      </c>
      <c r="C534" s="44">
        <f>DAY(MotorPHSales[[#This Row],[Date]])</f>
        <v>3</v>
      </c>
      <c r="D534" s="44">
        <f>YEAR(MotorPHSales[[#This Row],[Date]])</f>
        <v>2025</v>
      </c>
      <c r="E534" s="44" t="s">
        <v>194</v>
      </c>
      <c r="F534" s="44" t="s">
        <v>59</v>
      </c>
      <c r="G534" s="45">
        <v>67900</v>
      </c>
      <c r="H534" s="44">
        <v>47</v>
      </c>
      <c r="I534" s="45">
        <v>3191300</v>
      </c>
      <c r="J534" s="44" t="s">
        <v>197</v>
      </c>
      <c r="K534" s="44" t="str">
        <f>INDEX(CLEANED_MotorPH_Products_List_2!C:C,MATCH(MotorPHSales[[#This Row],[Product]],CLEANED_MotorPH_Products_List_2!$B:$B,0))</f>
        <v>Commuter</v>
      </c>
      <c r="L534" s="44" t="str">
        <f>INDEX(CLEANED_MotorPH_Products_List_2!E:E,MATCH(MotorPHSales[[#This Row],[Product]],CLEANED_MotorPH_Products_List_2!$B:$B,0))</f>
        <v>Single cylinder</v>
      </c>
      <c r="M534" s="44" t="str">
        <f>INDEX(CLEANED_MotorPH_Products_List_2!F:F,MATCH(MotorPHSales[[#This Row],[Product]],CLEANED_MotorPH_Products_List_2!$B:$B,0))</f>
        <v>air-cooled</v>
      </c>
      <c r="N534" s="44" t="str">
        <f>INDEX(CLEANED_MotorPH_Products_List_2!G:G,MATCH(MotorPHSales[[#This Row],[Product]],CLEANED_MotorPH_Products_List_2!$B:$B,0))</f>
        <v>125cc</v>
      </c>
      <c r="O534" s="44" t="str">
        <f>INDEX(CLEANED_MotorPH_Products_List_2!K:K,MATCH(MotorPHSales[[#This Row],[Product]],CLEANED_MotorPH_Products_List_2!B:B,0))</f>
        <v>Entry-level</v>
      </c>
      <c r="P534" s="45">
        <f>IF(MotorPHSales[[#This Row],[Segment]]="Entry-level",MotorPHSales[[#This Row],[UnitPrice]]/(1+30%),IF(MotorPHSales[[#This Row],[Segment]]="Mid-range",MotorPHSales[[#This Row],[UnitPrice]]/(1+35%),MotorPHSales[[#This Row],[UnitPrice]]/(1+40%)))*MotorPHSales[[#This Row],[Quantity]]</f>
        <v>2454846.1538461535</v>
      </c>
      <c r="Q534" s="44" t="str">
        <f>INDEX(CLEANED_MotorPH_Products_List_2!H:H,MATCH(MotorPHSales[[#This Row],[Product]],CLEANED_MotorPH_Products_List_2!$B:$B,0))</f>
        <v>4-speed</v>
      </c>
    </row>
    <row r="535" spans="1:17" ht="15.75" x14ac:dyDescent="0.3">
      <c r="A535" s="43">
        <v>45857</v>
      </c>
      <c r="B535" s="44" t="str">
        <f>TEXT(MotorPHSales[[#This Row],[Date]],"mmmm")</f>
        <v>July</v>
      </c>
      <c r="C535" s="44">
        <f>DAY(MotorPHSales[[#This Row],[Date]])</f>
        <v>19</v>
      </c>
      <c r="D535" s="44">
        <f>YEAR(MotorPHSales[[#This Row],[Date]])</f>
        <v>2025</v>
      </c>
      <c r="E535" s="44" t="s">
        <v>196</v>
      </c>
      <c r="F535" s="44" t="s">
        <v>78</v>
      </c>
      <c r="G535" s="45">
        <v>99900</v>
      </c>
      <c r="H535" s="44">
        <v>17</v>
      </c>
      <c r="I535" s="45">
        <v>1698300</v>
      </c>
      <c r="J535" s="44" t="s">
        <v>197</v>
      </c>
      <c r="K535" s="44" t="str">
        <f>INDEX(CLEANED_MotorPH_Products_List_2!C:C,MATCH(MotorPHSales[[#This Row],[Product]],CLEANED_MotorPH_Products_List_2!$B:$B,0))</f>
        <v>Street</v>
      </c>
      <c r="L535" s="44" t="str">
        <f>INDEX(CLEANED_MotorPH_Products_List_2!E:E,MATCH(MotorPHSales[[#This Row],[Product]],CLEANED_MotorPH_Products_List_2!$B:$B,0))</f>
        <v>Single cylinder</v>
      </c>
      <c r="M535" s="44" t="str">
        <f>INDEX(CLEANED_MotorPH_Products_List_2!F:F,MATCH(MotorPHSales[[#This Row],[Product]],CLEANED_MotorPH_Products_List_2!$B:$B,0))</f>
        <v>air-cooled</v>
      </c>
      <c r="N535" s="44" t="str">
        <f>INDEX(CLEANED_MotorPH_Products_List_2!G:G,MATCH(MotorPHSales[[#This Row],[Product]],CLEANED_MotorPH_Products_List_2!$B:$B,0))</f>
        <v>149cc</v>
      </c>
      <c r="O535" s="44" t="str">
        <f>INDEX(CLEANED_MotorPH_Products_List_2!K:K,MATCH(MotorPHSales[[#This Row],[Product]],CLEANED_MotorPH_Products_List_2!B:B,0))</f>
        <v>Entry-level</v>
      </c>
      <c r="P535" s="45">
        <f>IF(MotorPHSales[[#This Row],[Segment]]="Entry-level",MotorPHSales[[#This Row],[UnitPrice]]/(1+30%),IF(MotorPHSales[[#This Row],[Segment]]="Mid-range",MotorPHSales[[#This Row],[UnitPrice]]/(1+35%),MotorPHSales[[#This Row],[UnitPrice]]/(1+40%)))*MotorPHSales[[#This Row],[Quantity]]</f>
        <v>1306384.6153846153</v>
      </c>
      <c r="Q535" s="44" t="str">
        <f>INDEX(CLEANED_MotorPH_Products_List_2!H:H,MATCH(MotorPHSales[[#This Row],[Product]],CLEANED_MotorPH_Products_List_2!$B:$B,0))</f>
        <v>5-speed</v>
      </c>
    </row>
    <row r="536" spans="1:17" ht="15.75" x14ac:dyDescent="0.3">
      <c r="A536" s="43">
        <v>45844</v>
      </c>
      <c r="B536" s="44" t="str">
        <f>TEXT(MotorPHSales[[#This Row],[Date]],"mmmm")</f>
        <v>July</v>
      </c>
      <c r="C536" s="44">
        <f>DAY(MotorPHSales[[#This Row],[Date]])</f>
        <v>6</v>
      </c>
      <c r="D536" s="44">
        <f>YEAR(MotorPHSales[[#This Row],[Date]])</f>
        <v>2025</v>
      </c>
      <c r="E536" s="44" t="s">
        <v>196</v>
      </c>
      <c r="F536" s="44" t="s">
        <v>99</v>
      </c>
      <c r="G536" s="45">
        <v>689000</v>
      </c>
      <c r="H536" s="44">
        <v>16</v>
      </c>
      <c r="I536" s="45">
        <v>11024000</v>
      </c>
      <c r="J536" s="44" t="s">
        <v>198</v>
      </c>
      <c r="K536" s="44" t="str">
        <f>INDEX(CLEANED_MotorPH_Products_List_2!C:C,MATCH(MotorPHSales[[#This Row],[Product]],CLEANED_MotorPH_Products_List_2!$B:$B,0))</f>
        <v>Heritage</v>
      </c>
      <c r="L536" s="44" t="str">
        <f>INDEX(CLEANED_MotorPH_Products_List_2!E:E,MATCH(MotorPHSales[[#This Row],[Product]],CLEANED_MotorPH_Products_List_2!$B:$B,0))</f>
        <v>V-twin</v>
      </c>
      <c r="M536" s="44" t="str">
        <f>INDEX(CLEANED_MotorPH_Products_List_2!F:F,MATCH(MotorPHSales[[#This Row],[Product]],CLEANED_MotorPH_Products_List_2!$B:$B,0))</f>
        <v>air-cooled</v>
      </c>
      <c r="N536" s="44" t="str">
        <f>INDEX(CLEANED_MotorPH_Products_List_2!G:G,MATCH(MotorPHSales[[#This Row],[Product]],CLEANED_MotorPH_Products_List_2!$B:$B,0))</f>
        <v>853cc</v>
      </c>
      <c r="O536" s="44" t="str">
        <f>INDEX(CLEANED_MotorPH_Products_List_2!K:K,MATCH(MotorPHSales[[#This Row],[Product]],CLEANED_MotorPH_Products_List_2!B:B,0))</f>
        <v>Premium</v>
      </c>
      <c r="P536" s="45">
        <f>IF(MotorPHSales[[#This Row],[Segment]]="Entry-level",MotorPHSales[[#This Row],[UnitPrice]]/(1+30%),IF(MotorPHSales[[#This Row],[Segment]]="Mid-range",MotorPHSales[[#This Row],[UnitPrice]]/(1+35%),MotorPHSales[[#This Row],[UnitPrice]]/(1+40%)))*MotorPHSales[[#This Row],[Quantity]]</f>
        <v>7874285.7142857146</v>
      </c>
      <c r="Q536" s="44" t="str">
        <f>INDEX(CLEANED_MotorPH_Products_List_2!H:H,MATCH(MotorPHSales[[#This Row],[Product]],CLEANED_MotorPH_Products_List_2!$B:$B,0))</f>
        <v>6-speed</v>
      </c>
    </row>
    <row r="537" spans="1:17" ht="15.75" x14ac:dyDescent="0.3">
      <c r="A537" s="43">
        <v>45890</v>
      </c>
      <c r="B537" s="44" t="str">
        <f>TEXT(MotorPHSales[[#This Row],[Date]],"mmmm")</f>
        <v>August</v>
      </c>
      <c r="C537" s="44">
        <f>DAY(MotorPHSales[[#This Row],[Date]])</f>
        <v>21</v>
      </c>
      <c r="D537" s="44">
        <f>YEAR(MotorPHSales[[#This Row],[Date]])</f>
        <v>2025</v>
      </c>
      <c r="E537" s="44" t="s">
        <v>196</v>
      </c>
      <c r="F537" s="44" t="s">
        <v>20</v>
      </c>
      <c r="G537" s="45">
        <v>178000</v>
      </c>
      <c r="H537" s="44">
        <v>18</v>
      </c>
      <c r="I537" s="45">
        <v>3204000</v>
      </c>
      <c r="J537" s="44" t="s">
        <v>195</v>
      </c>
      <c r="K537" s="44" t="str">
        <f>INDEX(CLEANED_MotorPH_Products_List_2!C:C,MATCH(MotorPHSales[[#This Row],[Product]],CLEANED_MotorPH_Products_List_2!$B:$B,0))</f>
        <v>Naked bike</v>
      </c>
      <c r="L537" s="44" t="str">
        <f>INDEX(CLEANED_MotorPH_Products_List_2!E:E,MATCH(MotorPHSales[[#This Row],[Product]],CLEANED_MotorPH_Products_List_2!$B:$B,0))</f>
        <v>Single cylinder</v>
      </c>
      <c r="M537" s="44" t="str">
        <f>INDEX(CLEANED_MotorPH_Products_List_2!F:F,MATCH(MotorPHSales[[#This Row],[Product]],CLEANED_MotorPH_Products_List_2!$B:$B,0))</f>
        <v>liquid-cooled</v>
      </c>
      <c r="N537" s="44" t="str">
        <f>INDEX(CLEANED_MotorPH_Products_List_2!G:G,MATCH(MotorPHSales[[#This Row],[Product]],CLEANED_MotorPH_Products_List_2!$B:$B,0))</f>
        <v>199cc</v>
      </c>
      <c r="O537" s="44" t="str">
        <f>INDEX(CLEANED_MotorPH_Products_List_2!K:K,MATCH(MotorPHSales[[#This Row],[Product]],CLEANED_MotorPH_Products_List_2!B:B,0))</f>
        <v>Entry-level</v>
      </c>
      <c r="P537" s="45">
        <f>IF(MotorPHSales[[#This Row],[Segment]]="Entry-level",MotorPHSales[[#This Row],[UnitPrice]]/(1+30%),IF(MotorPHSales[[#This Row],[Segment]]="Mid-range",MotorPHSales[[#This Row],[UnitPrice]]/(1+35%),MotorPHSales[[#This Row],[UnitPrice]]/(1+40%)))*MotorPHSales[[#This Row],[Quantity]]</f>
        <v>2464615.3846153845</v>
      </c>
      <c r="Q537" s="44" t="str">
        <f>INDEX(CLEANED_MotorPH_Products_List_2!H:H,MATCH(MotorPHSales[[#This Row],[Product]],CLEANED_MotorPH_Products_List_2!$B:$B,0))</f>
        <v>6-speed</v>
      </c>
    </row>
    <row r="538" spans="1:17" ht="15.75" x14ac:dyDescent="0.3">
      <c r="A538" s="43">
        <v>45832</v>
      </c>
      <c r="B538" s="44" t="str">
        <f>TEXT(MotorPHSales[[#This Row],[Date]],"mmmm")</f>
        <v>June</v>
      </c>
      <c r="C538" s="44">
        <f>DAY(MotorPHSales[[#This Row],[Date]])</f>
        <v>24</v>
      </c>
      <c r="D538" s="44">
        <f>YEAR(MotorPHSales[[#This Row],[Date]])</f>
        <v>2025</v>
      </c>
      <c r="E538" s="44" t="s">
        <v>196</v>
      </c>
      <c r="F538" s="44" t="s">
        <v>49</v>
      </c>
      <c r="G538" s="45">
        <v>68900</v>
      </c>
      <c r="H538" s="44">
        <v>17</v>
      </c>
      <c r="I538" s="45">
        <v>1171300</v>
      </c>
      <c r="J538" s="44" t="s">
        <v>197</v>
      </c>
      <c r="K538" s="44" t="str">
        <f>INDEX(CLEANED_MotorPH_Products_List_2!C:C,MATCH(MotorPHSales[[#This Row],[Product]],CLEANED_MotorPH_Products_List_2!$B:$B,0))</f>
        <v>Standard</v>
      </c>
      <c r="L538" s="44" t="str">
        <f>INDEX(CLEANED_MotorPH_Products_List_2!E:E,MATCH(MotorPHSales[[#This Row],[Product]],CLEANED_MotorPH_Products_List_2!$B:$B,0))</f>
        <v>Single cylinder</v>
      </c>
      <c r="M538" s="44" t="str">
        <f>INDEX(CLEANED_MotorPH_Products_List_2!F:F,MATCH(MotorPHSales[[#This Row],[Product]],CLEANED_MotorPH_Products_List_2!$B:$B,0))</f>
        <v>air-cooled</v>
      </c>
      <c r="N538" s="44" t="str">
        <f>INDEX(CLEANED_MotorPH_Products_List_2!G:G,MATCH(MotorPHSales[[#This Row],[Product]],CLEANED_MotorPH_Products_List_2!$B:$B,0))</f>
        <v>149cc</v>
      </c>
      <c r="O538" s="44" t="str">
        <f>INDEX(CLEANED_MotorPH_Products_List_2!K:K,MATCH(MotorPHSales[[#This Row],[Product]],CLEANED_MotorPH_Products_List_2!B:B,0))</f>
        <v>Entry-level</v>
      </c>
      <c r="P538" s="45">
        <f>IF(MotorPHSales[[#This Row],[Segment]]="Entry-level",MotorPHSales[[#This Row],[UnitPrice]]/(1+30%),IF(MotorPHSales[[#This Row],[Segment]]="Mid-range",MotorPHSales[[#This Row],[UnitPrice]]/(1+35%),MotorPHSales[[#This Row],[UnitPrice]]/(1+40%)))*MotorPHSales[[#This Row],[Quantity]]</f>
        <v>901000</v>
      </c>
      <c r="Q538" s="44" t="str">
        <f>INDEX(CLEANED_MotorPH_Products_List_2!H:H,MATCH(MotorPHSales[[#This Row],[Product]],CLEANED_MotorPH_Products_List_2!$B:$B,0))</f>
        <v>5-speed</v>
      </c>
    </row>
    <row r="539" spans="1:17" ht="15.75" x14ac:dyDescent="0.3">
      <c r="A539" s="43">
        <v>45831</v>
      </c>
      <c r="B539" s="44" t="str">
        <f>TEXT(MotorPHSales[[#This Row],[Date]],"mmmm")</f>
        <v>June</v>
      </c>
      <c r="C539" s="44">
        <f>DAY(MotorPHSales[[#This Row],[Date]])</f>
        <v>23</v>
      </c>
      <c r="D539" s="44">
        <f>YEAR(MotorPHSales[[#This Row],[Date]])</f>
        <v>2025</v>
      </c>
      <c r="E539" s="44" t="s">
        <v>194</v>
      </c>
      <c r="F539" s="44" t="s">
        <v>68</v>
      </c>
      <c r="G539" s="45">
        <v>248000</v>
      </c>
      <c r="H539" s="44">
        <v>15</v>
      </c>
      <c r="I539" s="45">
        <v>3720000</v>
      </c>
      <c r="J539" s="44" t="s">
        <v>198</v>
      </c>
      <c r="K539" s="44" t="str">
        <f>INDEX(CLEANED_MotorPH_Products_List_2!C:C,MATCH(MotorPHSales[[#This Row],[Product]],CLEANED_MotorPH_Products_List_2!$B:$B,0))</f>
        <v>Adventure</v>
      </c>
      <c r="L539" s="44" t="str">
        <f>INDEX(CLEANED_MotorPH_Products_List_2!E:E,MATCH(MotorPHSales[[#This Row],[Product]],CLEANED_MotorPH_Products_List_2!$B:$B,0))</f>
        <v>Single cylinder</v>
      </c>
      <c r="M539" s="44" t="str">
        <f>INDEX(CLEANED_MotorPH_Products_List_2!F:F,MATCH(MotorPHSales[[#This Row],[Product]],CLEANED_MotorPH_Products_List_2!$B:$B,0))</f>
        <v>liquid-cooled</v>
      </c>
      <c r="N539" s="44" t="str">
        <f>INDEX(CLEANED_MotorPH_Products_List_2!G:G,MATCH(MotorPHSales[[#This Row],[Product]],CLEANED_MotorPH_Products_List_2!$B:$B,0))</f>
        <v>312cc</v>
      </c>
      <c r="O539" s="44" t="str">
        <f>INDEX(CLEANED_MotorPH_Products_List_2!K:K,MATCH(MotorPHSales[[#This Row],[Product]],CLEANED_MotorPH_Products_List_2!B:B,0))</f>
        <v>Mid-range</v>
      </c>
      <c r="P539" s="45">
        <f>IF(MotorPHSales[[#This Row],[Segment]]="Entry-level",MotorPHSales[[#This Row],[UnitPrice]]/(1+30%),IF(MotorPHSales[[#This Row],[Segment]]="Mid-range",MotorPHSales[[#This Row],[UnitPrice]]/(1+35%),MotorPHSales[[#This Row],[UnitPrice]]/(1+40%)))*MotorPHSales[[#This Row],[Quantity]]</f>
        <v>2755555.555555555</v>
      </c>
      <c r="Q539" s="44" t="str">
        <f>INDEX(CLEANED_MotorPH_Products_List_2!H:H,MATCH(MotorPHSales[[#This Row],[Product]],CLEANED_MotorPH_Products_List_2!$B:$B,0))</f>
        <v>6-speed</v>
      </c>
    </row>
    <row r="540" spans="1:17" ht="15.75" x14ac:dyDescent="0.3">
      <c r="A540" s="43">
        <v>45870</v>
      </c>
      <c r="B540" s="44" t="str">
        <f>TEXT(MotorPHSales[[#This Row],[Date]],"mmmm")</f>
        <v>August</v>
      </c>
      <c r="C540" s="44">
        <f>DAY(MotorPHSales[[#This Row],[Date]])</f>
        <v>1</v>
      </c>
      <c r="D540" s="44">
        <f>YEAR(MotorPHSales[[#This Row],[Date]])</f>
        <v>2025</v>
      </c>
      <c r="E540" s="44" t="s">
        <v>196</v>
      </c>
      <c r="F540" s="44" t="s">
        <v>97</v>
      </c>
      <c r="G540" s="45">
        <v>807000</v>
      </c>
      <c r="H540" s="44">
        <v>15</v>
      </c>
      <c r="I540" s="45">
        <v>4035000</v>
      </c>
      <c r="J540" s="44" t="s">
        <v>197</v>
      </c>
      <c r="K540" s="44" t="str">
        <f>INDEX(CLEANED_MotorPH_Products_List_2!C:C,MATCH(MotorPHSales[[#This Row],[Product]],CLEANED_MotorPH_Products_List_2!$B:$B,0))</f>
        <v>Cafe racer</v>
      </c>
      <c r="L540" s="44" t="str">
        <f>INDEX(CLEANED_MotorPH_Products_List_2!E:E,MATCH(MotorPHSales[[#This Row],[Product]],CLEANED_MotorPH_Products_List_2!$B:$B,0))</f>
        <v>Single cylinder</v>
      </c>
      <c r="M540" s="44" t="str">
        <f>INDEX(CLEANED_MotorPH_Products_List_2!F:F,MATCH(MotorPHSales[[#This Row],[Product]],CLEANED_MotorPH_Products_List_2!$B:$B,0))</f>
        <v>liquid-cooled</v>
      </c>
      <c r="N540" s="44" t="str">
        <f>INDEX(CLEANED_MotorPH_Products_List_2!G:G,MATCH(MotorPHSales[[#This Row],[Product]],CLEANED_MotorPH_Products_List_2!$B:$B,0))</f>
        <v>348cc</v>
      </c>
      <c r="O540" s="44" t="str">
        <f>INDEX(CLEANED_MotorPH_Products_List_2!K:K,MATCH(MotorPHSales[[#This Row],[Product]],CLEANED_MotorPH_Products_List_2!B:B,0))</f>
        <v>Mid-range</v>
      </c>
      <c r="P540" s="45">
        <f>IF(MotorPHSales[[#This Row],[Segment]]="Entry-level",MotorPHSales[[#This Row],[UnitPrice]]/(1+30%),IF(MotorPHSales[[#This Row],[Segment]]="Mid-range",MotorPHSales[[#This Row],[UnitPrice]]/(1+35%),MotorPHSales[[#This Row],[UnitPrice]]/(1+40%)))*MotorPHSales[[#This Row],[Quantity]]</f>
        <v>8966666.666666666</v>
      </c>
      <c r="Q540" s="44" t="str">
        <f>INDEX(CLEANED_MotorPH_Products_List_2!H:H,MATCH(MotorPHSales[[#This Row],[Product]],CLEANED_MotorPH_Products_List_2!$B:$B,0))</f>
        <v>6-speed</v>
      </c>
    </row>
    <row r="541" spans="1:17" ht="15.75" x14ac:dyDescent="0.3">
      <c r="A541" s="43">
        <v>45845</v>
      </c>
      <c r="B541" s="44" t="str">
        <f>TEXT(MotorPHSales[[#This Row],[Date]],"mmmm")</f>
        <v>July</v>
      </c>
      <c r="C541" s="44">
        <f>DAY(MotorPHSales[[#This Row],[Date]])</f>
        <v>7</v>
      </c>
      <c r="D541" s="44">
        <f>YEAR(MotorPHSales[[#This Row],[Date]])</f>
        <v>2025</v>
      </c>
      <c r="E541" s="44" t="s">
        <v>196</v>
      </c>
      <c r="F541" s="44" t="s">
        <v>12</v>
      </c>
      <c r="G541" s="45">
        <v>119900</v>
      </c>
      <c r="H541" s="44">
        <v>17</v>
      </c>
      <c r="I541" s="45">
        <v>2038300</v>
      </c>
      <c r="J541" s="44" t="s">
        <v>197</v>
      </c>
      <c r="K541" s="44" t="str">
        <f>INDEX(CLEANED_MotorPH_Products_List_2!C:C,MATCH(MotorPHSales[[#This Row],[Product]],CLEANED_MotorPH_Products_List_2!$B:$B,0))</f>
        <v>Underbone</v>
      </c>
      <c r="L541" s="44" t="str">
        <f>INDEX(CLEANED_MotorPH_Products_List_2!E:E,MATCH(MotorPHSales[[#This Row],[Product]],CLEANED_MotorPH_Products_List_2!$B:$B,0))</f>
        <v>Single cylinder</v>
      </c>
      <c r="M541" s="44" t="str">
        <f>INDEX(CLEANED_MotorPH_Products_List_2!F:F,MATCH(MotorPHSales[[#This Row],[Product]],CLEANED_MotorPH_Products_List_2!$B:$B,0))</f>
        <v>liquid-cooled</v>
      </c>
      <c r="N541" s="44" t="str">
        <f>INDEX(CLEANED_MotorPH_Products_List_2!G:G,MATCH(MotorPHSales[[#This Row],[Product]],CLEANED_MotorPH_Products_List_2!$B:$B,0))</f>
        <v>150cc</v>
      </c>
      <c r="O541" s="44" t="str">
        <f>INDEX(CLEANED_MotorPH_Products_List_2!K:K,MATCH(MotorPHSales[[#This Row],[Product]],CLEANED_MotorPH_Products_List_2!B:B,0))</f>
        <v>Entry-level</v>
      </c>
      <c r="P541" s="45">
        <f>IF(MotorPHSales[[#This Row],[Segment]]="Entry-level",MotorPHSales[[#This Row],[UnitPrice]]/(1+30%),IF(MotorPHSales[[#This Row],[Segment]]="Mid-range",MotorPHSales[[#This Row],[UnitPrice]]/(1+35%),MotorPHSales[[#This Row],[UnitPrice]]/(1+40%)))*MotorPHSales[[#This Row],[Quantity]]</f>
        <v>1567923.076923077</v>
      </c>
      <c r="Q541" s="44" t="str">
        <f>INDEX(CLEANED_MotorPH_Products_List_2!H:H,MATCH(MotorPHSales[[#This Row],[Product]],CLEANED_MotorPH_Products_List_2!$B:$B,0))</f>
        <v>6-speed</v>
      </c>
    </row>
    <row r="542" spans="1:17" ht="15.75" x14ac:dyDescent="0.3">
      <c r="A542" s="43">
        <v>45820</v>
      </c>
      <c r="B542" s="44" t="str">
        <f>TEXT(MotorPHSales[[#This Row],[Date]],"mmmm")</f>
        <v>June</v>
      </c>
      <c r="C542" s="44">
        <f>DAY(MotorPHSales[[#This Row],[Date]])</f>
        <v>12</v>
      </c>
      <c r="D542" s="44">
        <f>YEAR(MotorPHSales[[#This Row],[Date]])</f>
        <v>2025</v>
      </c>
      <c r="E542" s="44" t="s">
        <v>196</v>
      </c>
      <c r="F542" s="44" t="s">
        <v>16</v>
      </c>
      <c r="G542" s="45">
        <v>165000</v>
      </c>
      <c r="H542" s="44">
        <v>30</v>
      </c>
      <c r="I542" s="45">
        <v>4950000</v>
      </c>
      <c r="J542" s="44" t="s">
        <v>198</v>
      </c>
      <c r="K542" s="44" t="str">
        <f>INDEX(CLEANED_MotorPH_Products_List_2!C:C,MATCH(MotorPHSales[[#This Row],[Product]],CLEANED_MotorPH_Products_List_2!$B:$B,0))</f>
        <v>Naked bike</v>
      </c>
      <c r="L542" s="44" t="str">
        <f>INDEX(CLEANED_MotorPH_Products_List_2!E:E,MATCH(MotorPHSales[[#This Row],[Product]],CLEANED_MotorPH_Products_List_2!$B:$B,0))</f>
        <v>Single cylinder</v>
      </c>
      <c r="M542" s="44" t="str">
        <f>INDEX(CLEANED_MotorPH_Products_List_2!F:F,MATCH(MotorPHSales[[#This Row],[Product]],CLEANED_MotorPH_Products_List_2!$B:$B,0))</f>
        <v>liquid-cooled</v>
      </c>
      <c r="N542" s="44" t="str">
        <f>INDEX(CLEANED_MotorPH_Products_List_2!G:G,MATCH(MotorPHSales[[#This Row],[Product]],CLEANED_MotorPH_Products_List_2!$B:$B,0))</f>
        <v>292cc</v>
      </c>
      <c r="O542" s="44" t="str">
        <f>INDEX(CLEANED_MotorPH_Products_List_2!K:K,MATCH(MotorPHSales[[#This Row],[Product]],CLEANED_MotorPH_Products_List_2!B:B,0))</f>
        <v>Mid-range</v>
      </c>
      <c r="P542" s="45">
        <f>IF(MotorPHSales[[#This Row],[Segment]]="Entry-level",MotorPHSales[[#This Row],[UnitPrice]]/(1+30%),IF(MotorPHSales[[#This Row],[Segment]]="Mid-range",MotorPHSales[[#This Row],[UnitPrice]]/(1+35%),MotorPHSales[[#This Row],[UnitPrice]]/(1+40%)))*MotorPHSales[[#This Row],[Quantity]]</f>
        <v>3666666.6666666665</v>
      </c>
      <c r="Q542" s="44" t="str">
        <f>INDEX(CLEANED_MotorPH_Products_List_2!H:H,MATCH(MotorPHSales[[#This Row],[Product]],CLEANED_MotorPH_Products_List_2!$B:$B,0))</f>
        <v>6-speed</v>
      </c>
    </row>
    <row r="543" spans="1:17" ht="15.75" x14ac:dyDescent="0.3">
      <c r="A543" s="43">
        <v>45863</v>
      </c>
      <c r="B543" s="44" t="str">
        <f>TEXT(MotorPHSales[[#This Row],[Date]],"mmmm")</f>
        <v>July</v>
      </c>
      <c r="C543" s="44">
        <f>DAY(MotorPHSales[[#This Row],[Date]])</f>
        <v>25</v>
      </c>
      <c r="D543" s="44">
        <f>YEAR(MotorPHSales[[#This Row],[Date]])</f>
        <v>2025</v>
      </c>
      <c r="E543" s="44" t="s">
        <v>194</v>
      </c>
      <c r="F543" s="44" t="s">
        <v>51</v>
      </c>
      <c r="G543" s="45">
        <v>78900</v>
      </c>
      <c r="H543" s="44">
        <v>4</v>
      </c>
      <c r="I543" s="45">
        <v>315600</v>
      </c>
      <c r="J543" s="44" t="s">
        <v>198</v>
      </c>
      <c r="K543" s="44" t="str">
        <f>INDEX(CLEANED_MotorPH_Products_List_2!C:C,MATCH(MotorPHSales[[#This Row],[Product]],CLEANED_MotorPH_Products_List_2!$B:$B,0))</f>
        <v>Adventure</v>
      </c>
      <c r="L543" s="44" t="str">
        <f>INDEX(CLEANED_MotorPH_Products_List_2!E:E,MATCH(MotorPHSales[[#This Row],[Product]],CLEANED_MotorPH_Products_List_2!$B:$B,0))</f>
        <v>Single cylinder</v>
      </c>
      <c r="M543" s="44" t="str">
        <f>INDEX(CLEANED_MotorPH_Products_List_2!F:F,MATCH(MotorPHSales[[#This Row],[Product]],CLEANED_MotorPH_Products_List_2!$B:$B,0))</f>
        <v>oil-cooled</v>
      </c>
      <c r="N543" s="44" t="str">
        <f>INDEX(CLEANED_MotorPH_Products_List_2!G:G,MATCH(MotorPHSales[[#This Row],[Product]],CLEANED_MotorPH_Products_List_2!$B:$B,0))</f>
        <v>223cc</v>
      </c>
      <c r="O543" s="44" t="str">
        <f>INDEX(CLEANED_MotorPH_Products_List_2!K:K,MATCH(MotorPHSales[[#This Row],[Product]],CLEANED_MotorPH_Products_List_2!B:B,0))</f>
        <v>Mid-range</v>
      </c>
      <c r="P543" s="45">
        <f>IF(MotorPHSales[[#This Row],[Segment]]="Entry-level",MotorPHSales[[#This Row],[UnitPrice]]/(1+30%),IF(MotorPHSales[[#This Row],[Segment]]="Mid-range",MotorPHSales[[#This Row],[UnitPrice]]/(1+35%),MotorPHSales[[#This Row],[UnitPrice]]/(1+40%)))*MotorPHSales[[#This Row],[Quantity]]</f>
        <v>233777.77777777775</v>
      </c>
      <c r="Q543" s="44" t="str">
        <f>INDEX(CLEANED_MotorPH_Products_List_2!H:H,MATCH(MotorPHSales[[#This Row],[Product]],CLEANED_MotorPH_Products_List_2!$B:$B,0))</f>
        <v>6-speed</v>
      </c>
    </row>
    <row r="544" spans="1:17" ht="15.75" x14ac:dyDescent="0.3">
      <c r="A544" s="43">
        <v>45821</v>
      </c>
      <c r="B544" s="44" t="str">
        <f>TEXT(MotorPHSales[[#This Row],[Date]],"mmmm")</f>
        <v>June</v>
      </c>
      <c r="C544" s="44">
        <f>DAY(MotorPHSales[[#This Row],[Date]])</f>
        <v>13</v>
      </c>
      <c r="D544" s="44">
        <f>YEAR(MotorPHSales[[#This Row],[Date]])</f>
        <v>2025</v>
      </c>
      <c r="E544" s="44" t="s">
        <v>194</v>
      </c>
      <c r="F544" s="44" t="s">
        <v>90</v>
      </c>
      <c r="G544" s="45">
        <v>165000</v>
      </c>
      <c r="H544" s="44">
        <v>42</v>
      </c>
      <c r="I544" s="45">
        <v>6930000</v>
      </c>
      <c r="J544" s="44" t="s">
        <v>197</v>
      </c>
      <c r="K544" s="44" t="str">
        <f>INDEX(CLEANED_MotorPH_Products_List_2!C:C,MATCH(MotorPHSales[[#This Row],[Product]],CLEANED_MotorPH_Products_List_2!$B:$B,0))</f>
        <v>Sport</v>
      </c>
      <c r="L544" s="44" t="str">
        <f>INDEX(CLEANED_MotorPH_Products_List_2!E:E,MATCH(MotorPHSales[[#This Row],[Product]],CLEANED_MotorPH_Products_List_2!$B:$B,0))</f>
        <v>Single cylinder</v>
      </c>
      <c r="M544" s="44" t="str">
        <f>INDEX(CLEANED_MotorPH_Products_List_2!F:F,MATCH(MotorPHSales[[#This Row],[Product]],CLEANED_MotorPH_Products_List_2!$B:$B,0))</f>
        <v>liquid-cooled</v>
      </c>
      <c r="N544" s="44" t="str">
        <f>INDEX(CLEANED_MotorPH_Products_List_2!G:G,MATCH(MotorPHSales[[#This Row],[Product]],CLEANED_MotorPH_Products_List_2!$B:$B,0))</f>
        <v>292cc</v>
      </c>
      <c r="O544" s="44" t="str">
        <f>INDEX(CLEANED_MotorPH_Products_List_2!K:K,MATCH(MotorPHSales[[#This Row],[Product]],CLEANED_MotorPH_Products_List_2!B:B,0))</f>
        <v>Mid-range</v>
      </c>
      <c r="P544" s="45">
        <f>IF(MotorPHSales[[#This Row],[Segment]]="Entry-level",MotorPHSales[[#This Row],[UnitPrice]]/(1+30%),IF(MotorPHSales[[#This Row],[Segment]]="Mid-range",MotorPHSales[[#This Row],[UnitPrice]]/(1+35%),MotorPHSales[[#This Row],[UnitPrice]]/(1+40%)))*MotorPHSales[[#This Row],[Quantity]]</f>
        <v>5133333.333333333</v>
      </c>
      <c r="Q544" s="44" t="str">
        <f>INDEX(CLEANED_MotorPH_Products_List_2!H:H,MATCH(MotorPHSales[[#This Row],[Product]],CLEANED_MotorPH_Products_List_2!$B:$B,0))</f>
        <v>6-speed</v>
      </c>
    </row>
    <row r="545" spans="1:17" ht="15.75" x14ac:dyDescent="0.3">
      <c r="A545" s="43">
        <v>45831</v>
      </c>
      <c r="B545" s="44" t="str">
        <f>TEXT(MotorPHSales[[#This Row],[Date]],"mmmm")</f>
        <v>June</v>
      </c>
      <c r="C545" s="44">
        <f>DAY(MotorPHSales[[#This Row],[Date]])</f>
        <v>23</v>
      </c>
      <c r="D545" s="44">
        <f>YEAR(MotorPHSales[[#This Row],[Date]])</f>
        <v>2025</v>
      </c>
      <c r="E545" s="44" t="s">
        <v>196</v>
      </c>
      <c r="F545" s="44" t="s">
        <v>57</v>
      </c>
      <c r="G545" s="45">
        <v>125900</v>
      </c>
      <c r="H545" s="44">
        <v>6</v>
      </c>
      <c r="I545" s="45">
        <v>755400</v>
      </c>
      <c r="J545" s="44" t="s">
        <v>198</v>
      </c>
      <c r="K545" s="44" t="str">
        <f>INDEX(CLEANED_MotorPH_Products_List_2!C:C,MATCH(MotorPHSales[[#This Row],[Product]],CLEANED_MotorPH_Products_List_2!$B:$B,0))</f>
        <v>Underbone</v>
      </c>
      <c r="L545" s="44" t="str">
        <f>INDEX(CLEANED_MotorPH_Products_List_2!E:E,MATCH(MotorPHSales[[#This Row],[Product]],CLEANED_MotorPH_Products_List_2!$B:$B,0))</f>
        <v>Single cylinder</v>
      </c>
      <c r="M545" s="44" t="str">
        <f>INDEX(CLEANED_MotorPH_Products_List_2!F:F,MATCH(MotorPHSales[[#This Row],[Product]],CLEANED_MotorPH_Products_List_2!$B:$B,0))</f>
        <v>liquid-cooled</v>
      </c>
      <c r="N545" s="44" t="str">
        <f>INDEX(CLEANED_MotorPH_Products_List_2!G:G,MATCH(MotorPHSales[[#This Row],[Product]],CLEANED_MotorPH_Products_List_2!$B:$B,0))</f>
        <v>155cc</v>
      </c>
      <c r="O545" s="44" t="str">
        <f>INDEX(CLEANED_MotorPH_Products_List_2!K:K,MATCH(MotorPHSales[[#This Row],[Product]],CLEANED_MotorPH_Products_List_2!B:B,0))</f>
        <v>Entry-level</v>
      </c>
      <c r="P545" s="45">
        <f>IF(MotorPHSales[[#This Row],[Segment]]="Entry-level",MotorPHSales[[#This Row],[UnitPrice]]/(1+30%),IF(MotorPHSales[[#This Row],[Segment]]="Mid-range",MotorPHSales[[#This Row],[UnitPrice]]/(1+35%),MotorPHSales[[#This Row],[UnitPrice]]/(1+40%)))*MotorPHSales[[#This Row],[Quantity]]</f>
        <v>581076.92307692301</v>
      </c>
      <c r="Q545" s="44" t="str">
        <f>INDEX(CLEANED_MotorPH_Products_List_2!H:H,MATCH(MotorPHSales[[#This Row],[Product]],CLEANED_MotorPH_Products_List_2!$B:$B,0))</f>
        <v>6-speed</v>
      </c>
    </row>
    <row r="546" spans="1:17" ht="15.75" x14ac:dyDescent="0.3">
      <c r="A546" s="43">
        <v>45897</v>
      </c>
      <c r="B546" s="44" t="str">
        <f>TEXT(MotorPHSales[[#This Row],[Date]],"mmmm")</f>
        <v>August</v>
      </c>
      <c r="C546" s="44">
        <f>DAY(MotorPHSales[[#This Row],[Date]])</f>
        <v>28</v>
      </c>
      <c r="D546" s="44">
        <f>YEAR(MotorPHSales[[#This Row],[Date]])</f>
        <v>2025</v>
      </c>
      <c r="E546" s="44" t="s">
        <v>194</v>
      </c>
      <c r="F546" s="44" t="s">
        <v>12</v>
      </c>
      <c r="G546" s="45">
        <v>119900</v>
      </c>
      <c r="H546" s="44">
        <v>27</v>
      </c>
      <c r="I546" s="45">
        <v>3237300</v>
      </c>
      <c r="J546" s="44" t="s">
        <v>197</v>
      </c>
      <c r="K546" s="44" t="str">
        <f>INDEX(CLEANED_MotorPH_Products_List_2!C:C,MATCH(MotorPHSales[[#This Row],[Product]],CLEANED_MotorPH_Products_List_2!$B:$B,0))</f>
        <v>Underbone</v>
      </c>
      <c r="L546" s="44" t="str">
        <f>INDEX(CLEANED_MotorPH_Products_List_2!E:E,MATCH(MotorPHSales[[#This Row],[Product]],CLEANED_MotorPH_Products_List_2!$B:$B,0))</f>
        <v>Single cylinder</v>
      </c>
      <c r="M546" s="44" t="str">
        <f>INDEX(CLEANED_MotorPH_Products_List_2!F:F,MATCH(MotorPHSales[[#This Row],[Product]],CLEANED_MotorPH_Products_List_2!$B:$B,0))</f>
        <v>liquid-cooled</v>
      </c>
      <c r="N546" s="44" t="str">
        <f>INDEX(CLEANED_MotorPH_Products_List_2!G:G,MATCH(MotorPHSales[[#This Row],[Product]],CLEANED_MotorPH_Products_List_2!$B:$B,0))</f>
        <v>150cc</v>
      </c>
      <c r="O546" s="44" t="str">
        <f>INDEX(CLEANED_MotorPH_Products_List_2!K:K,MATCH(MotorPHSales[[#This Row],[Product]],CLEANED_MotorPH_Products_List_2!B:B,0))</f>
        <v>Entry-level</v>
      </c>
      <c r="P546" s="45">
        <f>IF(MotorPHSales[[#This Row],[Segment]]="Entry-level",MotorPHSales[[#This Row],[UnitPrice]]/(1+30%),IF(MotorPHSales[[#This Row],[Segment]]="Mid-range",MotorPHSales[[#This Row],[UnitPrice]]/(1+35%),MotorPHSales[[#This Row],[UnitPrice]]/(1+40%)))*MotorPHSales[[#This Row],[Quantity]]</f>
        <v>2490230.7692307695</v>
      </c>
      <c r="Q546" s="44" t="str">
        <f>INDEX(CLEANED_MotorPH_Products_List_2!H:H,MATCH(MotorPHSales[[#This Row],[Product]],CLEANED_MotorPH_Products_List_2!$B:$B,0))</f>
        <v>6-speed</v>
      </c>
    </row>
    <row r="547" spans="1:17" ht="15.75" x14ac:dyDescent="0.3">
      <c r="A547" s="43">
        <v>45838</v>
      </c>
      <c r="B547" s="44" t="str">
        <f>TEXT(MotorPHSales[[#This Row],[Date]],"mmmm")</f>
        <v>June</v>
      </c>
      <c r="C547" s="44">
        <f>DAY(MotorPHSales[[#This Row],[Date]])</f>
        <v>30</v>
      </c>
      <c r="D547" s="44">
        <f>YEAR(MotorPHSales[[#This Row],[Date]])</f>
        <v>2025</v>
      </c>
      <c r="E547" s="44" t="s">
        <v>194</v>
      </c>
      <c r="F547" s="44" t="s">
        <v>51</v>
      </c>
      <c r="G547" s="45">
        <v>78900</v>
      </c>
      <c r="H547" s="44">
        <v>20</v>
      </c>
      <c r="I547" s="45">
        <v>1578000</v>
      </c>
      <c r="J547" s="44" t="s">
        <v>197</v>
      </c>
      <c r="K547" s="44" t="str">
        <f>INDEX(CLEANED_MotorPH_Products_List_2!C:C,MATCH(MotorPHSales[[#This Row],[Product]],CLEANED_MotorPH_Products_List_2!$B:$B,0))</f>
        <v>Adventure</v>
      </c>
      <c r="L547" s="44" t="str">
        <f>INDEX(CLEANED_MotorPH_Products_List_2!E:E,MATCH(MotorPHSales[[#This Row],[Product]],CLEANED_MotorPH_Products_List_2!$B:$B,0))</f>
        <v>Single cylinder</v>
      </c>
      <c r="M547" s="44" t="str">
        <f>INDEX(CLEANED_MotorPH_Products_List_2!F:F,MATCH(MotorPHSales[[#This Row],[Product]],CLEANED_MotorPH_Products_List_2!$B:$B,0))</f>
        <v>oil-cooled</v>
      </c>
      <c r="N547" s="44" t="str">
        <f>INDEX(CLEANED_MotorPH_Products_List_2!G:G,MATCH(MotorPHSales[[#This Row],[Product]],CLEANED_MotorPH_Products_List_2!$B:$B,0))</f>
        <v>223cc</v>
      </c>
      <c r="O547" s="44" t="str">
        <f>INDEX(CLEANED_MotorPH_Products_List_2!K:K,MATCH(MotorPHSales[[#This Row],[Product]],CLEANED_MotorPH_Products_List_2!B:B,0))</f>
        <v>Mid-range</v>
      </c>
      <c r="P547" s="45">
        <f>IF(MotorPHSales[[#This Row],[Segment]]="Entry-level",MotorPHSales[[#This Row],[UnitPrice]]/(1+30%),IF(MotorPHSales[[#This Row],[Segment]]="Mid-range",MotorPHSales[[#This Row],[UnitPrice]]/(1+35%),MotorPHSales[[#This Row],[UnitPrice]]/(1+40%)))*MotorPHSales[[#This Row],[Quantity]]</f>
        <v>1168888.8888888888</v>
      </c>
      <c r="Q547" s="44" t="str">
        <f>INDEX(CLEANED_MotorPH_Products_List_2!H:H,MATCH(MotorPHSales[[#This Row],[Product]],CLEANED_MotorPH_Products_List_2!$B:$B,0))</f>
        <v>6-speed</v>
      </c>
    </row>
    <row r="548" spans="1:17" ht="15.75" x14ac:dyDescent="0.3">
      <c r="A548" s="43">
        <v>45825</v>
      </c>
      <c r="B548" s="44" t="str">
        <f>TEXT(MotorPHSales[[#This Row],[Date]],"mmmm")</f>
        <v>June</v>
      </c>
      <c r="C548" s="44">
        <f>DAY(MotorPHSales[[#This Row],[Date]])</f>
        <v>17</v>
      </c>
      <c r="D548" s="44">
        <f>YEAR(MotorPHSales[[#This Row],[Date]])</f>
        <v>2025</v>
      </c>
      <c r="E548" s="44" t="s">
        <v>196</v>
      </c>
      <c r="F548" s="44" t="s">
        <v>8</v>
      </c>
      <c r="G548" s="45">
        <v>178000</v>
      </c>
      <c r="H548" s="44">
        <v>39</v>
      </c>
      <c r="I548" s="45">
        <v>6942000</v>
      </c>
      <c r="J548" s="44" t="s">
        <v>198</v>
      </c>
      <c r="K548" s="44" t="str">
        <f>INDEX(CLEANED_MotorPH_Products_List_2!C:C,MATCH(MotorPHSales[[#This Row],[Product]],CLEANED_MotorPH_Products_List_2!$B:$B,0))</f>
        <v>Naked bike</v>
      </c>
      <c r="L548" s="44" t="str">
        <f>INDEX(CLEANED_MotorPH_Products_List_2!E:E,MATCH(MotorPHSales[[#This Row],[Product]],CLEANED_MotorPH_Products_List_2!$B:$B,0))</f>
        <v>Single cylinder</v>
      </c>
      <c r="M548" s="44" t="str">
        <f>INDEX(CLEANED_MotorPH_Products_List_2!F:F,MATCH(MotorPHSales[[#This Row],[Product]],CLEANED_MotorPH_Products_List_2!$B:$B,0))</f>
        <v>liquid-cooled</v>
      </c>
      <c r="N548" s="44" t="str">
        <f>INDEX(CLEANED_MotorPH_Products_List_2!G:G,MATCH(MotorPHSales[[#This Row],[Product]],CLEANED_MotorPH_Products_List_2!$B:$B,0))</f>
        <v>155cc</v>
      </c>
      <c r="O548" s="44" t="str">
        <f>INDEX(CLEANED_MotorPH_Products_List_2!K:K,MATCH(MotorPHSales[[#This Row],[Product]],CLEANED_MotorPH_Products_List_2!B:B,0))</f>
        <v>Entry-level</v>
      </c>
      <c r="P548" s="45">
        <f>IF(MotorPHSales[[#This Row],[Segment]]="Entry-level",MotorPHSales[[#This Row],[UnitPrice]]/(1+30%),IF(MotorPHSales[[#This Row],[Segment]]="Mid-range",MotorPHSales[[#This Row],[UnitPrice]]/(1+35%),MotorPHSales[[#This Row],[UnitPrice]]/(1+40%)))*MotorPHSales[[#This Row],[Quantity]]</f>
        <v>5339999.9999999991</v>
      </c>
      <c r="Q548" s="44" t="str">
        <f>INDEX(CLEANED_MotorPH_Products_List_2!H:H,MATCH(MotorPHSales[[#This Row],[Product]],CLEANED_MotorPH_Products_List_2!$B:$B,0))</f>
        <v>6-speed</v>
      </c>
    </row>
    <row r="549" spans="1:17" ht="15.75" x14ac:dyDescent="0.3">
      <c r="A549" s="43">
        <v>45870</v>
      </c>
      <c r="B549" s="44" t="str">
        <f>TEXT(MotorPHSales[[#This Row],[Date]],"mmmm")</f>
        <v>August</v>
      </c>
      <c r="C549" s="44">
        <f>DAY(MotorPHSales[[#This Row],[Date]])</f>
        <v>1</v>
      </c>
      <c r="D549" s="44">
        <f>YEAR(MotorPHSales[[#This Row],[Date]])</f>
        <v>2025</v>
      </c>
      <c r="E549" s="44" t="s">
        <v>194</v>
      </c>
      <c r="F549" s="44" t="s">
        <v>99</v>
      </c>
      <c r="G549" s="45">
        <v>689000</v>
      </c>
      <c r="H549" s="44">
        <v>45</v>
      </c>
      <c r="I549" s="45">
        <v>31005000</v>
      </c>
      <c r="J549" s="44" t="s">
        <v>197</v>
      </c>
      <c r="K549" s="44" t="str">
        <f>INDEX(CLEANED_MotorPH_Products_List_2!C:C,MATCH(MotorPHSales[[#This Row],[Product]],CLEANED_MotorPH_Products_List_2!$B:$B,0))</f>
        <v>Heritage</v>
      </c>
      <c r="L549" s="44" t="str">
        <f>INDEX(CLEANED_MotorPH_Products_List_2!E:E,MATCH(MotorPHSales[[#This Row],[Product]],CLEANED_MotorPH_Products_List_2!$B:$B,0))</f>
        <v>V-twin</v>
      </c>
      <c r="M549" s="44" t="str">
        <f>INDEX(CLEANED_MotorPH_Products_List_2!F:F,MATCH(MotorPHSales[[#This Row],[Product]],CLEANED_MotorPH_Products_List_2!$B:$B,0))</f>
        <v>air-cooled</v>
      </c>
      <c r="N549" s="44" t="str">
        <f>INDEX(CLEANED_MotorPH_Products_List_2!G:G,MATCH(MotorPHSales[[#This Row],[Product]],CLEANED_MotorPH_Products_List_2!$B:$B,0))</f>
        <v>853cc</v>
      </c>
      <c r="O549" s="44" t="str">
        <f>INDEX(CLEANED_MotorPH_Products_List_2!K:K,MATCH(MotorPHSales[[#This Row],[Product]],CLEANED_MotorPH_Products_List_2!B:B,0))</f>
        <v>Premium</v>
      </c>
      <c r="P549" s="45">
        <f>IF(MotorPHSales[[#This Row],[Segment]]="Entry-level",MotorPHSales[[#This Row],[UnitPrice]]/(1+30%),IF(MotorPHSales[[#This Row],[Segment]]="Mid-range",MotorPHSales[[#This Row],[UnitPrice]]/(1+35%),MotorPHSales[[#This Row],[UnitPrice]]/(1+40%)))*MotorPHSales[[#This Row],[Quantity]]</f>
        <v>22146428.571428571</v>
      </c>
      <c r="Q549" s="44" t="str">
        <f>INDEX(CLEANED_MotorPH_Products_List_2!H:H,MATCH(MotorPHSales[[#This Row],[Product]],CLEANED_MotorPH_Products_List_2!$B:$B,0))</f>
        <v>6-speed</v>
      </c>
    </row>
    <row r="550" spans="1:17" ht="15.75" x14ac:dyDescent="0.3">
      <c r="A550" s="43">
        <v>45892</v>
      </c>
      <c r="B550" s="44" t="str">
        <f>TEXT(MotorPHSales[[#This Row],[Date]],"mmmm")</f>
        <v>August</v>
      </c>
      <c r="C550" s="44">
        <f>DAY(MotorPHSales[[#This Row],[Date]])</f>
        <v>23</v>
      </c>
      <c r="D550" s="44">
        <f>YEAR(MotorPHSales[[#This Row],[Date]])</f>
        <v>2025</v>
      </c>
      <c r="E550" s="44" t="s">
        <v>196</v>
      </c>
      <c r="F550" s="44" t="s">
        <v>64</v>
      </c>
      <c r="G550" s="45">
        <v>128000</v>
      </c>
      <c r="H550" s="44">
        <v>31</v>
      </c>
      <c r="I550" s="45">
        <v>3968000</v>
      </c>
      <c r="J550" s="44" t="s">
        <v>197</v>
      </c>
      <c r="K550" s="44" t="str">
        <f>INDEX(CLEANED_MotorPH_Products_List_2!C:C,MATCH(MotorPHSales[[#This Row],[Product]],CLEANED_MotorPH_Products_List_2!$B:$B,0))</f>
        <v>Scooter</v>
      </c>
      <c r="L550" s="44" t="str">
        <f>INDEX(CLEANED_MotorPH_Products_List_2!E:E,MATCH(MotorPHSales[[#This Row],[Product]],CLEANED_MotorPH_Products_List_2!$B:$B,0))</f>
        <v>Single cylinder</v>
      </c>
      <c r="M550" s="44" t="str">
        <f>INDEX(CLEANED_MotorPH_Products_List_2!F:F,MATCH(MotorPHSales[[#This Row],[Product]],CLEANED_MotorPH_Products_List_2!$B:$B,0))</f>
        <v>liquid-cooled</v>
      </c>
      <c r="N550" s="44" t="str">
        <f>INDEX(CLEANED_MotorPH_Products_List_2!G:G,MATCH(MotorPHSales[[#This Row],[Product]],CLEANED_MotorPH_Products_List_2!$B:$B,0))</f>
        <v>149cc</v>
      </c>
      <c r="O550" s="44" t="str">
        <f>INDEX(CLEANED_MotorPH_Products_List_2!K:K,MATCH(MotorPHSales[[#This Row],[Product]],CLEANED_MotorPH_Products_List_2!B:B,0))</f>
        <v>Entry-level</v>
      </c>
      <c r="P550" s="45">
        <f>IF(MotorPHSales[[#This Row],[Segment]]="Entry-level",MotorPHSales[[#This Row],[UnitPrice]]/(1+30%),IF(MotorPHSales[[#This Row],[Segment]]="Mid-range",MotorPHSales[[#This Row],[UnitPrice]]/(1+35%),MotorPHSales[[#This Row],[UnitPrice]]/(1+40%)))*MotorPHSales[[#This Row],[Quantity]]</f>
        <v>3052307.692307692</v>
      </c>
      <c r="Q550" s="44" t="str">
        <f>INDEX(CLEANED_MotorPH_Products_List_2!H:H,MATCH(MotorPHSales[[#This Row],[Product]],CLEANED_MotorPH_Products_List_2!$B:$B,0))</f>
        <v>CVT</v>
      </c>
    </row>
    <row r="551" spans="1:17" ht="15.75" x14ac:dyDescent="0.3">
      <c r="A551" s="43">
        <v>45897</v>
      </c>
      <c r="B551" s="44" t="str">
        <f>TEXT(MotorPHSales[[#This Row],[Date]],"mmmm")</f>
        <v>August</v>
      </c>
      <c r="C551" s="44">
        <f>DAY(MotorPHSales[[#This Row],[Date]])</f>
        <v>28</v>
      </c>
      <c r="D551" s="44">
        <f>YEAR(MotorPHSales[[#This Row],[Date]])</f>
        <v>2025</v>
      </c>
      <c r="E551" s="44" t="s">
        <v>194</v>
      </c>
      <c r="F551" s="44" t="s">
        <v>51</v>
      </c>
      <c r="G551" s="45">
        <v>78900</v>
      </c>
      <c r="H551" s="44">
        <v>48</v>
      </c>
      <c r="I551" s="45">
        <v>3787200</v>
      </c>
      <c r="J551" s="44" t="s">
        <v>198</v>
      </c>
      <c r="K551" s="44" t="str">
        <f>INDEX(CLEANED_MotorPH_Products_List_2!C:C,MATCH(MotorPHSales[[#This Row],[Product]],CLEANED_MotorPH_Products_List_2!$B:$B,0))</f>
        <v>Adventure</v>
      </c>
      <c r="L551" s="44" t="str">
        <f>INDEX(CLEANED_MotorPH_Products_List_2!E:E,MATCH(MotorPHSales[[#This Row],[Product]],CLEANED_MotorPH_Products_List_2!$B:$B,0))</f>
        <v>Single cylinder</v>
      </c>
      <c r="M551" s="44" t="str">
        <f>INDEX(CLEANED_MotorPH_Products_List_2!F:F,MATCH(MotorPHSales[[#This Row],[Product]],CLEANED_MotorPH_Products_List_2!$B:$B,0))</f>
        <v>oil-cooled</v>
      </c>
      <c r="N551" s="44" t="str">
        <f>INDEX(CLEANED_MotorPH_Products_List_2!G:G,MATCH(MotorPHSales[[#This Row],[Product]],CLEANED_MotorPH_Products_List_2!$B:$B,0))</f>
        <v>223cc</v>
      </c>
      <c r="O551" s="44" t="str">
        <f>INDEX(CLEANED_MotorPH_Products_List_2!K:K,MATCH(MotorPHSales[[#This Row],[Product]],CLEANED_MotorPH_Products_List_2!B:B,0))</f>
        <v>Mid-range</v>
      </c>
      <c r="P551" s="45">
        <f>IF(MotorPHSales[[#This Row],[Segment]]="Entry-level",MotorPHSales[[#This Row],[UnitPrice]]/(1+30%),IF(MotorPHSales[[#This Row],[Segment]]="Mid-range",MotorPHSales[[#This Row],[UnitPrice]]/(1+35%),MotorPHSales[[#This Row],[UnitPrice]]/(1+40%)))*MotorPHSales[[#This Row],[Quantity]]</f>
        <v>2805333.333333333</v>
      </c>
      <c r="Q551" s="44" t="str">
        <f>INDEX(CLEANED_MotorPH_Products_List_2!H:H,MATCH(MotorPHSales[[#This Row],[Product]],CLEANED_MotorPH_Products_List_2!$B:$B,0))</f>
        <v>6-speed</v>
      </c>
    </row>
    <row r="552" spans="1:17" ht="15.75" x14ac:dyDescent="0.3">
      <c r="A552" s="43">
        <v>45894</v>
      </c>
      <c r="B552" s="44" t="str">
        <f>TEXT(MotorPHSales[[#This Row],[Date]],"mmmm")</f>
        <v>August</v>
      </c>
      <c r="C552" s="44">
        <f>DAY(MotorPHSales[[#This Row],[Date]])</f>
        <v>25</v>
      </c>
      <c r="D552" s="44">
        <f>YEAR(MotorPHSales[[#This Row],[Date]])</f>
        <v>2025</v>
      </c>
      <c r="E552" s="44" t="s">
        <v>194</v>
      </c>
      <c r="F552" s="44" t="s">
        <v>10</v>
      </c>
      <c r="G552" s="45">
        <v>340000</v>
      </c>
      <c r="H552" s="44">
        <v>13</v>
      </c>
      <c r="I552" s="45">
        <v>4420000</v>
      </c>
      <c r="J552" s="44" t="s">
        <v>197</v>
      </c>
      <c r="K552" s="44" t="str">
        <f>INDEX(CLEANED_MotorPH_Products_List_2!C:C,MATCH(MotorPHSales[[#This Row],[Product]],CLEANED_MotorPH_Products_List_2!$B:$B,0))</f>
        <v>Sport</v>
      </c>
      <c r="L552" s="44" t="str">
        <f>INDEX(CLEANED_MotorPH_Products_List_2!E:E,MATCH(MotorPHSales[[#This Row],[Product]],CLEANED_MotorPH_Products_List_2!$B:$B,0))</f>
        <v>Parallel-twin</v>
      </c>
      <c r="M552" s="44" t="str">
        <f>INDEX(CLEANED_MotorPH_Products_List_2!F:F,MATCH(MotorPHSales[[#This Row],[Product]],CLEANED_MotorPH_Products_List_2!$B:$B,0))</f>
        <v>liquid-cooled</v>
      </c>
      <c r="N552" s="44" t="str">
        <f>INDEX(CLEANED_MotorPH_Products_List_2!G:G,MATCH(MotorPHSales[[#This Row],[Product]],CLEANED_MotorPH_Products_List_2!$B:$B,0))</f>
        <v>399cc</v>
      </c>
      <c r="O552" s="44" t="str">
        <f>INDEX(CLEANED_MotorPH_Products_List_2!K:K,MATCH(MotorPHSales[[#This Row],[Product]],CLEANED_MotorPH_Products_List_2!B:B,0))</f>
        <v>Mid-range</v>
      </c>
      <c r="P552" s="45">
        <f>IF(MotorPHSales[[#This Row],[Segment]]="Entry-level",MotorPHSales[[#This Row],[UnitPrice]]/(1+30%),IF(MotorPHSales[[#This Row],[Segment]]="Mid-range",MotorPHSales[[#This Row],[UnitPrice]]/(1+35%),MotorPHSales[[#This Row],[UnitPrice]]/(1+40%)))*MotorPHSales[[#This Row],[Quantity]]</f>
        <v>3274074.0740740737</v>
      </c>
      <c r="Q552" s="44" t="str">
        <f>INDEX(CLEANED_MotorPH_Products_List_2!H:H,MATCH(MotorPHSales[[#This Row],[Product]],CLEANED_MotorPH_Products_List_2!$B:$B,0))</f>
        <v>6-speed</v>
      </c>
    </row>
    <row r="553" spans="1:17" ht="15.75" x14ac:dyDescent="0.3">
      <c r="A553" s="43">
        <v>45821</v>
      </c>
      <c r="B553" s="44" t="str">
        <f>TEXT(MotorPHSales[[#This Row],[Date]],"mmmm")</f>
        <v>June</v>
      </c>
      <c r="C553" s="44">
        <f>DAY(MotorPHSales[[#This Row],[Date]])</f>
        <v>13</v>
      </c>
      <c r="D553" s="44">
        <f>YEAR(MotorPHSales[[#This Row],[Date]])</f>
        <v>2025</v>
      </c>
      <c r="E553" s="44" t="s">
        <v>196</v>
      </c>
      <c r="F553" s="44" t="s">
        <v>99</v>
      </c>
      <c r="G553" s="45">
        <v>689000</v>
      </c>
      <c r="H553" s="44">
        <v>5</v>
      </c>
      <c r="I553" s="45">
        <v>3445000</v>
      </c>
      <c r="J553" s="44" t="s">
        <v>197</v>
      </c>
      <c r="K553" s="44" t="str">
        <f>INDEX(CLEANED_MotorPH_Products_List_2!C:C,MATCH(MotorPHSales[[#This Row],[Product]],CLEANED_MotorPH_Products_List_2!$B:$B,0))</f>
        <v>Heritage</v>
      </c>
      <c r="L553" s="44" t="str">
        <f>INDEX(CLEANED_MotorPH_Products_List_2!E:E,MATCH(MotorPHSales[[#This Row],[Product]],CLEANED_MotorPH_Products_List_2!$B:$B,0))</f>
        <v>V-twin</v>
      </c>
      <c r="M553" s="44" t="str">
        <f>INDEX(CLEANED_MotorPH_Products_List_2!F:F,MATCH(MotorPHSales[[#This Row],[Product]],CLEANED_MotorPH_Products_List_2!$B:$B,0))</f>
        <v>air-cooled</v>
      </c>
      <c r="N553" s="44" t="str">
        <f>INDEX(CLEANED_MotorPH_Products_List_2!G:G,MATCH(MotorPHSales[[#This Row],[Product]],CLEANED_MotorPH_Products_List_2!$B:$B,0))</f>
        <v>853cc</v>
      </c>
      <c r="O553" s="44" t="str">
        <f>INDEX(CLEANED_MotorPH_Products_List_2!K:K,MATCH(MotorPHSales[[#This Row],[Product]],CLEANED_MotorPH_Products_List_2!B:B,0))</f>
        <v>Premium</v>
      </c>
      <c r="P553" s="45">
        <f>IF(MotorPHSales[[#This Row],[Segment]]="Entry-level",MotorPHSales[[#This Row],[UnitPrice]]/(1+30%),IF(MotorPHSales[[#This Row],[Segment]]="Mid-range",MotorPHSales[[#This Row],[UnitPrice]]/(1+35%),MotorPHSales[[#This Row],[UnitPrice]]/(1+40%)))*MotorPHSales[[#This Row],[Quantity]]</f>
        <v>2460714.2857142859</v>
      </c>
      <c r="Q553" s="44" t="str">
        <f>INDEX(CLEANED_MotorPH_Products_List_2!H:H,MATCH(MotorPHSales[[#This Row],[Product]],CLEANED_MotorPH_Products_List_2!$B:$B,0))</f>
        <v>6-speed</v>
      </c>
    </row>
    <row r="554" spans="1:17" ht="15.75" x14ac:dyDescent="0.3">
      <c r="A554" s="43">
        <v>45827</v>
      </c>
      <c r="B554" s="44" t="str">
        <f>TEXT(MotorPHSales[[#This Row],[Date]],"mmmm")</f>
        <v>June</v>
      </c>
      <c r="C554" s="44">
        <f>DAY(MotorPHSales[[#This Row],[Date]])</f>
        <v>19</v>
      </c>
      <c r="D554" s="44">
        <f>YEAR(MotorPHSales[[#This Row],[Date]])</f>
        <v>2025</v>
      </c>
      <c r="E554" s="44" t="s">
        <v>196</v>
      </c>
      <c r="F554" s="44" t="s">
        <v>14</v>
      </c>
      <c r="G554" s="45">
        <v>250000</v>
      </c>
      <c r="H554" s="44">
        <v>6</v>
      </c>
      <c r="I554" s="45">
        <v>1500000</v>
      </c>
      <c r="J554" s="44" t="s">
        <v>195</v>
      </c>
      <c r="K554" s="44" t="str">
        <f>INDEX(CLEANED_MotorPH_Products_List_2!C:C,MATCH(MotorPHSales[[#This Row],[Product]],CLEANED_MotorPH_Products_List_2!$B:$B,0))</f>
        <v>Classic</v>
      </c>
      <c r="L554" s="44" t="str">
        <f>INDEX(CLEANED_MotorPH_Products_List_2!E:E,MATCH(MotorPHSales[[#This Row],[Product]],CLEANED_MotorPH_Products_List_2!$B:$B,0))</f>
        <v>Single cylinder</v>
      </c>
      <c r="M554" s="44" t="str">
        <f>INDEX(CLEANED_MotorPH_Products_List_2!F:F,MATCH(MotorPHSales[[#This Row],[Product]],CLEANED_MotorPH_Products_List_2!$B:$B,0))</f>
        <v>air-cooled</v>
      </c>
      <c r="N554" s="44" t="str">
        <f>INDEX(CLEANED_MotorPH_Products_List_2!G:G,MATCH(MotorPHSales[[#This Row],[Product]],CLEANED_MotorPH_Products_List_2!$B:$B,0))</f>
        <v>349cc</v>
      </c>
      <c r="O554" s="44" t="str">
        <f>INDEX(CLEANED_MotorPH_Products_List_2!K:K,MATCH(MotorPHSales[[#This Row],[Product]],CLEANED_MotorPH_Products_List_2!B:B,0))</f>
        <v>Mid-range</v>
      </c>
      <c r="P554" s="45">
        <f>IF(MotorPHSales[[#This Row],[Segment]]="Entry-level",MotorPHSales[[#This Row],[UnitPrice]]/(1+30%),IF(MotorPHSales[[#This Row],[Segment]]="Mid-range",MotorPHSales[[#This Row],[UnitPrice]]/(1+35%),MotorPHSales[[#This Row],[UnitPrice]]/(1+40%)))*MotorPHSales[[#This Row],[Quantity]]</f>
        <v>1111111.111111111</v>
      </c>
      <c r="Q554" s="44" t="str">
        <f>INDEX(CLEANED_MotorPH_Products_List_2!H:H,MATCH(MotorPHSales[[#This Row],[Product]],CLEANED_MotorPH_Products_List_2!$B:$B,0))</f>
        <v>5-speed</v>
      </c>
    </row>
    <row r="555" spans="1:17" ht="15.75" x14ac:dyDescent="0.3">
      <c r="A555" s="43">
        <v>45857</v>
      </c>
      <c r="B555" s="44" t="str">
        <f>TEXT(MotorPHSales[[#This Row],[Date]],"mmmm")</f>
        <v>July</v>
      </c>
      <c r="C555" s="44">
        <f>DAY(MotorPHSales[[#This Row],[Date]])</f>
        <v>19</v>
      </c>
      <c r="D555" s="44">
        <f>YEAR(MotorPHSales[[#This Row],[Date]])</f>
        <v>2025</v>
      </c>
      <c r="E555" s="44" t="s">
        <v>194</v>
      </c>
      <c r="F555" s="44" t="s">
        <v>63</v>
      </c>
      <c r="G555" s="45">
        <v>48000</v>
      </c>
      <c r="H555" s="44">
        <v>10</v>
      </c>
      <c r="I555" s="45">
        <v>480000</v>
      </c>
      <c r="J555" s="44" t="s">
        <v>198</v>
      </c>
      <c r="K555" s="44" t="str">
        <f>INDEX(CLEANED_MotorPH_Products_List_2!C:C,MATCH(MotorPHSales[[#This Row],[Product]],CLEANED_MotorPH_Products_List_2!$B:$B,0))</f>
        <v>Commuter</v>
      </c>
      <c r="L555" s="44" t="str">
        <f>INDEX(CLEANED_MotorPH_Products_List_2!E:E,MATCH(MotorPHSales[[#This Row],[Product]],CLEANED_MotorPH_Products_List_2!$B:$B,0))</f>
        <v>Single cylinder</v>
      </c>
      <c r="M555" s="44" t="str">
        <f>INDEX(CLEANED_MotorPH_Products_List_2!F:F,MATCH(MotorPHSales[[#This Row],[Product]],CLEANED_MotorPH_Products_List_2!$B:$B,0))</f>
        <v>air-cooled</v>
      </c>
      <c r="N555" s="44" t="str">
        <f>INDEX(CLEANED_MotorPH_Products_List_2!G:G,MATCH(MotorPHSales[[#This Row],[Product]],CLEANED_MotorPH_Products_List_2!$B:$B,0))</f>
        <v>125cc</v>
      </c>
      <c r="O555" s="44" t="str">
        <f>INDEX(CLEANED_MotorPH_Products_List_2!K:K,MATCH(MotorPHSales[[#This Row],[Product]],CLEANED_MotorPH_Products_List_2!B:B,0))</f>
        <v>Entry-level</v>
      </c>
      <c r="P555" s="45">
        <f>IF(MotorPHSales[[#This Row],[Segment]]="Entry-level",MotorPHSales[[#This Row],[UnitPrice]]/(1+30%),IF(MotorPHSales[[#This Row],[Segment]]="Mid-range",MotorPHSales[[#This Row],[UnitPrice]]/(1+35%),MotorPHSales[[#This Row],[UnitPrice]]/(1+40%)))*MotorPHSales[[#This Row],[Quantity]]</f>
        <v>369230.76923076925</v>
      </c>
      <c r="Q555" s="44" t="str">
        <f>INDEX(CLEANED_MotorPH_Products_List_2!H:H,MATCH(MotorPHSales[[#This Row],[Product]],CLEANED_MotorPH_Products_List_2!$B:$B,0))</f>
        <v>4-speed</v>
      </c>
    </row>
    <row r="556" spans="1:17" ht="15.75" x14ac:dyDescent="0.3">
      <c r="A556" s="43">
        <v>45820</v>
      </c>
      <c r="B556" s="44" t="str">
        <f>TEXT(MotorPHSales[[#This Row],[Date]],"mmmm")</f>
        <v>June</v>
      </c>
      <c r="C556" s="44">
        <f>DAY(MotorPHSales[[#This Row],[Date]])</f>
        <v>12</v>
      </c>
      <c r="D556" s="44">
        <f>YEAR(MotorPHSales[[#This Row],[Date]])</f>
        <v>2025</v>
      </c>
      <c r="E556" s="44" t="s">
        <v>194</v>
      </c>
      <c r="F556" s="44" t="s">
        <v>61</v>
      </c>
      <c r="G556" s="45">
        <v>284900</v>
      </c>
      <c r="H556" s="44">
        <v>32</v>
      </c>
      <c r="I556" s="45">
        <v>9116800</v>
      </c>
      <c r="J556" s="44" t="s">
        <v>195</v>
      </c>
      <c r="K556" s="44" t="str">
        <f>INDEX(CLEANED_MotorPH_Products_List_2!C:C,MATCH(MotorPHSales[[#This Row],[Product]],CLEANED_MotorPH_Products_List_2!$B:$B,0))</f>
        <v>Dual-sport</v>
      </c>
      <c r="L556" s="44" t="str">
        <f>INDEX(CLEANED_MotorPH_Products_List_2!E:E,MATCH(MotorPHSales[[#This Row],[Product]],CLEANED_MotorPH_Products_List_2!$B:$B,0))</f>
        <v>Single cylinder</v>
      </c>
      <c r="M556" s="44" t="str">
        <f>INDEX(CLEANED_MotorPH_Products_List_2!F:F,MATCH(MotorPHSales[[#This Row],[Product]],CLEANED_MotorPH_Products_List_2!$B:$B,0))</f>
        <v>liquid-cooled</v>
      </c>
      <c r="N556" s="44" t="str">
        <f>INDEX(CLEANED_MotorPH_Products_List_2!G:G,MATCH(MotorPHSales[[#This Row],[Product]],CLEANED_MotorPH_Products_List_2!$B:$B,0))</f>
        <v>286cc</v>
      </c>
      <c r="O556" s="44" t="str">
        <f>INDEX(CLEANED_MotorPH_Products_List_2!K:K,MATCH(MotorPHSales[[#This Row],[Product]],CLEANED_MotorPH_Products_List_2!B:B,0))</f>
        <v>Mid-range</v>
      </c>
      <c r="P556" s="45">
        <f>IF(MotorPHSales[[#This Row],[Segment]]="Entry-level",MotorPHSales[[#This Row],[UnitPrice]]/(1+30%),IF(MotorPHSales[[#This Row],[Segment]]="Mid-range",MotorPHSales[[#This Row],[UnitPrice]]/(1+35%),MotorPHSales[[#This Row],[UnitPrice]]/(1+40%)))*MotorPHSales[[#This Row],[Quantity]]</f>
        <v>6753185.1851851847</v>
      </c>
      <c r="Q556" s="44" t="str">
        <f>INDEX(CLEANED_MotorPH_Products_List_2!H:H,MATCH(MotorPHSales[[#This Row],[Product]],CLEANED_MotorPH_Products_List_2!$B:$B,0))</f>
        <v>6-speed</v>
      </c>
    </row>
    <row r="557" spans="1:17" ht="15.75" x14ac:dyDescent="0.3">
      <c r="A557" s="43">
        <v>45869</v>
      </c>
      <c r="B557" s="44" t="str">
        <f>TEXT(MotorPHSales[[#This Row],[Date]],"mmmm")</f>
        <v>July</v>
      </c>
      <c r="C557" s="44">
        <f>DAY(MotorPHSales[[#This Row],[Date]])</f>
        <v>31</v>
      </c>
      <c r="D557" s="44">
        <f>YEAR(MotorPHSales[[#This Row],[Date]])</f>
        <v>2025</v>
      </c>
      <c r="E557" s="44" t="s">
        <v>196</v>
      </c>
      <c r="F557" s="44" t="s">
        <v>32</v>
      </c>
      <c r="G557" s="45">
        <v>198000</v>
      </c>
      <c r="H557" s="44">
        <v>5</v>
      </c>
      <c r="I557" s="45">
        <v>990000</v>
      </c>
      <c r="J557" s="44" t="s">
        <v>198</v>
      </c>
      <c r="K557" s="44" t="str">
        <f>INDEX(CLEANED_MotorPH_Products_List_2!C:C,MATCH(MotorPHSales[[#This Row],[Product]],CLEANED_MotorPH_Products_List_2!$B:$B,0))</f>
        <v>Sport</v>
      </c>
      <c r="L557" s="44" t="str">
        <f>INDEX(CLEANED_MotorPH_Products_List_2!E:E,MATCH(MotorPHSales[[#This Row],[Product]],CLEANED_MotorPH_Products_List_2!$B:$B,0))</f>
        <v>Single cylinder</v>
      </c>
      <c r="M557" s="44" t="str">
        <f>INDEX(CLEANED_MotorPH_Products_List_2!F:F,MATCH(MotorPHSales[[#This Row],[Product]],CLEANED_MotorPH_Products_List_2!$B:$B,0))</f>
        <v>liquid-cooled</v>
      </c>
      <c r="N557" s="44" t="str">
        <f>INDEX(CLEANED_MotorPH_Products_List_2!G:G,MATCH(MotorPHSales[[#This Row],[Product]],CLEANED_MotorPH_Products_List_2!$B:$B,0))</f>
        <v>199cc</v>
      </c>
      <c r="O557" s="44" t="str">
        <f>INDEX(CLEANED_MotorPH_Products_List_2!K:K,MATCH(MotorPHSales[[#This Row],[Product]],CLEANED_MotorPH_Products_List_2!B:B,0))</f>
        <v>Entry-level</v>
      </c>
      <c r="P557" s="45">
        <f>IF(MotorPHSales[[#This Row],[Segment]]="Entry-level",MotorPHSales[[#This Row],[UnitPrice]]/(1+30%),IF(MotorPHSales[[#This Row],[Segment]]="Mid-range",MotorPHSales[[#This Row],[UnitPrice]]/(1+35%),MotorPHSales[[#This Row],[UnitPrice]]/(1+40%)))*MotorPHSales[[#This Row],[Quantity]]</f>
        <v>761538.4615384615</v>
      </c>
      <c r="Q557" s="44" t="str">
        <f>INDEX(CLEANED_MotorPH_Products_List_2!H:H,MATCH(MotorPHSales[[#This Row],[Product]],CLEANED_MotorPH_Products_List_2!$B:$B,0))</f>
        <v>6-speed</v>
      </c>
    </row>
    <row r="558" spans="1:17" ht="15.75" x14ac:dyDescent="0.3">
      <c r="A558" s="43">
        <v>45827</v>
      </c>
      <c r="B558" s="44" t="str">
        <f>TEXT(MotorPHSales[[#This Row],[Date]],"mmmm")</f>
        <v>June</v>
      </c>
      <c r="C558" s="44">
        <f>DAY(MotorPHSales[[#This Row],[Date]])</f>
        <v>19</v>
      </c>
      <c r="D558" s="44">
        <f>YEAR(MotorPHSales[[#This Row],[Date]])</f>
        <v>2025</v>
      </c>
      <c r="E558" s="44" t="s">
        <v>196</v>
      </c>
      <c r="F558" s="44" t="s">
        <v>51</v>
      </c>
      <c r="G558" s="45">
        <v>78900</v>
      </c>
      <c r="H558" s="44">
        <v>2</v>
      </c>
      <c r="I558" s="45">
        <v>157800</v>
      </c>
      <c r="J558" s="44" t="s">
        <v>197</v>
      </c>
      <c r="K558" s="44" t="str">
        <f>INDEX(CLEANED_MotorPH_Products_List_2!C:C,MATCH(MotorPHSales[[#This Row],[Product]],CLEANED_MotorPH_Products_List_2!$B:$B,0))</f>
        <v>Adventure</v>
      </c>
      <c r="L558" s="44" t="str">
        <f>INDEX(CLEANED_MotorPH_Products_List_2!E:E,MATCH(MotorPHSales[[#This Row],[Product]],CLEANED_MotorPH_Products_List_2!$B:$B,0))</f>
        <v>Single cylinder</v>
      </c>
      <c r="M558" s="44" t="str">
        <f>INDEX(CLEANED_MotorPH_Products_List_2!F:F,MATCH(MotorPHSales[[#This Row],[Product]],CLEANED_MotorPH_Products_List_2!$B:$B,0))</f>
        <v>oil-cooled</v>
      </c>
      <c r="N558" s="44" t="str">
        <f>INDEX(CLEANED_MotorPH_Products_List_2!G:G,MATCH(MotorPHSales[[#This Row],[Product]],CLEANED_MotorPH_Products_List_2!$B:$B,0))</f>
        <v>223cc</v>
      </c>
      <c r="O558" s="44" t="str">
        <f>INDEX(CLEANED_MotorPH_Products_List_2!K:K,MATCH(MotorPHSales[[#This Row],[Product]],CLEANED_MotorPH_Products_List_2!B:B,0))</f>
        <v>Mid-range</v>
      </c>
      <c r="P558" s="45">
        <f>IF(MotorPHSales[[#This Row],[Segment]]="Entry-level",MotorPHSales[[#This Row],[UnitPrice]]/(1+30%),IF(MotorPHSales[[#This Row],[Segment]]="Mid-range",MotorPHSales[[#This Row],[UnitPrice]]/(1+35%),MotorPHSales[[#This Row],[UnitPrice]]/(1+40%)))*MotorPHSales[[#This Row],[Quantity]]</f>
        <v>116888.88888888888</v>
      </c>
      <c r="Q558" s="44" t="str">
        <f>INDEX(CLEANED_MotorPH_Products_List_2!H:H,MATCH(MotorPHSales[[#This Row],[Product]],CLEANED_MotorPH_Products_List_2!$B:$B,0))</f>
        <v>6-speed</v>
      </c>
    </row>
    <row r="559" spans="1:17" ht="15.75" x14ac:dyDescent="0.3">
      <c r="A559" s="43">
        <v>45884</v>
      </c>
      <c r="B559" s="44" t="str">
        <f>TEXT(MotorPHSales[[#This Row],[Date]],"mmmm")</f>
        <v>August</v>
      </c>
      <c r="C559" s="44">
        <f>DAY(MotorPHSales[[#This Row],[Date]])</f>
        <v>15</v>
      </c>
      <c r="D559" s="44">
        <f>YEAR(MotorPHSales[[#This Row],[Date]])</f>
        <v>2025</v>
      </c>
      <c r="E559" s="44" t="s">
        <v>196</v>
      </c>
      <c r="F559" s="44" t="s">
        <v>14</v>
      </c>
      <c r="G559" s="45">
        <v>250000</v>
      </c>
      <c r="H559" s="44">
        <v>17</v>
      </c>
      <c r="I559" s="45">
        <v>4250000</v>
      </c>
      <c r="J559" s="44" t="s">
        <v>197</v>
      </c>
      <c r="K559" s="44" t="str">
        <f>INDEX(CLEANED_MotorPH_Products_List_2!C:C,MATCH(MotorPHSales[[#This Row],[Product]],CLEANED_MotorPH_Products_List_2!$B:$B,0))</f>
        <v>Classic</v>
      </c>
      <c r="L559" s="44" t="str">
        <f>INDEX(CLEANED_MotorPH_Products_List_2!E:E,MATCH(MotorPHSales[[#This Row],[Product]],CLEANED_MotorPH_Products_List_2!$B:$B,0))</f>
        <v>Single cylinder</v>
      </c>
      <c r="M559" s="44" t="str">
        <f>INDEX(CLEANED_MotorPH_Products_List_2!F:F,MATCH(MotorPHSales[[#This Row],[Product]],CLEANED_MotorPH_Products_List_2!$B:$B,0))</f>
        <v>air-cooled</v>
      </c>
      <c r="N559" s="44" t="str">
        <f>INDEX(CLEANED_MotorPH_Products_List_2!G:G,MATCH(MotorPHSales[[#This Row],[Product]],CLEANED_MotorPH_Products_List_2!$B:$B,0))</f>
        <v>349cc</v>
      </c>
      <c r="O559" s="44" t="str">
        <f>INDEX(CLEANED_MotorPH_Products_List_2!K:K,MATCH(MotorPHSales[[#This Row],[Product]],CLEANED_MotorPH_Products_List_2!B:B,0))</f>
        <v>Mid-range</v>
      </c>
      <c r="P559" s="45">
        <f>IF(MotorPHSales[[#This Row],[Segment]]="Entry-level",MotorPHSales[[#This Row],[UnitPrice]]/(1+30%),IF(MotorPHSales[[#This Row],[Segment]]="Mid-range",MotorPHSales[[#This Row],[UnitPrice]]/(1+35%),MotorPHSales[[#This Row],[UnitPrice]]/(1+40%)))*MotorPHSales[[#This Row],[Quantity]]</f>
        <v>3148148.1481481479</v>
      </c>
      <c r="Q559" s="44" t="str">
        <f>INDEX(CLEANED_MotorPH_Products_List_2!H:H,MATCH(MotorPHSales[[#This Row],[Product]],CLEANED_MotorPH_Products_List_2!$B:$B,0))</f>
        <v>5-speed</v>
      </c>
    </row>
    <row r="560" spans="1:17" ht="15.75" x14ac:dyDescent="0.3">
      <c r="A560" s="43">
        <v>45817</v>
      </c>
      <c r="B560" s="44" t="str">
        <f>TEXT(MotorPHSales[[#This Row],[Date]],"mmmm")</f>
        <v>June</v>
      </c>
      <c r="C560" s="44">
        <f>DAY(MotorPHSales[[#This Row],[Date]])</f>
        <v>9</v>
      </c>
      <c r="D560" s="44">
        <f>YEAR(MotorPHSales[[#This Row],[Date]])</f>
        <v>2025</v>
      </c>
      <c r="E560" s="44" t="s">
        <v>196</v>
      </c>
      <c r="F560" s="44" t="s">
        <v>42</v>
      </c>
      <c r="G560" s="45">
        <v>125000</v>
      </c>
      <c r="H560" s="44">
        <v>17</v>
      </c>
      <c r="I560" s="45">
        <v>2125000</v>
      </c>
      <c r="J560" s="44" t="s">
        <v>197</v>
      </c>
      <c r="K560" s="44" t="str">
        <f>INDEX(CLEANED_MotorPH_Products_List_2!C:C,MATCH(MotorPHSales[[#This Row],[Product]],CLEANED_MotorPH_Products_List_2!$B:$B,0))</f>
        <v>Naked bike</v>
      </c>
      <c r="L560" s="44" t="str">
        <f>INDEX(CLEANED_MotorPH_Products_List_2!E:E,MATCH(MotorPHSales[[#This Row],[Product]],CLEANED_MotorPH_Products_List_2!$B:$B,0))</f>
        <v>Single cylinder</v>
      </c>
      <c r="M560" s="44" t="str">
        <f>INDEX(CLEANED_MotorPH_Products_List_2!F:F,MATCH(MotorPHSales[[#This Row],[Product]],CLEANED_MotorPH_Products_List_2!$B:$B,0))</f>
        <v>liquid-cooled</v>
      </c>
      <c r="N560" s="44" t="str">
        <f>INDEX(CLEANED_MotorPH_Products_List_2!G:G,MATCH(MotorPHSales[[#This Row],[Product]],CLEANED_MotorPH_Products_List_2!$B:$B,0))</f>
        <v>147cc</v>
      </c>
      <c r="O560" s="44" t="str">
        <f>INDEX(CLEANED_MotorPH_Products_List_2!K:K,MATCH(MotorPHSales[[#This Row],[Product]],CLEANED_MotorPH_Products_List_2!B:B,0))</f>
        <v>Entry-level</v>
      </c>
      <c r="P560" s="45">
        <f>IF(MotorPHSales[[#This Row],[Segment]]="Entry-level",MotorPHSales[[#This Row],[UnitPrice]]/(1+30%),IF(MotorPHSales[[#This Row],[Segment]]="Mid-range",MotorPHSales[[#This Row],[UnitPrice]]/(1+35%),MotorPHSales[[#This Row],[UnitPrice]]/(1+40%)))*MotorPHSales[[#This Row],[Quantity]]</f>
        <v>1634615.3846153847</v>
      </c>
      <c r="Q560" s="44" t="str">
        <f>INDEX(CLEANED_MotorPH_Products_List_2!H:H,MATCH(MotorPHSales[[#This Row],[Product]],CLEANED_MotorPH_Products_List_2!$B:$B,0))</f>
        <v>6-speed</v>
      </c>
    </row>
    <row r="561" spans="1:17" ht="15.75" x14ac:dyDescent="0.3">
      <c r="A561" s="43">
        <v>45879</v>
      </c>
      <c r="B561" s="44" t="str">
        <f>TEXT(MotorPHSales[[#This Row],[Date]],"mmmm")</f>
        <v>August</v>
      </c>
      <c r="C561" s="44">
        <f>DAY(MotorPHSales[[#This Row],[Date]])</f>
        <v>10</v>
      </c>
      <c r="D561" s="44">
        <f>YEAR(MotorPHSales[[#This Row],[Date]])</f>
        <v>2025</v>
      </c>
      <c r="E561" s="44" t="s">
        <v>196</v>
      </c>
      <c r="F561" s="44" t="s">
        <v>34</v>
      </c>
      <c r="G561" s="45">
        <v>960000</v>
      </c>
      <c r="H561" s="44">
        <v>49</v>
      </c>
      <c r="I561" s="45">
        <v>15680000</v>
      </c>
      <c r="J561" s="44" t="s">
        <v>195</v>
      </c>
      <c r="K561" s="44" t="str">
        <f>INDEX(CLEANED_MotorPH_Products_List_2!C:C,MATCH(MotorPHSales[[#This Row],[Product]],CLEANED_MotorPH_Products_List_2!$B:$B,0))</f>
        <v>Adventure</v>
      </c>
      <c r="L561" s="44" t="str">
        <f>INDEX(CLEANED_MotorPH_Products_List_2!E:E,MATCH(MotorPHSales[[#This Row],[Product]],CLEANED_MotorPH_Products_List_2!$B:$B,0))</f>
        <v>Single cylinder</v>
      </c>
      <c r="M561" s="44" t="str">
        <f>INDEX(CLEANED_MotorPH_Products_List_2!F:F,MATCH(MotorPHSales[[#This Row],[Product]],CLEANED_MotorPH_Products_List_2!$B:$B,0))</f>
        <v>liquid-cooled</v>
      </c>
      <c r="N561" s="44" t="str">
        <f>INDEX(CLEANED_MotorPH_Products_List_2!G:G,MATCH(MotorPHSales[[#This Row],[Product]],CLEANED_MotorPH_Products_List_2!$B:$B,0))</f>
        <v>313cc</v>
      </c>
      <c r="O561" s="44" t="str">
        <f>INDEX(CLEANED_MotorPH_Products_List_2!K:K,MATCH(MotorPHSales[[#This Row],[Product]],CLEANED_MotorPH_Products_List_2!B:B,0))</f>
        <v>Mid-range</v>
      </c>
      <c r="P561" s="45">
        <f>IF(MotorPHSales[[#This Row],[Segment]]="Entry-level",MotorPHSales[[#This Row],[UnitPrice]]/(1+30%),IF(MotorPHSales[[#This Row],[Segment]]="Mid-range",MotorPHSales[[#This Row],[UnitPrice]]/(1+35%),MotorPHSales[[#This Row],[UnitPrice]]/(1+40%)))*MotorPHSales[[#This Row],[Quantity]]</f>
        <v>34844444.44444444</v>
      </c>
      <c r="Q561" s="44" t="str">
        <f>INDEX(CLEANED_MotorPH_Products_List_2!H:H,MATCH(MotorPHSales[[#This Row],[Product]],CLEANED_MotorPH_Products_List_2!$B:$B,0))</f>
        <v>6-speed</v>
      </c>
    </row>
    <row r="562" spans="1:17" ht="15.75" x14ac:dyDescent="0.3">
      <c r="A562" s="43">
        <v>45836</v>
      </c>
      <c r="B562" s="44" t="str">
        <f>TEXT(MotorPHSales[[#This Row],[Date]],"mmmm")</f>
        <v>June</v>
      </c>
      <c r="C562" s="44">
        <f>DAY(MotorPHSales[[#This Row],[Date]])</f>
        <v>28</v>
      </c>
      <c r="D562" s="44">
        <f>YEAR(MotorPHSales[[#This Row],[Date]])</f>
        <v>2025</v>
      </c>
      <c r="E562" s="44" t="s">
        <v>194</v>
      </c>
      <c r="F562" s="44" t="s">
        <v>34</v>
      </c>
      <c r="G562" s="45">
        <v>320000</v>
      </c>
      <c r="H562" s="44">
        <v>3</v>
      </c>
      <c r="I562" s="45">
        <v>960000</v>
      </c>
      <c r="J562" s="44" t="s">
        <v>198</v>
      </c>
      <c r="K562" s="44" t="str">
        <f>INDEX(CLEANED_MotorPH_Products_List_2!C:C,MATCH(MotorPHSales[[#This Row],[Product]],CLEANED_MotorPH_Products_List_2!$B:$B,0))</f>
        <v>Adventure</v>
      </c>
      <c r="L562" s="44" t="str">
        <f>INDEX(CLEANED_MotorPH_Products_List_2!E:E,MATCH(MotorPHSales[[#This Row],[Product]],CLEANED_MotorPH_Products_List_2!$B:$B,0))</f>
        <v>Single cylinder</v>
      </c>
      <c r="M562" s="44" t="str">
        <f>INDEX(CLEANED_MotorPH_Products_List_2!F:F,MATCH(MotorPHSales[[#This Row],[Product]],CLEANED_MotorPH_Products_List_2!$B:$B,0))</f>
        <v>liquid-cooled</v>
      </c>
      <c r="N562" s="44" t="str">
        <f>INDEX(CLEANED_MotorPH_Products_List_2!G:G,MATCH(MotorPHSales[[#This Row],[Product]],CLEANED_MotorPH_Products_List_2!$B:$B,0))</f>
        <v>313cc</v>
      </c>
      <c r="O562" s="44" t="str">
        <f>INDEX(CLEANED_MotorPH_Products_List_2!K:K,MATCH(MotorPHSales[[#This Row],[Product]],CLEANED_MotorPH_Products_List_2!B:B,0))</f>
        <v>Mid-range</v>
      </c>
      <c r="P562" s="45">
        <f>IF(MotorPHSales[[#This Row],[Segment]]="Entry-level",MotorPHSales[[#This Row],[UnitPrice]]/(1+30%),IF(MotorPHSales[[#This Row],[Segment]]="Mid-range",MotorPHSales[[#This Row],[UnitPrice]]/(1+35%),MotorPHSales[[#This Row],[UnitPrice]]/(1+40%)))*MotorPHSales[[#This Row],[Quantity]]</f>
        <v>711111.11111111101</v>
      </c>
      <c r="Q562" s="44" t="str">
        <f>INDEX(CLEANED_MotorPH_Products_List_2!H:H,MATCH(MotorPHSales[[#This Row],[Product]],CLEANED_MotorPH_Products_List_2!$B:$B,0))</f>
        <v>6-speed</v>
      </c>
    </row>
    <row r="563" spans="1:17" ht="15.75" x14ac:dyDescent="0.3">
      <c r="A563" s="43">
        <v>45886</v>
      </c>
      <c r="B563" s="44" t="str">
        <f>TEXT(MotorPHSales[[#This Row],[Date]],"mmmm")</f>
        <v>August</v>
      </c>
      <c r="C563" s="44">
        <f>DAY(MotorPHSales[[#This Row],[Date]])</f>
        <v>17</v>
      </c>
      <c r="D563" s="44">
        <f>YEAR(MotorPHSales[[#This Row],[Date]])</f>
        <v>2025</v>
      </c>
      <c r="E563" s="44" t="s">
        <v>196</v>
      </c>
      <c r="F563" s="44" t="s">
        <v>26</v>
      </c>
      <c r="G563" s="45">
        <v>151900</v>
      </c>
      <c r="H563" s="44">
        <v>21</v>
      </c>
      <c r="I563" s="45">
        <v>3189900</v>
      </c>
      <c r="J563" s="44" t="s">
        <v>198</v>
      </c>
      <c r="K563" s="44" t="str">
        <f>INDEX(CLEANED_MotorPH_Products_List_2!C:C,MATCH(MotorPHSales[[#This Row],[Product]],CLEANED_MotorPH_Products_List_2!$B:$B,0))</f>
        <v>Scooter</v>
      </c>
      <c r="L563" s="44" t="str">
        <f>INDEX(CLEANED_MotorPH_Products_List_2!E:E,MATCH(MotorPHSales[[#This Row],[Product]],CLEANED_MotorPH_Products_List_2!$B:$B,0))</f>
        <v>Single cylinder</v>
      </c>
      <c r="M563" s="44" t="str">
        <f>INDEX(CLEANED_MotorPH_Products_List_2!F:F,MATCH(MotorPHSales[[#This Row],[Product]],CLEANED_MotorPH_Products_List_2!$B:$B,0))</f>
        <v>liquid-cooled</v>
      </c>
      <c r="N563" s="44" t="str">
        <f>INDEX(CLEANED_MotorPH_Products_List_2!G:G,MATCH(MotorPHSales[[#This Row],[Product]],CLEANED_MotorPH_Products_List_2!$B:$B,0))</f>
        <v>155cc</v>
      </c>
      <c r="O563" s="44" t="str">
        <f>INDEX(CLEANED_MotorPH_Products_List_2!K:K,MATCH(MotorPHSales[[#This Row],[Product]],CLEANED_MotorPH_Products_List_2!B:B,0))</f>
        <v>Entry-level</v>
      </c>
      <c r="P563" s="45">
        <f>IF(MotorPHSales[[#This Row],[Segment]]="Entry-level",MotorPHSales[[#This Row],[UnitPrice]]/(1+30%),IF(MotorPHSales[[#This Row],[Segment]]="Mid-range",MotorPHSales[[#This Row],[UnitPrice]]/(1+35%),MotorPHSales[[#This Row],[UnitPrice]]/(1+40%)))*MotorPHSales[[#This Row],[Quantity]]</f>
        <v>2453769.2307692305</v>
      </c>
      <c r="Q563" s="44" t="str">
        <f>INDEX(CLEANED_MotorPH_Products_List_2!H:H,MATCH(MotorPHSales[[#This Row],[Product]],CLEANED_MotorPH_Products_List_2!$B:$B,0))</f>
        <v>CVT</v>
      </c>
    </row>
    <row r="564" spans="1:17" ht="15.75" x14ac:dyDescent="0.3">
      <c r="A564" s="43">
        <v>45860</v>
      </c>
      <c r="B564" s="44" t="str">
        <f>TEXT(MotorPHSales[[#This Row],[Date]],"mmmm")</f>
        <v>July</v>
      </c>
      <c r="C564" s="44">
        <f>DAY(MotorPHSales[[#This Row],[Date]])</f>
        <v>22</v>
      </c>
      <c r="D564" s="44">
        <f>YEAR(MotorPHSales[[#This Row],[Date]])</f>
        <v>2025</v>
      </c>
      <c r="E564" s="44" t="s">
        <v>194</v>
      </c>
      <c r="F564" s="44" t="s">
        <v>82</v>
      </c>
      <c r="G564" s="45">
        <v>199000</v>
      </c>
      <c r="H564" s="44">
        <v>2</v>
      </c>
      <c r="I564" s="45">
        <v>398000</v>
      </c>
      <c r="J564" s="44" t="s">
        <v>197</v>
      </c>
      <c r="K564" s="44" t="str">
        <f>INDEX(CLEANED_MotorPH_Products_List_2!C:C,MATCH(MotorPHSales[[#This Row],[Product]],CLEANED_MotorPH_Products_List_2!$B:$B,0))</f>
        <v>Dual-sport</v>
      </c>
      <c r="L564" s="44" t="str">
        <f>INDEX(CLEANED_MotorPH_Products_List_2!E:E,MATCH(MotorPHSales[[#This Row],[Product]],CLEANED_MotorPH_Products_List_2!$B:$B,0))</f>
        <v>Single cylinder</v>
      </c>
      <c r="M564" s="44" t="str">
        <f>INDEX(CLEANED_MotorPH_Products_List_2!F:F,MATCH(MotorPHSales[[#This Row],[Product]],CLEANED_MotorPH_Products_List_2!$B:$B,0))</f>
        <v>air-cooled</v>
      </c>
      <c r="N564" s="44" t="str">
        <f>INDEX(CLEANED_MotorPH_Products_List_2!G:G,MATCH(MotorPHSales[[#This Row],[Product]],CLEANED_MotorPH_Products_List_2!$B:$B,0))</f>
        <v>233cc</v>
      </c>
      <c r="O564" s="44" t="str">
        <f>INDEX(CLEANED_MotorPH_Products_List_2!K:K,MATCH(MotorPHSales[[#This Row],[Product]],CLEANED_MotorPH_Products_List_2!B:B,0))</f>
        <v>Mid-range</v>
      </c>
      <c r="P564" s="45">
        <f>IF(MotorPHSales[[#This Row],[Segment]]="Entry-level",MotorPHSales[[#This Row],[UnitPrice]]/(1+30%),IF(MotorPHSales[[#This Row],[Segment]]="Mid-range",MotorPHSales[[#This Row],[UnitPrice]]/(1+35%),MotorPHSales[[#This Row],[UnitPrice]]/(1+40%)))*MotorPHSales[[#This Row],[Quantity]]</f>
        <v>294814.81481481477</v>
      </c>
      <c r="Q564" s="44" t="str">
        <f>INDEX(CLEANED_MotorPH_Products_List_2!H:H,MATCH(MotorPHSales[[#This Row],[Product]],CLEANED_MotorPH_Products_List_2!$B:$B,0))</f>
        <v>6-speed</v>
      </c>
    </row>
    <row r="565" spans="1:17" ht="15.75" x14ac:dyDescent="0.3">
      <c r="A565" s="43">
        <v>45891</v>
      </c>
      <c r="B565" s="44" t="str">
        <f>TEXT(MotorPHSales[[#This Row],[Date]],"mmmm")</f>
        <v>August</v>
      </c>
      <c r="C565" s="44">
        <f>DAY(MotorPHSales[[#This Row],[Date]])</f>
        <v>22</v>
      </c>
      <c r="D565" s="44">
        <f>YEAR(MotorPHSales[[#This Row],[Date]])</f>
        <v>2025</v>
      </c>
      <c r="E565" s="44" t="s">
        <v>196</v>
      </c>
      <c r="F565" s="44" t="s">
        <v>47</v>
      </c>
      <c r="G565" s="45">
        <v>398000</v>
      </c>
      <c r="H565" s="44">
        <v>27</v>
      </c>
      <c r="I565" s="45">
        <v>10746000</v>
      </c>
      <c r="J565" s="44" t="s">
        <v>198</v>
      </c>
      <c r="K565" s="44" t="str">
        <f>INDEX(CLEANED_MotorPH_Products_List_2!C:C,MATCH(MotorPHSales[[#This Row],[Product]],CLEANED_MotorPH_Products_List_2!$B:$B,0))</f>
        <v>Cruiser</v>
      </c>
      <c r="L565" s="44" t="str">
        <f>INDEX(CLEANED_MotorPH_Products_List_2!E:E,MATCH(MotorPHSales[[#This Row],[Product]],CLEANED_MotorPH_Products_List_2!$B:$B,0))</f>
        <v>Parallel-twin</v>
      </c>
      <c r="M565" s="44" t="str">
        <f>INDEX(CLEANED_MotorPH_Products_List_2!F:F,MATCH(MotorPHSales[[#This Row],[Product]],CLEANED_MotorPH_Products_List_2!$B:$B,0))</f>
        <v>liquid-cooled</v>
      </c>
      <c r="N565" s="44" t="str">
        <f>INDEX(CLEANED_MotorPH_Products_List_2!G:G,MATCH(MotorPHSales[[#This Row],[Product]],CLEANED_MotorPH_Products_List_2!$B:$B,0))</f>
        <v>649cc</v>
      </c>
      <c r="O565" s="44" t="str">
        <f>INDEX(CLEANED_MotorPH_Products_List_2!K:K,MATCH(MotorPHSales[[#This Row],[Product]],CLEANED_MotorPH_Products_List_2!B:B,0))</f>
        <v>Premium</v>
      </c>
      <c r="P565" s="45">
        <f>IF(MotorPHSales[[#This Row],[Segment]]="Entry-level",MotorPHSales[[#This Row],[UnitPrice]]/(1+30%),IF(MotorPHSales[[#This Row],[Segment]]="Mid-range",MotorPHSales[[#This Row],[UnitPrice]]/(1+35%),MotorPHSales[[#This Row],[UnitPrice]]/(1+40%)))*MotorPHSales[[#This Row],[Quantity]]</f>
        <v>7675714.2857142864</v>
      </c>
      <c r="Q565" s="44" t="str">
        <f>INDEX(CLEANED_MotorPH_Products_List_2!H:H,MATCH(MotorPHSales[[#This Row],[Product]],CLEANED_MotorPH_Products_List_2!$B:$B,0))</f>
        <v>6-speed</v>
      </c>
    </row>
    <row r="566" spans="1:17" ht="15.75" x14ac:dyDescent="0.3">
      <c r="A566" s="43">
        <v>45824</v>
      </c>
      <c r="B566" s="44" t="str">
        <f>TEXT(MotorPHSales[[#This Row],[Date]],"mmmm")</f>
        <v>June</v>
      </c>
      <c r="C566" s="44">
        <f>DAY(MotorPHSales[[#This Row],[Date]])</f>
        <v>16</v>
      </c>
      <c r="D566" s="44">
        <f>YEAR(MotorPHSales[[#This Row],[Date]])</f>
        <v>2025</v>
      </c>
      <c r="E566" s="44" t="s">
        <v>194</v>
      </c>
      <c r="F566" s="44" t="s">
        <v>78</v>
      </c>
      <c r="G566" s="45">
        <v>99900</v>
      </c>
      <c r="H566" s="44">
        <v>12</v>
      </c>
      <c r="I566" s="45">
        <v>1198800</v>
      </c>
      <c r="J566" s="44" t="s">
        <v>195</v>
      </c>
      <c r="K566" s="44" t="str">
        <f>INDEX(CLEANED_MotorPH_Products_List_2!C:C,MATCH(MotorPHSales[[#This Row],[Product]],CLEANED_MotorPH_Products_List_2!$B:$B,0))</f>
        <v>Street</v>
      </c>
      <c r="L566" s="44" t="str">
        <f>INDEX(CLEANED_MotorPH_Products_List_2!E:E,MATCH(MotorPHSales[[#This Row],[Product]],CLEANED_MotorPH_Products_List_2!$B:$B,0))</f>
        <v>Single cylinder</v>
      </c>
      <c r="M566" s="44" t="str">
        <f>INDEX(CLEANED_MotorPH_Products_List_2!F:F,MATCH(MotorPHSales[[#This Row],[Product]],CLEANED_MotorPH_Products_List_2!$B:$B,0))</f>
        <v>air-cooled</v>
      </c>
      <c r="N566" s="44" t="str">
        <f>INDEX(CLEANED_MotorPH_Products_List_2!G:G,MATCH(MotorPHSales[[#This Row],[Product]],CLEANED_MotorPH_Products_List_2!$B:$B,0))</f>
        <v>149cc</v>
      </c>
      <c r="O566" s="44" t="str">
        <f>INDEX(CLEANED_MotorPH_Products_List_2!K:K,MATCH(MotorPHSales[[#This Row],[Product]],CLEANED_MotorPH_Products_List_2!B:B,0))</f>
        <v>Entry-level</v>
      </c>
      <c r="P566" s="45">
        <f>IF(MotorPHSales[[#This Row],[Segment]]="Entry-level",MotorPHSales[[#This Row],[UnitPrice]]/(1+30%),IF(MotorPHSales[[#This Row],[Segment]]="Mid-range",MotorPHSales[[#This Row],[UnitPrice]]/(1+35%),MotorPHSales[[#This Row],[UnitPrice]]/(1+40%)))*MotorPHSales[[#This Row],[Quantity]]</f>
        <v>922153.84615384613</v>
      </c>
      <c r="Q566" s="44" t="str">
        <f>INDEX(CLEANED_MotorPH_Products_List_2!H:H,MATCH(MotorPHSales[[#This Row],[Product]],CLEANED_MotorPH_Products_List_2!$B:$B,0))</f>
        <v>5-speed</v>
      </c>
    </row>
    <row r="567" spans="1:17" ht="15.75" x14ac:dyDescent="0.3">
      <c r="A567" s="43">
        <v>45877</v>
      </c>
      <c r="B567" s="44" t="str">
        <f>TEXT(MotorPHSales[[#This Row],[Date]],"mmmm")</f>
        <v>August</v>
      </c>
      <c r="C567" s="44">
        <f>DAY(MotorPHSales[[#This Row],[Date]])</f>
        <v>8</v>
      </c>
      <c r="D567" s="44">
        <f>YEAR(MotorPHSales[[#This Row],[Date]])</f>
        <v>2025</v>
      </c>
      <c r="E567" s="44" t="s">
        <v>194</v>
      </c>
      <c r="F567" s="44" t="s">
        <v>28</v>
      </c>
      <c r="G567" s="45">
        <v>164900</v>
      </c>
      <c r="H567" s="44">
        <v>28</v>
      </c>
      <c r="I567" s="45">
        <v>4617200</v>
      </c>
      <c r="J567" s="44" t="s">
        <v>198</v>
      </c>
      <c r="K567" s="44" t="str">
        <f>INDEX(CLEANED_MotorPH_Products_List_2!C:C,MATCH(MotorPHSales[[#This Row],[Product]],CLEANED_MotorPH_Products_List_2!$B:$B,0))</f>
        <v>Scooter</v>
      </c>
      <c r="L567" s="44" t="str">
        <f>INDEX(CLEANED_MotorPH_Products_List_2!E:E,MATCH(MotorPHSales[[#This Row],[Product]],CLEANED_MotorPH_Products_List_2!$B:$B,0))</f>
        <v>Single cylinder</v>
      </c>
      <c r="M567" s="44" t="str">
        <f>INDEX(CLEANED_MotorPH_Products_List_2!F:F,MATCH(MotorPHSales[[#This Row],[Product]],CLEANED_MotorPH_Products_List_2!$B:$B,0))</f>
        <v>liquid-cooled</v>
      </c>
      <c r="N567" s="44" t="str">
        <f>INDEX(CLEANED_MotorPH_Products_List_2!G:G,MATCH(MotorPHSales[[#This Row],[Product]],CLEANED_MotorPH_Products_List_2!$B:$B,0))</f>
        <v>157cc</v>
      </c>
      <c r="O567" s="44" t="str">
        <f>INDEX(CLEANED_MotorPH_Products_List_2!K:K,MATCH(MotorPHSales[[#This Row],[Product]],CLEANED_MotorPH_Products_List_2!B:B,0))</f>
        <v>Entry-level</v>
      </c>
      <c r="P567" s="45">
        <f>IF(MotorPHSales[[#This Row],[Segment]]="Entry-level",MotorPHSales[[#This Row],[UnitPrice]]/(1+30%),IF(MotorPHSales[[#This Row],[Segment]]="Mid-range",MotorPHSales[[#This Row],[UnitPrice]]/(1+35%),MotorPHSales[[#This Row],[UnitPrice]]/(1+40%)))*MotorPHSales[[#This Row],[Quantity]]</f>
        <v>3551692.3076923075</v>
      </c>
      <c r="Q567" s="44" t="str">
        <f>INDEX(CLEANED_MotorPH_Products_List_2!H:H,MATCH(MotorPHSales[[#This Row],[Product]],CLEANED_MotorPH_Products_List_2!$B:$B,0))</f>
        <v>CVT</v>
      </c>
    </row>
    <row r="568" spans="1:17" ht="15.75" x14ac:dyDescent="0.3">
      <c r="A568" s="43">
        <v>45820</v>
      </c>
      <c r="B568" s="44" t="str">
        <f>TEXT(MotorPHSales[[#This Row],[Date]],"mmmm")</f>
        <v>June</v>
      </c>
      <c r="C568" s="44">
        <f>DAY(MotorPHSales[[#This Row],[Date]])</f>
        <v>12</v>
      </c>
      <c r="D568" s="44">
        <f>YEAR(MotorPHSales[[#This Row],[Date]])</f>
        <v>2025</v>
      </c>
      <c r="E568" s="44" t="s">
        <v>196</v>
      </c>
      <c r="F568" s="44" t="s">
        <v>22</v>
      </c>
      <c r="G568" s="45">
        <v>182000</v>
      </c>
      <c r="H568" s="44">
        <v>20</v>
      </c>
      <c r="I568" s="45">
        <v>3640000</v>
      </c>
      <c r="J568" s="44" t="s">
        <v>197</v>
      </c>
      <c r="K568" s="44" t="str">
        <f>INDEX(CLEANED_MotorPH_Products_List_2!C:C,MATCH(MotorPHSales[[#This Row],[Product]],CLEANED_MotorPH_Products_List_2!$B:$B,0))</f>
        <v>Retro</v>
      </c>
      <c r="L568" s="44" t="str">
        <f>INDEX(CLEANED_MotorPH_Products_List_2!E:E,MATCH(MotorPHSales[[#This Row],[Product]],CLEANED_MotorPH_Products_List_2!$B:$B,0))</f>
        <v>Single cylinder</v>
      </c>
      <c r="M568" s="44" t="str">
        <f>INDEX(CLEANED_MotorPH_Products_List_2!F:F,MATCH(MotorPHSales[[#This Row],[Product]],CLEANED_MotorPH_Products_List_2!$B:$B,0))</f>
        <v>liquid-cooled</v>
      </c>
      <c r="N568" s="44" t="str">
        <f>INDEX(CLEANED_MotorPH_Products_List_2!G:G,MATCH(MotorPHSales[[#This Row],[Product]],CLEANED_MotorPH_Products_List_2!$B:$B,0))</f>
        <v>155cc</v>
      </c>
      <c r="O568" s="44" t="str">
        <f>INDEX(CLEANED_MotorPH_Products_List_2!K:K,MATCH(MotorPHSales[[#This Row],[Product]],CLEANED_MotorPH_Products_List_2!B:B,0))</f>
        <v>Entry-level</v>
      </c>
      <c r="P568" s="45">
        <f>IF(MotorPHSales[[#This Row],[Segment]]="Entry-level",MotorPHSales[[#This Row],[UnitPrice]]/(1+30%),IF(MotorPHSales[[#This Row],[Segment]]="Mid-range",MotorPHSales[[#This Row],[UnitPrice]]/(1+35%),MotorPHSales[[#This Row],[UnitPrice]]/(1+40%)))*MotorPHSales[[#This Row],[Quantity]]</f>
        <v>2800000</v>
      </c>
      <c r="Q568" s="44" t="str">
        <f>INDEX(CLEANED_MotorPH_Products_List_2!H:H,MATCH(MotorPHSales[[#This Row],[Product]],CLEANED_MotorPH_Products_List_2!$B:$B,0))</f>
        <v>6-speed</v>
      </c>
    </row>
    <row r="569" spans="1:17" ht="15.75" x14ac:dyDescent="0.3">
      <c r="A569" s="43">
        <v>45833</v>
      </c>
      <c r="B569" s="44" t="str">
        <f>TEXT(MotorPHSales[[#This Row],[Date]],"mmmm")</f>
        <v>June</v>
      </c>
      <c r="C569" s="44">
        <f>DAY(MotorPHSales[[#This Row],[Date]])</f>
        <v>25</v>
      </c>
      <c r="D569" s="44">
        <f>YEAR(MotorPHSales[[#This Row],[Date]])</f>
        <v>2025</v>
      </c>
      <c r="E569" s="44" t="s">
        <v>196</v>
      </c>
      <c r="F569" s="44" t="s">
        <v>88</v>
      </c>
      <c r="G569" s="45">
        <v>599000</v>
      </c>
      <c r="H569" s="44">
        <v>5</v>
      </c>
      <c r="I569" s="45">
        <v>2995000</v>
      </c>
      <c r="J569" s="44" t="s">
        <v>195</v>
      </c>
      <c r="K569" s="44" t="str">
        <f>INDEX(CLEANED_MotorPH_Products_List_2!C:C,MATCH(MotorPHSales[[#This Row],[Product]],CLEANED_MotorPH_Products_List_2!$B:$B,0))</f>
        <v>Naked bike</v>
      </c>
      <c r="L569" s="44" t="str">
        <f>INDEX(CLEANED_MotorPH_Products_List_2!E:E,MATCH(MotorPHSales[[#This Row],[Product]],CLEANED_MotorPH_Products_List_2!$B:$B,0))</f>
        <v>Parallel-twin</v>
      </c>
      <c r="M569" s="44" t="str">
        <f>INDEX(CLEANED_MotorPH_Products_List_2!F:F,MATCH(MotorPHSales[[#This Row],[Product]],CLEANED_MotorPH_Products_List_2!$B:$B,0))</f>
        <v>liquid-cooled</v>
      </c>
      <c r="N569" s="44" t="str">
        <f>INDEX(CLEANED_MotorPH_Products_List_2!G:G,MATCH(MotorPHSales[[#This Row],[Product]],CLEANED_MotorPH_Products_List_2!$B:$B,0))</f>
        <v>799cc</v>
      </c>
      <c r="O569" s="44" t="str">
        <f>INDEX(CLEANED_MotorPH_Products_List_2!K:K,MATCH(MotorPHSales[[#This Row],[Product]],CLEANED_MotorPH_Products_List_2!B:B,0))</f>
        <v>Premium</v>
      </c>
      <c r="P569" s="45">
        <f>IF(MotorPHSales[[#This Row],[Segment]]="Entry-level",MotorPHSales[[#This Row],[UnitPrice]]/(1+30%),IF(MotorPHSales[[#This Row],[Segment]]="Mid-range",MotorPHSales[[#This Row],[UnitPrice]]/(1+35%),MotorPHSales[[#This Row],[UnitPrice]]/(1+40%)))*MotorPHSales[[#This Row],[Quantity]]</f>
        <v>2139285.7142857146</v>
      </c>
      <c r="Q569" s="44" t="str">
        <f>INDEX(CLEANED_MotorPH_Products_List_2!H:H,MATCH(MotorPHSales[[#This Row],[Product]],CLEANED_MotorPH_Products_List_2!$B:$B,0))</f>
        <v>6-speed</v>
      </c>
    </row>
    <row r="570" spans="1:17" ht="15.75" x14ac:dyDescent="0.3">
      <c r="A570" s="43">
        <v>45860</v>
      </c>
      <c r="B570" s="44" t="str">
        <f>TEXT(MotorPHSales[[#This Row],[Date]],"mmmm")</f>
        <v>July</v>
      </c>
      <c r="C570" s="44">
        <f>DAY(MotorPHSales[[#This Row],[Date]])</f>
        <v>22</v>
      </c>
      <c r="D570" s="44">
        <f>YEAR(MotorPHSales[[#This Row],[Date]])</f>
        <v>2025</v>
      </c>
      <c r="E570" s="44" t="s">
        <v>194</v>
      </c>
      <c r="F570" s="44" t="s">
        <v>80</v>
      </c>
      <c r="G570" s="45">
        <v>398000</v>
      </c>
      <c r="H570" s="44">
        <v>18</v>
      </c>
      <c r="I570" s="45">
        <v>7164000</v>
      </c>
      <c r="J570" s="44" t="s">
        <v>195</v>
      </c>
      <c r="K570" s="44" t="str">
        <f>INDEX(CLEANED_MotorPH_Products_List_2!C:C,MATCH(MotorPHSales[[#This Row],[Product]],CLEANED_MotorPH_Products_List_2!$B:$B,0))</f>
        <v>Scooter</v>
      </c>
      <c r="L570" s="44" t="str">
        <f>INDEX(CLEANED_MotorPH_Products_List_2!E:E,MATCH(MotorPHSales[[#This Row],[Product]],CLEANED_MotorPH_Products_List_2!$B:$B,0))</f>
        <v>Single cylinder</v>
      </c>
      <c r="M570" s="44" t="str">
        <f>INDEX(CLEANED_MotorPH_Products_List_2!F:F,MATCH(MotorPHSales[[#This Row],[Product]],CLEANED_MotorPH_Products_List_2!$B:$B,0))</f>
        <v>liquid-cooled</v>
      </c>
      <c r="N570" s="44" t="str">
        <f>INDEX(CLEANED_MotorPH_Products_List_2!G:G,MATCH(MotorPHSales[[#This Row],[Product]],CLEANED_MotorPH_Products_List_2!$B:$B,0))</f>
        <v>278cc</v>
      </c>
      <c r="O570" s="44" t="str">
        <f>INDEX(CLEANED_MotorPH_Products_List_2!K:K,MATCH(MotorPHSales[[#This Row],[Product]],CLEANED_MotorPH_Products_List_2!B:B,0))</f>
        <v>Mid-range</v>
      </c>
      <c r="P570" s="45">
        <f>IF(MotorPHSales[[#This Row],[Segment]]="Entry-level",MotorPHSales[[#This Row],[UnitPrice]]/(1+30%),IF(MotorPHSales[[#This Row],[Segment]]="Mid-range",MotorPHSales[[#This Row],[UnitPrice]]/(1+35%),MotorPHSales[[#This Row],[UnitPrice]]/(1+40%)))*MotorPHSales[[#This Row],[Quantity]]</f>
        <v>5306666.666666666</v>
      </c>
      <c r="Q570" s="44" t="str">
        <f>INDEX(CLEANED_MotorPH_Products_List_2!H:H,MATCH(MotorPHSales[[#This Row],[Product]],CLEANED_MotorPH_Products_List_2!$B:$B,0))</f>
        <v>CVT</v>
      </c>
    </row>
    <row r="571" spans="1:17" ht="15.75" x14ac:dyDescent="0.3">
      <c r="A571" s="43">
        <v>45893</v>
      </c>
      <c r="B571" s="44" t="str">
        <f>TEXT(MotorPHSales[[#This Row],[Date]],"mmmm")</f>
        <v>August</v>
      </c>
      <c r="C571" s="44">
        <f>DAY(MotorPHSales[[#This Row],[Date]])</f>
        <v>24</v>
      </c>
      <c r="D571" s="44">
        <f>YEAR(MotorPHSales[[#This Row],[Date]])</f>
        <v>2025</v>
      </c>
      <c r="E571" s="44" t="s">
        <v>194</v>
      </c>
      <c r="F571" s="44" t="s">
        <v>97</v>
      </c>
      <c r="G571" s="45">
        <v>269000</v>
      </c>
      <c r="H571" s="44">
        <v>19</v>
      </c>
      <c r="I571" s="45">
        <v>5111000</v>
      </c>
      <c r="J571" s="44" t="s">
        <v>197</v>
      </c>
      <c r="K571" s="44" t="str">
        <f>INDEX(CLEANED_MotorPH_Products_List_2!C:C,MATCH(MotorPHSales[[#This Row],[Product]],CLEANED_MotorPH_Products_List_2!$B:$B,0))</f>
        <v>Cafe racer</v>
      </c>
      <c r="L571" s="44" t="str">
        <f>INDEX(CLEANED_MotorPH_Products_List_2!E:E,MATCH(MotorPHSales[[#This Row],[Product]],CLEANED_MotorPH_Products_List_2!$B:$B,0))</f>
        <v>Single cylinder</v>
      </c>
      <c r="M571" s="44" t="str">
        <f>INDEX(CLEANED_MotorPH_Products_List_2!F:F,MATCH(MotorPHSales[[#This Row],[Product]],CLEANED_MotorPH_Products_List_2!$B:$B,0))</f>
        <v>liquid-cooled</v>
      </c>
      <c r="N571" s="44" t="str">
        <f>INDEX(CLEANED_MotorPH_Products_List_2!G:G,MATCH(MotorPHSales[[#This Row],[Product]],CLEANED_MotorPH_Products_List_2!$B:$B,0))</f>
        <v>348cc</v>
      </c>
      <c r="O571" s="44" t="str">
        <f>INDEX(CLEANED_MotorPH_Products_List_2!K:K,MATCH(MotorPHSales[[#This Row],[Product]],CLEANED_MotorPH_Products_List_2!B:B,0))</f>
        <v>Mid-range</v>
      </c>
      <c r="P571" s="45">
        <f>IF(MotorPHSales[[#This Row],[Segment]]="Entry-level",MotorPHSales[[#This Row],[UnitPrice]]/(1+30%),IF(MotorPHSales[[#This Row],[Segment]]="Mid-range",MotorPHSales[[#This Row],[UnitPrice]]/(1+35%),MotorPHSales[[#This Row],[UnitPrice]]/(1+40%)))*MotorPHSales[[#This Row],[Quantity]]</f>
        <v>3785925.9259259254</v>
      </c>
      <c r="Q571" s="44" t="str">
        <f>INDEX(CLEANED_MotorPH_Products_List_2!H:H,MATCH(MotorPHSales[[#This Row],[Product]],CLEANED_MotorPH_Products_List_2!$B:$B,0))</f>
        <v>6-speed</v>
      </c>
    </row>
    <row r="572" spans="1:17" ht="15.75" x14ac:dyDescent="0.3">
      <c r="A572" s="43">
        <v>45861</v>
      </c>
      <c r="B572" s="44" t="str">
        <f>TEXT(MotorPHSales[[#This Row],[Date]],"mmmm")</f>
        <v>July</v>
      </c>
      <c r="C572" s="44">
        <f>DAY(MotorPHSales[[#This Row],[Date]])</f>
        <v>23</v>
      </c>
      <c r="D572" s="44">
        <f>YEAR(MotorPHSales[[#This Row],[Date]])</f>
        <v>2025</v>
      </c>
      <c r="E572" s="44" t="s">
        <v>196</v>
      </c>
      <c r="F572" s="44" t="s">
        <v>12</v>
      </c>
      <c r="G572" s="45">
        <v>119900</v>
      </c>
      <c r="H572" s="44">
        <v>8</v>
      </c>
      <c r="I572" s="45">
        <v>959200</v>
      </c>
      <c r="J572" s="44" t="s">
        <v>195</v>
      </c>
      <c r="K572" s="44" t="str">
        <f>INDEX(CLEANED_MotorPH_Products_List_2!C:C,MATCH(MotorPHSales[[#This Row],[Product]],CLEANED_MotorPH_Products_List_2!$B:$B,0))</f>
        <v>Underbone</v>
      </c>
      <c r="L572" s="44" t="str">
        <f>INDEX(CLEANED_MotorPH_Products_List_2!E:E,MATCH(MotorPHSales[[#This Row],[Product]],CLEANED_MotorPH_Products_List_2!$B:$B,0))</f>
        <v>Single cylinder</v>
      </c>
      <c r="M572" s="44" t="str">
        <f>INDEX(CLEANED_MotorPH_Products_List_2!F:F,MATCH(MotorPHSales[[#This Row],[Product]],CLEANED_MotorPH_Products_List_2!$B:$B,0))</f>
        <v>liquid-cooled</v>
      </c>
      <c r="N572" s="44" t="str">
        <f>INDEX(CLEANED_MotorPH_Products_List_2!G:G,MATCH(MotorPHSales[[#This Row],[Product]],CLEANED_MotorPH_Products_List_2!$B:$B,0))</f>
        <v>150cc</v>
      </c>
      <c r="O572" s="44" t="str">
        <f>INDEX(CLEANED_MotorPH_Products_List_2!K:K,MATCH(MotorPHSales[[#This Row],[Product]],CLEANED_MotorPH_Products_List_2!B:B,0))</f>
        <v>Entry-level</v>
      </c>
      <c r="P572" s="45">
        <f>IF(MotorPHSales[[#This Row],[Segment]]="Entry-level",MotorPHSales[[#This Row],[UnitPrice]]/(1+30%),IF(MotorPHSales[[#This Row],[Segment]]="Mid-range",MotorPHSales[[#This Row],[UnitPrice]]/(1+35%),MotorPHSales[[#This Row],[UnitPrice]]/(1+40%)))*MotorPHSales[[#This Row],[Quantity]]</f>
        <v>737846.15384615387</v>
      </c>
      <c r="Q572" s="44" t="str">
        <f>INDEX(CLEANED_MotorPH_Products_List_2!H:H,MATCH(MotorPHSales[[#This Row],[Product]],CLEANED_MotorPH_Products_List_2!$B:$B,0))</f>
        <v>6-speed</v>
      </c>
    </row>
    <row r="573" spans="1:17" ht="15.75" x14ac:dyDescent="0.3">
      <c r="A573" s="43">
        <v>45831</v>
      </c>
      <c r="B573" s="44" t="str">
        <f>TEXT(MotorPHSales[[#This Row],[Date]],"mmmm")</f>
        <v>June</v>
      </c>
      <c r="C573" s="44">
        <f>DAY(MotorPHSales[[#This Row],[Date]])</f>
        <v>23</v>
      </c>
      <c r="D573" s="44">
        <f>YEAR(MotorPHSales[[#This Row],[Date]])</f>
        <v>2025</v>
      </c>
      <c r="E573" s="44" t="s">
        <v>194</v>
      </c>
      <c r="F573" s="44" t="s">
        <v>8</v>
      </c>
      <c r="G573" s="45">
        <v>178000</v>
      </c>
      <c r="H573" s="44">
        <v>16</v>
      </c>
      <c r="I573" s="45">
        <v>2848000</v>
      </c>
      <c r="J573" s="44" t="s">
        <v>198</v>
      </c>
      <c r="K573" s="44" t="str">
        <f>INDEX(CLEANED_MotorPH_Products_List_2!C:C,MATCH(MotorPHSales[[#This Row],[Product]],CLEANED_MotorPH_Products_List_2!$B:$B,0))</f>
        <v>Naked bike</v>
      </c>
      <c r="L573" s="44" t="str">
        <f>INDEX(CLEANED_MotorPH_Products_List_2!E:E,MATCH(MotorPHSales[[#This Row],[Product]],CLEANED_MotorPH_Products_List_2!$B:$B,0))</f>
        <v>Single cylinder</v>
      </c>
      <c r="M573" s="44" t="str">
        <f>INDEX(CLEANED_MotorPH_Products_List_2!F:F,MATCH(MotorPHSales[[#This Row],[Product]],CLEANED_MotorPH_Products_List_2!$B:$B,0))</f>
        <v>liquid-cooled</v>
      </c>
      <c r="N573" s="44" t="str">
        <f>INDEX(CLEANED_MotorPH_Products_List_2!G:G,MATCH(MotorPHSales[[#This Row],[Product]],CLEANED_MotorPH_Products_List_2!$B:$B,0))</f>
        <v>155cc</v>
      </c>
      <c r="O573" s="44" t="str">
        <f>INDEX(CLEANED_MotorPH_Products_List_2!K:K,MATCH(MotorPHSales[[#This Row],[Product]],CLEANED_MotorPH_Products_List_2!B:B,0))</f>
        <v>Entry-level</v>
      </c>
      <c r="P573" s="45">
        <f>IF(MotorPHSales[[#This Row],[Segment]]="Entry-level",MotorPHSales[[#This Row],[UnitPrice]]/(1+30%),IF(MotorPHSales[[#This Row],[Segment]]="Mid-range",MotorPHSales[[#This Row],[UnitPrice]]/(1+35%),MotorPHSales[[#This Row],[UnitPrice]]/(1+40%)))*MotorPHSales[[#This Row],[Quantity]]</f>
        <v>2190769.2307692305</v>
      </c>
      <c r="Q573" s="44" t="str">
        <f>INDEX(CLEANED_MotorPH_Products_List_2!H:H,MATCH(MotorPHSales[[#This Row],[Product]],CLEANED_MotorPH_Products_List_2!$B:$B,0))</f>
        <v>6-speed</v>
      </c>
    </row>
    <row r="574" spans="1:17" ht="15.75" x14ac:dyDescent="0.3">
      <c r="A574" s="43">
        <v>45824</v>
      </c>
      <c r="B574" s="44" t="str">
        <f>TEXT(MotorPHSales[[#This Row],[Date]],"mmmm")</f>
        <v>June</v>
      </c>
      <c r="C574" s="44">
        <f>DAY(MotorPHSales[[#This Row],[Date]])</f>
        <v>16</v>
      </c>
      <c r="D574" s="44">
        <f>YEAR(MotorPHSales[[#This Row],[Date]])</f>
        <v>2025</v>
      </c>
      <c r="E574" s="44" t="s">
        <v>196</v>
      </c>
      <c r="F574" s="44" t="s">
        <v>8</v>
      </c>
      <c r="G574" s="45">
        <v>178000</v>
      </c>
      <c r="H574" s="44">
        <v>36</v>
      </c>
      <c r="I574" s="45">
        <v>6408000</v>
      </c>
      <c r="J574" s="44" t="s">
        <v>198</v>
      </c>
      <c r="K574" s="44" t="str">
        <f>INDEX(CLEANED_MotorPH_Products_List_2!C:C,MATCH(MotorPHSales[[#This Row],[Product]],CLEANED_MotorPH_Products_List_2!$B:$B,0))</f>
        <v>Naked bike</v>
      </c>
      <c r="L574" s="44" t="str">
        <f>INDEX(CLEANED_MotorPH_Products_List_2!E:E,MATCH(MotorPHSales[[#This Row],[Product]],CLEANED_MotorPH_Products_List_2!$B:$B,0))</f>
        <v>Single cylinder</v>
      </c>
      <c r="M574" s="44" t="str">
        <f>INDEX(CLEANED_MotorPH_Products_List_2!F:F,MATCH(MotorPHSales[[#This Row],[Product]],CLEANED_MotorPH_Products_List_2!$B:$B,0))</f>
        <v>liquid-cooled</v>
      </c>
      <c r="N574" s="44" t="str">
        <f>INDEX(CLEANED_MotorPH_Products_List_2!G:G,MATCH(MotorPHSales[[#This Row],[Product]],CLEANED_MotorPH_Products_List_2!$B:$B,0))</f>
        <v>155cc</v>
      </c>
      <c r="O574" s="44" t="str">
        <f>INDEX(CLEANED_MotorPH_Products_List_2!K:K,MATCH(MotorPHSales[[#This Row],[Product]],CLEANED_MotorPH_Products_List_2!B:B,0))</f>
        <v>Entry-level</v>
      </c>
      <c r="P574" s="45">
        <f>IF(MotorPHSales[[#This Row],[Segment]]="Entry-level",MotorPHSales[[#This Row],[UnitPrice]]/(1+30%),IF(MotorPHSales[[#This Row],[Segment]]="Mid-range",MotorPHSales[[#This Row],[UnitPrice]]/(1+35%),MotorPHSales[[#This Row],[UnitPrice]]/(1+40%)))*MotorPHSales[[#This Row],[Quantity]]</f>
        <v>4929230.769230769</v>
      </c>
      <c r="Q574" s="44" t="str">
        <f>INDEX(CLEANED_MotorPH_Products_List_2!H:H,MATCH(MotorPHSales[[#This Row],[Product]],CLEANED_MotorPH_Products_List_2!$B:$B,0))</f>
        <v>6-speed</v>
      </c>
    </row>
    <row r="575" spans="1:17" ht="15.75" x14ac:dyDescent="0.3">
      <c r="A575" s="43">
        <v>45865</v>
      </c>
      <c r="B575" s="44" t="str">
        <f>TEXT(MotorPHSales[[#This Row],[Date]],"mmmm")</f>
        <v>July</v>
      </c>
      <c r="C575" s="44">
        <f>DAY(MotorPHSales[[#This Row],[Date]])</f>
        <v>27</v>
      </c>
      <c r="D575" s="44">
        <f>YEAR(MotorPHSales[[#This Row],[Date]])</f>
        <v>2025</v>
      </c>
      <c r="E575" s="44" t="s">
        <v>196</v>
      </c>
      <c r="F575" s="44" t="s">
        <v>66</v>
      </c>
      <c r="G575" s="45">
        <v>499000</v>
      </c>
      <c r="H575" s="44">
        <v>22</v>
      </c>
      <c r="I575" s="45">
        <v>10978000</v>
      </c>
      <c r="J575" s="44" t="s">
        <v>195</v>
      </c>
      <c r="K575" s="44" t="str">
        <f>INDEX(CLEANED_MotorPH_Products_List_2!C:C,MATCH(MotorPHSales[[#This Row],[Product]],CLEANED_MotorPH_Products_List_2!$B:$B,0))</f>
        <v>Cruiser</v>
      </c>
      <c r="L575" s="44" t="str">
        <f>INDEX(CLEANED_MotorPH_Products_List_2!E:E,MATCH(MotorPHSales[[#This Row],[Product]],CLEANED_MotorPH_Products_List_2!$B:$B,0))</f>
        <v>V-twin</v>
      </c>
      <c r="M575" s="44" t="str">
        <f>INDEX(CLEANED_MotorPH_Products_List_2!F:F,MATCH(MotorPHSales[[#This Row],[Product]],CLEANED_MotorPH_Products_List_2!$B:$B,0))</f>
        <v>liquid-cooled</v>
      </c>
      <c r="N575" s="44" t="str">
        <f>INDEX(CLEANED_MotorPH_Products_List_2!G:G,MATCH(MotorPHSales[[#This Row],[Product]],CLEANED_MotorPH_Products_List_2!$B:$B,0))</f>
        <v>749cc</v>
      </c>
      <c r="O575" s="44" t="str">
        <f>INDEX(CLEANED_MotorPH_Products_List_2!K:K,MATCH(MotorPHSales[[#This Row],[Product]],CLEANED_MotorPH_Products_List_2!B:B,0))</f>
        <v>Premium</v>
      </c>
      <c r="P575" s="45">
        <f>IF(MotorPHSales[[#This Row],[Segment]]="Entry-level",MotorPHSales[[#This Row],[UnitPrice]]/(1+30%),IF(MotorPHSales[[#This Row],[Segment]]="Mid-range",MotorPHSales[[#This Row],[UnitPrice]]/(1+35%),MotorPHSales[[#This Row],[UnitPrice]]/(1+40%)))*MotorPHSales[[#This Row],[Quantity]]</f>
        <v>7841428.5714285728</v>
      </c>
      <c r="Q575" s="44" t="str">
        <f>INDEX(CLEANED_MotorPH_Products_List_2!H:H,MATCH(MotorPHSales[[#This Row],[Product]],CLEANED_MotorPH_Products_List_2!$B:$B,0))</f>
        <v>6-speed</v>
      </c>
    </row>
    <row r="576" spans="1:17" ht="15.75" x14ac:dyDescent="0.3">
      <c r="A576" s="43">
        <v>45847</v>
      </c>
      <c r="B576" s="44" t="str">
        <f>TEXT(MotorPHSales[[#This Row],[Date]],"mmmm")</f>
        <v>July</v>
      </c>
      <c r="C576" s="44">
        <f>DAY(MotorPHSales[[#This Row],[Date]])</f>
        <v>9</v>
      </c>
      <c r="D576" s="44">
        <f>YEAR(MotorPHSales[[#This Row],[Date]])</f>
        <v>2025</v>
      </c>
      <c r="E576" s="44" t="s">
        <v>196</v>
      </c>
      <c r="F576" s="44" t="s">
        <v>26</v>
      </c>
      <c r="G576" s="45">
        <v>151900</v>
      </c>
      <c r="H576" s="44">
        <v>9</v>
      </c>
      <c r="I576" s="45">
        <v>1367100</v>
      </c>
      <c r="J576" s="44" t="s">
        <v>197</v>
      </c>
      <c r="K576" s="44" t="str">
        <f>INDEX(CLEANED_MotorPH_Products_List_2!C:C,MATCH(MotorPHSales[[#This Row],[Product]],CLEANED_MotorPH_Products_List_2!$B:$B,0))</f>
        <v>Scooter</v>
      </c>
      <c r="L576" s="44" t="str">
        <f>INDEX(CLEANED_MotorPH_Products_List_2!E:E,MATCH(MotorPHSales[[#This Row],[Product]],CLEANED_MotorPH_Products_List_2!$B:$B,0))</f>
        <v>Single cylinder</v>
      </c>
      <c r="M576" s="44" t="str">
        <f>INDEX(CLEANED_MotorPH_Products_List_2!F:F,MATCH(MotorPHSales[[#This Row],[Product]],CLEANED_MotorPH_Products_List_2!$B:$B,0))</f>
        <v>liquid-cooled</v>
      </c>
      <c r="N576" s="44" t="str">
        <f>INDEX(CLEANED_MotorPH_Products_List_2!G:G,MATCH(MotorPHSales[[#This Row],[Product]],CLEANED_MotorPH_Products_List_2!$B:$B,0))</f>
        <v>155cc</v>
      </c>
      <c r="O576" s="44" t="str">
        <f>INDEX(CLEANED_MotorPH_Products_List_2!K:K,MATCH(MotorPHSales[[#This Row],[Product]],CLEANED_MotorPH_Products_List_2!B:B,0))</f>
        <v>Entry-level</v>
      </c>
      <c r="P576" s="45">
        <f>IF(MotorPHSales[[#This Row],[Segment]]="Entry-level",MotorPHSales[[#This Row],[UnitPrice]]/(1+30%),IF(MotorPHSales[[#This Row],[Segment]]="Mid-range",MotorPHSales[[#This Row],[UnitPrice]]/(1+35%),MotorPHSales[[#This Row],[UnitPrice]]/(1+40%)))*MotorPHSales[[#This Row],[Quantity]]</f>
        <v>1051615.3846153845</v>
      </c>
      <c r="Q576" s="44" t="str">
        <f>INDEX(CLEANED_MotorPH_Products_List_2!H:H,MATCH(MotorPHSales[[#This Row],[Product]],CLEANED_MotorPH_Products_List_2!$B:$B,0))</f>
        <v>CVT</v>
      </c>
    </row>
    <row r="577" spans="1:17" ht="15.75" x14ac:dyDescent="0.3">
      <c r="A577" s="43">
        <v>45861</v>
      </c>
      <c r="B577" s="44" t="str">
        <f>TEXT(MotorPHSales[[#This Row],[Date]],"mmmm")</f>
        <v>July</v>
      </c>
      <c r="C577" s="44">
        <f>DAY(MotorPHSales[[#This Row],[Date]])</f>
        <v>23</v>
      </c>
      <c r="D577" s="44">
        <f>YEAR(MotorPHSales[[#This Row],[Date]])</f>
        <v>2025</v>
      </c>
      <c r="E577" s="44" t="s">
        <v>196</v>
      </c>
      <c r="F577" s="44" t="s">
        <v>12</v>
      </c>
      <c r="G577" s="45">
        <v>119900</v>
      </c>
      <c r="H577" s="44">
        <v>30</v>
      </c>
      <c r="I577" s="45">
        <v>3597000</v>
      </c>
      <c r="J577" s="44" t="s">
        <v>198</v>
      </c>
      <c r="K577" s="44" t="str">
        <f>INDEX(CLEANED_MotorPH_Products_List_2!C:C,MATCH(MotorPHSales[[#This Row],[Product]],CLEANED_MotorPH_Products_List_2!$B:$B,0))</f>
        <v>Underbone</v>
      </c>
      <c r="L577" s="44" t="str">
        <f>INDEX(CLEANED_MotorPH_Products_List_2!E:E,MATCH(MotorPHSales[[#This Row],[Product]],CLEANED_MotorPH_Products_List_2!$B:$B,0))</f>
        <v>Single cylinder</v>
      </c>
      <c r="M577" s="44" t="str">
        <f>INDEX(CLEANED_MotorPH_Products_List_2!F:F,MATCH(MotorPHSales[[#This Row],[Product]],CLEANED_MotorPH_Products_List_2!$B:$B,0))</f>
        <v>liquid-cooled</v>
      </c>
      <c r="N577" s="44" t="str">
        <f>INDEX(CLEANED_MotorPH_Products_List_2!G:G,MATCH(MotorPHSales[[#This Row],[Product]],CLEANED_MotorPH_Products_List_2!$B:$B,0))</f>
        <v>150cc</v>
      </c>
      <c r="O577" s="44" t="str">
        <f>INDEX(CLEANED_MotorPH_Products_List_2!K:K,MATCH(MotorPHSales[[#This Row],[Product]],CLEANED_MotorPH_Products_List_2!B:B,0))</f>
        <v>Entry-level</v>
      </c>
      <c r="P577" s="45">
        <f>IF(MotorPHSales[[#This Row],[Segment]]="Entry-level",MotorPHSales[[#This Row],[UnitPrice]]/(1+30%),IF(MotorPHSales[[#This Row],[Segment]]="Mid-range",MotorPHSales[[#This Row],[UnitPrice]]/(1+35%),MotorPHSales[[#This Row],[UnitPrice]]/(1+40%)))*MotorPHSales[[#This Row],[Quantity]]</f>
        <v>2766923.076923077</v>
      </c>
      <c r="Q577" s="44" t="str">
        <f>INDEX(CLEANED_MotorPH_Products_List_2!H:H,MATCH(MotorPHSales[[#This Row],[Product]],CLEANED_MotorPH_Products_List_2!$B:$B,0))</f>
        <v>6-speed</v>
      </c>
    </row>
    <row r="578" spans="1:17" ht="15.75" x14ac:dyDescent="0.3">
      <c r="A578" s="43">
        <v>45850</v>
      </c>
      <c r="B578" s="44" t="str">
        <f>TEXT(MotorPHSales[[#This Row],[Date]],"mmmm")</f>
        <v>July</v>
      </c>
      <c r="C578" s="44">
        <f>DAY(MotorPHSales[[#This Row],[Date]])</f>
        <v>12</v>
      </c>
      <c r="D578" s="44">
        <f>YEAR(MotorPHSales[[#This Row],[Date]])</f>
        <v>2025</v>
      </c>
      <c r="E578" s="44" t="s">
        <v>194</v>
      </c>
      <c r="F578" s="44" t="s">
        <v>101</v>
      </c>
      <c r="G578" s="45">
        <v>72900</v>
      </c>
      <c r="H578" s="44">
        <v>2</v>
      </c>
      <c r="I578" s="45">
        <v>145800</v>
      </c>
      <c r="J578" s="44" t="s">
        <v>195</v>
      </c>
      <c r="K578" s="44" t="str">
        <f>INDEX(CLEANED_MotorPH_Products_List_2!C:C,MATCH(MotorPHSales[[#This Row],[Product]],CLEANED_MotorPH_Products_List_2!$B:$B,0))</f>
        <v>Underbone</v>
      </c>
      <c r="L578" s="44" t="str">
        <f>INDEX(CLEANED_MotorPH_Products_List_2!E:E,MATCH(MotorPHSales[[#This Row],[Product]],CLEANED_MotorPH_Products_List_2!$B:$B,0))</f>
        <v>Single cylinder</v>
      </c>
      <c r="M578" s="44" t="str">
        <f>INDEX(CLEANED_MotorPH_Products_List_2!F:F,MATCH(MotorPHSales[[#This Row],[Product]],CLEANED_MotorPH_Products_List_2!$B:$B,0))</f>
        <v>air-cooled</v>
      </c>
      <c r="N578" s="44" t="str">
        <f>INDEX(CLEANED_MotorPH_Products_List_2!G:G,MATCH(MotorPHSales[[#This Row],[Product]],CLEANED_MotorPH_Products_List_2!$B:$B,0))</f>
        <v>150cc</v>
      </c>
      <c r="O578" s="44" t="str">
        <f>INDEX(CLEANED_MotorPH_Products_List_2!K:K,MATCH(MotorPHSales[[#This Row],[Product]],CLEANED_MotorPH_Products_List_2!B:B,0))</f>
        <v>Entry-level</v>
      </c>
      <c r="P578" s="45">
        <f>IF(MotorPHSales[[#This Row],[Segment]]="Entry-level",MotorPHSales[[#This Row],[UnitPrice]]/(1+30%),IF(MotorPHSales[[#This Row],[Segment]]="Mid-range",MotorPHSales[[#This Row],[UnitPrice]]/(1+35%),MotorPHSales[[#This Row],[UnitPrice]]/(1+40%)))*MotorPHSales[[#This Row],[Quantity]]</f>
        <v>112153.84615384616</v>
      </c>
      <c r="Q578" s="44" t="str">
        <f>INDEX(CLEANED_MotorPH_Products_List_2!H:H,MATCH(MotorPHSales[[#This Row],[Product]],CLEANED_MotorPH_Products_List_2!$B:$B,0))</f>
        <v>CVT</v>
      </c>
    </row>
    <row r="579" spans="1:17" ht="15.75" x14ac:dyDescent="0.3">
      <c r="A579" s="43">
        <v>45866</v>
      </c>
      <c r="B579" s="44" t="str">
        <f>TEXT(MotorPHSales[[#This Row],[Date]],"mmmm")</f>
        <v>July</v>
      </c>
      <c r="C579" s="44">
        <f>DAY(MotorPHSales[[#This Row],[Date]])</f>
        <v>28</v>
      </c>
      <c r="D579" s="44">
        <f>YEAR(MotorPHSales[[#This Row],[Date]])</f>
        <v>2025</v>
      </c>
      <c r="E579" s="44" t="s">
        <v>194</v>
      </c>
      <c r="F579" s="44" t="s">
        <v>80</v>
      </c>
      <c r="G579" s="45">
        <v>398000</v>
      </c>
      <c r="H579" s="44">
        <v>4</v>
      </c>
      <c r="I579" s="45">
        <v>1592000</v>
      </c>
      <c r="J579" s="44" t="s">
        <v>198</v>
      </c>
      <c r="K579" s="44" t="str">
        <f>INDEX(CLEANED_MotorPH_Products_List_2!C:C,MATCH(MotorPHSales[[#This Row],[Product]],CLEANED_MotorPH_Products_List_2!$B:$B,0))</f>
        <v>Scooter</v>
      </c>
      <c r="L579" s="44" t="str">
        <f>INDEX(CLEANED_MotorPH_Products_List_2!E:E,MATCH(MotorPHSales[[#This Row],[Product]],CLEANED_MotorPH_Products_List_2!$B:$B,0))</f>
        <v>Single cylinder</v>
      </c>
      <c r="M579" s="44" t="str">
        <f>INDEX(CLEANED_MotorPH_Products_List_2!F:F,MATCH(MotorPHSales[[#This Row],[Product]],CLEANED_MotorPH_Products_List_2!$B:$B,0))</f>
        <v>liquid-cooled</v>
      </c>
      <c r="N579" s="44" t="str">
        <f>INDEX(CLEANED_MotorPH_Products_List_2!G:G,MATCH(MotorPHSales[[#This Row],[Product]],CLEANED_MotorPH_Products_List_2!$B:$B,0))</f>
        <v>278cc</v>
      </c>
      <c r="O579" s="44" t="str">
        <f>INDEX(CLEANED_MotorPH_Products_List_2!K:K,MATCH(MotorPHSales[[#This Row],[Product]],CLEANED_MotorPH_Products_List_2!B:B,0))</f>
        <v>Mid-range</v>
      </c>
      <c r="P579" s="45">
        <f>IF(MotorPHSales[[#This Row],[Segment]]="Entry-level",MotorPHSales[[#This Row],[UnitPrice]]/(1+30%),IF(MotorPHSales[[#This Row],[Segment]]="Mid-range",MotorPHSales[[#This Row],[UnitPrice]]/(1+35%),MotorPHSales[[#This Row],[UnitPrice]]/(1+40%)))*MotorPHSales[[#This Row],[Quantity]]</f>
        <v>1179259.2592592591</v>
      </c>
      <c r="Q579" s="44" t="str">
        <f>INDEX(CLEANED_MotorPH_Products_List_2!H:H,MATCH(MotorPHSales[[#This Row],[Product]],CLEANED_MotorPH_Products_List_2!$B:$B,0))</f>
        <v>CVT</v>
      </c>
    </row>
    <row r="580" spans="1:17" ht="15.75" x14ac:dyDescent="0.3">
      <c r="A580" s="43">
        <v>45847</v>
      </c>
      <c r="B580" s="44" t="str">
        <f>TEXT(MotorPHSales[[#This Row],[Date]],"mmmm")</f>
        <v>July</v>
      </c>
      <c r="C580" s="44">
        <f>DAY(MotorPHSales[[#This Row],[Date]])</f>
        <v>9</v>
      </c>
      <c r="D580" s="44">
        <f>YEAR(MotorPHSales[[#This Row],[Date]])</f>
        <v>2025</v>
      </c>
      <c r="E580" s="44" t="s">
        <v>196</v>
      </c>
      <c r="F580" s="44" t="s">
        <v>78</v>
      </c>
      <c r="G580" s="45">
        <v>99900</v>
      </c>
      <c r="H580" s="44">
        <v>16</v>
      </c>
      <c r="I580" s="45">
        <v>1598400</v>
      </c>
      <c r="J580" s="44" t="s">
        <v>198</v>
      </c>
      <c r="K580" s="44" t="str">
        <f>INDEX(CLEANED_MotorPH_Products_List_2!C:C,MATCH(MotorPHSales[[#This Row],[Product]],CLEANED_MotorPH_Products_List_2!$B:$B,0))</f>
        <v>Street</v>
      </c>
      <c r="L580" s="44" t="str">
        <f>INDEX(CLEANED_MotorPH_Products_List_2!E:E,MATCH(MotorPHSales[[#This Row],[Product]],CLEANED_MotorPH_Products_List_2!$B:$B,0))</f>
        <v>Single cylinder</v>
      </c>
      <c r="M580" s="44" t="str">
        <f>INDEX(CLEANED_MotorPH_Products_List_2!F:F,MATCH(MotorPHSales[[#This Row],[Product]],CLEANED_MotorPH_Products_List_2!$B:$B,0))</f>
        <v>air-cooled</v>
      </c>
      <c r="N580" s="44" t="str">
        <f>INDEX(CLEANED_MotorPH_Products_List_2!G:G,MATCH(MotorPHSales[[#This Row],[Product]],CLEANED_MotorPH_Products_List_2!$B:$B,0))</f>
        <v>149cc</v>
      </c>
      <c r="O580" s="44" t="str">
        <f>INDEX(CLEANED_MotorPH_Products_List_2!K:K,MATCH(MotorPHSales[[#This Row],[Product]],CLEANED_MotorPH_Products_List_2!B:B,0))</f>
        <v>Entry-level</v>
      </c>
      <c r="P580" s="45">
        <f>IF(MotorPHSales[[#This Row],[Segment]]="Entry-level",MotorPHSales[[#This Row],[UnitPrice]]/(1+30%),IF(MotorPHSales[[#This Row],[Segment]]="Mid-range",MotorPHSales[[#This Row],[UnitPrice]]/(1+35%),MotorPHSales[[#This Row],[UnitPrice]]/(1+40%)))*MotorPHSales[[#This Row],[Quantity]]</f>
        <v>1229538.4615384615</v>
      </c>
      <c r="Q580" s="44" t="str">
        <f>INDEX(CLEANED_MotorPH_Products_List_2!H:H,MATCH(MotorPHSales[[#This Row],[Product]],CLEANED_MotorPH_Products_List_2!$B:$B,0))</f>
        <v>5-speed</v>
      </c>
    </row>
    <row r="581" spans="1:17" ht="15.75" x14ac:dyDescent="0.3">
      <c r="A581" s="43">
        <v>45822</v>
      </c>
      <c r="B581" s="44" t="str">
        <f>TEXT(MotorPHSales[[#This Row],[Date]],"mmmm")</f>
        <v>June</v>
      </c>
      <c r="C581" s="44">
        <f>DAY(MotorPHSales[[#This Row],[Date]])</f>
        <v>14</v>
      </c>
      <c r="D581" s="44">
        <f>YEAR(MotorPHSales[[#This Row],[Date]])</f>
        <v>2025</v>
      </c>
      <c r="E581" s="44" t="s">
        <v>196</v>
      </c>
      <c r="F581" s="44" t="s">
        <v>92</v>
      </c>
      <c r="G581" s="45">
        <v>289000</v>
      </c>
      <c r="H581" s="44">
        <v>18</v>
      </c>
      <c r="I581" s="45">
        <v>5202000</v>
      </c>
      <c r="J581" s="44" t="s">
        <v>195</v>
      </c>
      <c r="K581" s="44" t="str">
        <f>INDEX(CLEANED_MotorPH_Products_List_2!C:C,MATCH(MotorPHSales[[#This Row],[Product]],CLEANED_MotorPH_Products_List_2!$B:$B,0))</f>
        <v>Scooter</v>
      </c>
      <c r="L581" s="44" t="str">
        <f>INDEX(CLEANED_MotorPH_Products_List_2!E:E,MATCH(MotorPHSales[[#This Row],[Product]],CLEANED_MotorPH_Products_List_2!$B:$B,0))</f>
        <v>Single cylinder</v>
      </c>
      <c r="M581" s="44" t="str">
        <f>INDEX(CLEANED_MotorPH_Products_List_2!F:F,MATCH(MotorPHSales[[#This Row],[Product]],CLEANED_MotorPH_Products_List_2!$B:$B,0))</f>
        <v>liquid-cooled</v>
      </c>
      <c r="N581" s="44" t="str">
        <f>INDEX(CLEANED_MotorPH_Products_List_2!G:G,MATCH(MotorPHSales[[#This Row],[Product]],CLEANED_MotorPH_Products_List_2!$B:$B,0))</f>
        <v>181cc</v>
      </c>
      <c r="O581" s="44" t="str">
        <f>INDEX(CLEANED_MotorPH_Products_List_2!K:K,MATCH(MotorPHSales[[#This Row],[Product]],CLEANED_MotorPH_Products_List_2!B:B,0))</f>
        <v>Entry-level</v>
      </c>
      <c r="P581" s="45">
        <f>IF(MotorPHSales[[#This Row],[Segment]]="Entry-level",MotorPHSales[[#This Row],[UnitPrice]]/(1+30%),IF(MotorPHSales[[#This Row],[Segment]]="Mid-range",MotorPHSales[[#This Row],[UnitPrice]]/(1+35%),MotorPHSales[[#This Row],[UnitPrice]]/(1+40%)))*MotorPHSales[[#This Row],[Quantity]]</f>
        <v>4001538.4615384615</v>
      </c>
      <c r="Q581" s="44" t="str">
        <f>INDEX(CLEANED_MotorPH_Products_List_2!H:H,MATCH(MotorPHSales[[#This Row],[Product]],CLEANED_MotorPH_Products_List_2!$B:$B,0))</f>
        <v>CVT</v>
      </c>
    </row>
    <row r="582" spans="1:17" ht="15.75" x14ac:dyDescent="0.3">
      <c r="A582" s="43">
        <v>45813</v>
      </c>
      <c r="B582" s="44" t="str">
        <f>TEXT(MotorPHSales[[#This Row],[Date]],"mmmm")</f>
        <v>June</v>
      </c>
      <c r="C582" s="44">
        <f>DAY(MotorPHSales[[#This Row],[Date]])</f>
        <v>5</v>
      </c>
      <c r="D582" s="44">
        <f>YEAR(MotorPHSales[[#This Row],[Date]])</f>
        <v>2025</v>
      </c>
      <c r="E582" s="44" t="s">
        <v>196</v>
      </c>
      <c r="F582" s="44" t="s">
        <v>12</v>
      </c>
      <c r="G582" s="45">
        <v>119900</v>
      </c>
      <c r="H582" s="44">
        <v>20</v>
      </c>
      <c r="I582" s="45">
        <v>2398000</v>
      </c>
      <c r="J582" s="44" t="s">
        <v>198</v>
      </c>
      <c r="K582" s="44" t="str">
        <f>INDEX(CLEANED_MotorPH_Products_List_2!C:C,MATCH(MotorPHSales[[#This Row],[Product]],CLEANED_MotorPH_Products_List_2!$B:$B,0))</f>
        <v>Underbone</v>
      </c>
      <c r="L582" s="44" t="str">
        <f>INDEX(CLEANED_MotorPH_Products_List_2!E:E,MATCH(MotorPHSales[[#This Row],[Product]],CLEANED_MotorPH_Products_List_2!$B:$B,0))</f>
        <v>Single cylinder</v>
      </c>
      <c r="M582" s="44" t="str">
        <f>INDEX(CLEANED_MotorPH_Products_List_2!F:F,MATCH(MotorPHSales[[#This Row],[Product]],CLEANED_MotorPH_Products_List_2!$B:$B,0))</f>
        <v>liquid-cooled</v>
      </c>
      <c r="N582" s="44" t="str">
        <f>INDEX(CLEANED_MotorPH_Products_List_2!G:G,MATCH(MotorPHSales[[#This Row],[Product]],CLEANED_MotorPH_Products_List_2!$B:$B,0))</f>
        <v>150cc</v>
      </c>
      <c r="O582" s="44" t="str">
        <f>INDEX(CLEANED_MotorPH_Products_List_2!K:K,MATCH(MotorPHSales[[#This Row],[Product]],CLEANED_MotorPH_Products_List_2!B:B,0))</f>
        <v>Entry-level</v>
      </c>
      <c r="P582" s="45">
        <f>IF(MotorPHSales[[#This Row],[Segment]]="Entry-level",MotorPHSales[[#This Row],[UnitPrice]]/(1+30%),IF(MotorPHSales[[#This Row],[Segment]]="Mid-range",MotorPHSales[[#This Row],[UnitPrice]]/(1+35%),MotorPHSales[[#This Row],[UnitPrice]]/(1+40%)))*MotorPHSales[[#This Row],[Quantity]]</f>
        <v>1844615.3846153847</v>
      </c>
      <c r="Q582" s="44" t="str">
        <f>INDEX(CLEANED_MotorPH_Products_List_2!H:H,MATCH(MotorPHSales[[#This Row],[Product]],CLEANED_MotorPH_Products_List_2!$B:$B,0))</f>
        <v>6-speed</v>
      </c>
    </row>
    <row r="583" spans="1:17" ht="15.75" x14ac:dyDescent="0.3">
      <c r="A583" s="43">
        <v>45843</v>
      </c>
      <c r="B583" s="44" t="str">
        <f>TEXT(MotorPHSales[[#This Row],[Date]],"mmmm")</f>
        <v>July</v>
      </c>
      <c r="C583" s="44">
        <f>DAY(MotorPHSales[[#This Row],[Date]])</f>
        <v>5</v>
      </c>
      <c r="D583" s="44">
        <f>YEAR(MotorPHSales[[#This Row],[Date]])</f>
        <v>2025</v>
      </c>
      <c r="E583" s="44" t="s">
        <v>196</v>
      </c>
      <c r="F583" s="44" t="s">
        <v>53</v>
      </c>
      <c r="G583" s="45">
        <v>345000</v>
      </c>
      <c r="H583" s="44">
        <v>24</v>
      </c>
      <c r="I583" s="45">
        <v>8280000</v>
      </c>
      <c r="J583" s="44" t="s">
        <v>198</v>
      </c>
      <c r="K583" s="44" t="str">
        <f>INDEX(CLEANED_MotorPH_Products_List_2!C:C,MATCH(MotorPHSales[[#This Row],[Product]],CLEANED_MotorPH_Products_List_2!$B:$B,0))</f>
        <v>Touring</v>
      </c>
      <c r="L583" s="44" t="str">
        <f>INDEX(CLEANED_MotorPH_Products_List_2!E:E,MATCH(MotorPHSales[[#This Row],[Product]],CLEANED_MotorPH_Products_List_2!$B:$B,0))</f>
        <v>Parallel-twin</v>
      </c>
      <c r="M583" s="44" t="str">
        <f>INDEX(CLEANED_MotorPH_Products_List_2!F:F,MATCH(MotorPHSales[[#This Row],[Product]],CLEANED_MotorPH_Products_List_2!$B:$B,0))</f>
        <v>liquid-cooled</v>
      </c>
      <c r="N583" s="44" t="str">
        <f>INDEX(CLEANED_MotorPH_Products_List_2!G:G,MATCH(MotorPHSales[[#This Row],[Product]],CLEANED_MotorPH_Products_List_2!$B:$B,0))</f>
        <v>649cc</v>
      </c>
      <c r="O583" s="44" t="str">
        <f>INDEX(CLEANED_MotorPH_Products_List_2!K:K,MATCH(MotorPHSales[[#This Row],[Product]],CLEANED_MotorPH_Products_List_2!B:B,0))</f>
        <v>Premium</v>
      </c>
      <c r="P583" s="45">
        <f>IF(MotorPHSales[[#This Row],[Segment]]="Entry-level",MotorPHSales[[#This Row],[UnitPrice]]/(1+30%),IF(MotorPHSales[[#This Row],[Segment]]="Mid-range",MotorPHSales[[#This Row],[UnitPrice]]/(1+35%),MotorPHSales[[#This Row],[UnitPrice]]/(1+40%)))*MotorPHSales[[#This Row],[Quantity]]</f>
        <v>5914285.7142857146</v>
      </c>
      <c r="Q583" s="44" t="str">
        <f>INDEX(CLEANED_MotorPH_Products_List_2!H:H,MATCH(MotorPHSales[[#This Row],[Product]],CLEANED_MotorPH_Products_List_2!$B:$B,0))</f>
        <v>6-speed</v>
      </c>
    </row>
    <row r="584" spans="1:17" ht="15.75" x14ac:dyDescent="0.3">
      <c r="A584" s="43">
        <v>45895</v>
      </c>
      <c r="B584" s="44" t="str">
        <f>TEXT(MotorPHSales[[#This Row],[Date]],"mmmm")</f>
        <v>August</v>
      </c>
      <c r="C584" s="44">
        <f>DAY(MotorPHSales[[#This Row],[Date]])</f>
        <v>26</v>
      </c>
      <c r="D584" s="44">
        <f>YEAR(MotorPHSales[[#This Row],[Date]])</f>
        <v>2025</v>
      </c>
      <c r="E584" s="44" t="s">
        <v>194</v>
      </c>
      <c r="F584" s="44" t="s">
        <v>32</v>
      </c>
      <c r="G584" s="45">
        <v>198000</v>
      </c>
      <c r="H584" s="44">
        <v>44</v>
      </c>
      <c r="I584" s="45">
        <v>8712000</v>
      </c>
      <c r="J584" s="44" t="s">
        <v>197</v>
      </c>
      <c r="K584" s="44" t="str">
        <f>INDEX(CLEANED_MotorPH_Products_List_2!C:C,MATCH(MotorPHSales[[#This Row],[Product]],CLEANED_MotorPH_Products_List_2!$B:$B,0))</f>
        <v>Sport</v>
      </c>
      <c r="L584" s="44" t="str">
        <f>INDEX(CLEANED_MotorPH_Products_List_2!E:E,MATCH(MotorPHSales[[#This Row],[Product]],CLEANED_MotorPH_Products_List_2!$B:$B,0))</f>
        <v>Single cylinder</v>
      </c>
      <c r="M584" s="44" t="str">
        <f>INDEX(CLEANED_MotorPH_Products_List_2!F:F,MATCH(MotorPHSales[[#This Row],[Product]],CLEANED_MotorPH_Products_List_2!$B:$B,0))</f>
        <v>liquid-cooled</v>
      </c>
      <c r="N584" s="44" t="str">
        <f>INDEX(CLEANED_MotorPH_Products_List_2!G:G,MATCH(MotorPHSales[[#This Row],[Product]],CLEANED_MotorPH_Products_List_2!$B:$B,0))</f>
        <v>199cc</v>
      </c>
      <c r="O584" s="44" t="str">
        <f>INDEX(CLEANED_MotorPH_Products_List_2!K:K,MATCH(MotorPHSales[[#This Row],[Product]],CLEANED_MotorPH_Products_List_2!B:B,0))</f>
        <v>Entry-level</v>
      </c>
      <c r="P584" s="45">
        <f>IF(MotorPHSales[[#This Row],[Segment]]="Entry-level",MotorPHSales[[#This Row],[UnitPrice]]/(1+30%),IF(MotorPHSales[[#This Row],[Segment]]="Mid-range",MotorPHSales[[#This Row],[UnitPrice]]/(1+35%),MotorPHSales[[#This Row],[UnitPrice]]/(1+40%)))*MotorPHSales[[#This Row],[Quantity]]</f>
        <v>6701538.461538462</v>
      </c>
      <c r="Q584" s="44" t="str">
        <f>INDEX(CLEANED_MotorPH_Products_List_2!H:H,MATCH(MotorPHSales[[#This Row],[Product]],CLEANED_MotorPH_Products_List_2!$B:$B,0))</f>
        <v>6-speed</v>
      </c>
    </row>
    <row r="585" spans="1:17" ht="15.75" x14ac:dyDescent="0.3">
      <c r="A585" s="43">
        <v>45883</v>
      </c>
      <c r="B585" s="44" t="str">
        <f>TEXT(MotorPHSales[[#This Row],[Date]],"mmmm")</f>
        <v>August</v>
      </c>
      <c r="C585" s="44">
        <f>DAY(MotorPHSales[[#This Row],[Date]])</f>
        <v>14</v>
      </c>
      <c r="D585" s="44">
        <f>YEAR(MotorPHSales[[#This Row],[Date]])</f>
        <v>2025</v>
      </c>
      <c r="E585" s="44" t="s">
        <v>196</v>
      </c>
      <c r="F585" s="44" t="s">
        <v>44</v>
      </c>
      <c r="G585" s="45">
        <v>331000</v>
      </c>
      <c r="H585" s="44">
        <v>45</v>
      </c>
      <c r="I585" s="45">
        <v>14895000</v>
      </c>
      <c r="J585" s="44" t="s">
        <v>195</v>
      </c>
      <c r="K585" s="44" t="str">
        <f>INDEX(CLEANED_MotorPH_Products_List_2!C:C,MATCH(MotorPHSales[[#This Row],[Product]],CLEANED_MotorPH_Products_List_2!$B:$B,0))</f>
        <v>Naked bike</v>
      </c>
      <c r="L585" s="44" t="str">
        <f>INDEX(CLEANED_MotorPH_Products_List_2!E:E,MATCH(MotorPHSales[[#This Row],[Product]],CLEANED_MotorPH_Products_List_2!$B:$B,0))</f>
        <v>Parallel-twin</v>
      </c>
      <c r="M585" s="44" t="str">
        <f>INDEX(CLEANED_MotorPH_Products_List_2!F:F,MATCH(MotorPHSales[[#This Row],[Product]],CLEANED_MotorPH_Products_List_2!$B:$B,0))</f>
        <v>liquid-cooled</v>
      </c>
      <c r="N585" s="44" t="str">
        <f>INDEX(CLEANED_MotorPH_Products_List_2!G:G,MATCH(MotorPHSales[[#This Row],[Product]],CLEANED_MotorPH_Products_List_2!$B:$B,0))</f>
        <v>399cc</v>
      </c>
      <c r="O585" s="44" t="str">
        <f>INDEX(CLEANED_MotorPH_Products_List_2!K:K,MATCH(MotorPHSales[[#This Row],[Product]],CLEANED_MotorPH_Products_List_2!B:B,0))</f>
        <v>Mid-range</v>
      </c>
      <c r="P585" s="45">
        <f>IF(MotorPHSales[[#This Row],[Segment]]="Entry-level",MotorPHSales[[#This Row],[UnitPrice]]/(1+30%),IF(MotorPHSales[[#This Row],[Segment]]="Mid-range",MotorPHSales[[#This Row],[UnitPrice]]/(1+35%),MotorPHSales[[#This Row],[UnitPrice]]/(1+40%)))*MotorPHSales[[#This Row],[Quantity]]</f>
        <v>11033333.333333332</v>
      </c>
      <c r="Q585" s="44" t="str">
        <f>INDEX(CLEANED_MotorPH_Products_List_2!H:H,MATCH(MotorPHSales[[#This Row],[Product]],CLEANED_MotorPH_Products_List_2!$B:$B,0))</f>
        <v>6-speed</v>
      </c>
    </row>
    <row r="586" spans="1:17" ht="15.75" x14ac:dyDescent="0.3">
      <c r="A586" s="43">
        <v>45826</v>
      </c>
      <c r="B586" s="44" t="str">
        <f>TEXT(MotorPHSales[[#This Row],[Date]],"mmmm")</f>
        <v>June</v>
      </c>
      <c r="C586" s="44">
        <f>DAY(MotorPHSales[[#This Row],[Date]])</f>
        <v>18</v>
      </c>
      <c r="D586" s="44">
        <f>YEAR(MotorPHSales[[#This Row],[Date]])</f>
        <v>2025</v>
      </c>
      <c r="E586" s="44" t="s">
        <v>194</v>
      </c>
      <c r="F586" s="44" t="s">
        <v>57</v>
      </c>
      <c r="G586" s="45">
        <v>125900</v>
      </c>
      <c r="H586" s="44">
        <v>18</v>
      </c>
      <c r="I586" s="45">
        <v>2266200</v>
      </c>
      <c r="J586" s="44" t="s">
        <v>195</v>
      </c>
      <c r="K586" s="44" t="str">
        <f>INDEX(CLEANED_MotorPH_Products_List_2!C:C,MATCH(MotorPHSales[[#This Row],[Product]],CLEANED_MotorPH_Products_List_2!$B:$B,0))</f>
        <v>Underbone</v>
      </c>
      <c r="L586" s="44" t="str">
        <f>INDEX(CLEANED_MotorPH_Products_List_2!E:E,MATCH(MotorPHSales[[#This Row],[Product]],CLEANED_MotorPH_Products_List_2!$B:$B,0))</f>
        <v>Single cylinder</v>
      </c>
      <c r="M586" s="44" t="str">
        <f>INDEX(CLEANED_MotorPH_Products_List_2!F:F,MATCH(MotorPHSales[[#This Row],[Product]],CLEANED_MotorPH_Products_List_2!$B:$B,0))</f>
        <v>liquid-cooled</v>
      </c>
      <c r="N586" s="44" t="str">
        <f>INDEX(CLEANED_MotorPH_Products_List_2!G:G,MATCH(MotorPHSales[[#This Row],[Product]],CLEANED_MotorPH_Products_List_2!$B:$B,0))</f>
        <v>155cc</v>
      </c>
      <c r="O586" s="44" t="str">
        <f>INDEX(CLEANED_MotorPH_Products_List_2!K:K,MATCH(MotorPHSales[[#This Row],[Product]],CLEANED_MotorPH_Products_List_2!B:B,0))</f>
        <v>Entry-level</v>
      </c>
      <c r="P586" s="45">
        <f>IF(MotorPHSales[[#This Row],[Segment]]="Entry-level",MotorPHSales[[#This Row],[UnitPrice]]/(1+30%),IF(MotorPHSales[[#This Row],[Segment]]="Mid-range",MotorPHSales[[#This Row],[UnitPrice]]/(1+35%),MotorPHSales[[#This Row],[UnitPrice]]/(1+40%)))*MotorPHSales[[#This Row],[Quantity]]</f>
        <v>1743230.7692307692</v>
      </c>
      <c r="Q586" s="44" t="str">
        <f>INDEX(CLEANED_MotorPH_Products_List_2!H:H,MATCH(MotorPHSales[[#This Row],[Product]],CLEANED_MotorPH_Products_List_2!$B:$B,0))</f>
        <v>6-speed</v>
      </c>
    </row>
    <row r="587" spans="1:17" ht="15.75" x14ac:dyDescent="0.3">
      <c r="A587" s="43">
        <v>45884</v>
      </c>
      <c r="B587" s="44" t="str">
        <f>TEXT(MotorPHSales[[#This Row],[Date]],"mmmm")</f>
        <v>August</v>
      </c>
      <c r="C587" s="44">
        <f>DAY(MotorPHSales[[#This Row],[Date]])</f>
        <v>15</v>
      </c>
      <c r="D587" s="44">
        <f>YEAR(MotorPHSales[[#This Row],[Date]])</f>
        <v>2025</v>
      </c>
      <c r="E587" s="44" t="s">
        <v>196</v>
      </c>
      <c r="F587" s="44" t="s">
        <v>6</v>
      </c>
      <c r="G587" s="45">
        <v>389000</v>
      </c>
      <c r="H587" s="44">
        <v>41</v>
      </c>
      <c r="I587" s="45">
        <v>15949000</v>
      </c>
      <c r="J587" s="44" t="s">
        <v>198</v>
      </c>
      <c r="K587" s="44" t="str">
        <f>INDEX(CLEANED_MotorPH_Products_List_2!C:C,MATCH(MotorPHSales[[#This Row],[Product]],CLEANED_MotorPH_Products_List_2!$B:$B,0))</f>
        <v>Sport</v>
      </c>
      <c r="L587" s="44" t="str">
        <f>INDEX(CLEANED_MotorPH_Products_List_2!E:E,MATCH(MotorPHSales[[#This Row],[Product]],CLEANED_MotorPH_Products_List_2!$B:$B,0))</f>
        <v>Parallel-twin</v>
      </c>
      <c r="M587" s="44" t="str">
        <f>INDEX(CLEANED_MotorPH_Products_List_2!F:F,MATCH(MotorPHSales[[#This Row],[Product]],CLEANED_MotorPH_Products_List_2!$B:$B,0))</f>
        <v>liquid-cooled</v>
      </c>
      <c r="N587" s="44" t="str">
        <f>INDEX(CLEANED_MotorPH_Products_List_2!G:G,MATCH(MotorPHSales[[#This Row],[Product]],CLEANED_MotorPH_Products_List_2!$B:$B,0))</f>
        <v>471cc</v>
      </c>
      <c r="O587" s="44" t="str">
        <f>INDEX(CLEANED_MotorPH_Products_List_2!K:K,MATCH(MotorPHSales[[#This Row],[Product]],CLEANED_MotorPH_Products_List_2!B:B,0))</f>
        <v>Mid-range</v>
      </c>
      <c r="P587" s="45">
        <f>IF(MotorPHSales[[#This Row],[Segment]]="Entry-level",MotorPHSales[[#This Row],[UnitPrice]]/(1+30%),IF(MotorPHSales[[#This Row],[Segment]]="Mid-range",MotorPHSales[[#This Row],[UnitPrice]]/(1+35%),MotorPHSales[[#This Row],[UnitPrice]]/(1+40%)))*MotorPHSales[[#This Row],[Quantity]]</f>
        <v>11814074.074074075</v>
      </c>
      <c r="Q587" s="44" t="str">
        <f>INDEX(CLEANED_MotorPH_Products_List_2!H:H,MATCH(MotorPHSales[[#This Row],[Product]],CLEANED_MotorPH_Products_List_2!$B:$B,0))</f>
        <v>6-speed</v>
      </c>
    </row>
    <row r="588" spans="1:17" ht="15.75" x14ac:dyDescent="0.3">
      <c r="A588" s="43">
        <v>45817</v>
      </c>
      <c r="B588" s="44" t="str">
        <f>TEXT(MotorPHSales[[#This Row],[Date]],"mmmm")</f>
        <v>June</v>
      </c>
      <c r="C588" s="44">
        <f>DAY(MotorPHSales[[#This Row],[Date]])</f>
        <v>9</v>
      </c>
      <c r="D588" s="44">
        <f>YEAR(MotorPHSales[[#This Row],[Date]])</f>
        <v>2025</v>
      </c>
      <c r="E588" s="44" t="s">
        <v>196</v>
      </c>
      <c r="F588" s="44" t="s">
        <v>84</v>
      </c>
      <c r="G588" s="45">
        <v>995000</v>
      </c>
      <c r="H588" s="44">
        <v>25</v>
      </c>
      <c r="I588" s="45">
        <v>24875000</v>
      </c>
      <c r="J588" s="44" t="s">
        <v>197</v>
      </c>
      <c r="K588" s="44" t="str">
        <f>INDEX(CLEANED_MotorPH_Products_List_2!C:C,MATCH(MotorPHSales[[#This Row],[Product]],CLEANED_MotorPH_Products_List_2!$B:$B,0))</f>
        <v>Heritage</v>
      </c>
      <c r="L588" s="44" t="str">
        <f>INDEX(CLEANED_MotorPH_Products_List_2!E:E,MATCH(MotorPHSales[[#This Row],[Product]],CLEANED_MotorPH_Products_List_2!$B:$B,0))</f>
        <v>Flat twin</v>
      </c>
      <c r="M588" s="44" t="str">
        <f>INDEX(CLEANED_MotorPH_Products_List_2!F:F,MATCH(MotorPHSales[[#This Row],[Product]],CLEANED_MotorPH_Products_List_2!$B:$B,0))</f>
        <v>air</v>
      </c>
      <c r="N588" s="44">
        <f>INDEX(CLEANED_MotorPH_Products_List_2!G:G,MATCH(MotorPHSales[[#This Row],[Product]],CLEANED_MotorPH_Products_List_2!$B:$B,0))</f>
        <v>0</v>
      </c>
      <c r="O588" s="44" t="str">
        <f>INDEX(CLEANED_MotorPH_Products_List_2!K:K,MATCH(MotorPHSales[[#This Row],[Product]],CLEANED_MotorPH_Products_List_2!B:B,0))</f>
        <v>Premium</v>
      </c>
      <c r="P588" s="45">
        <f>IF(MotorPHSales[[#This Row],[Segment]]="Entry-level",MotorPHSales[[#This Row],[UnitPrice]]/(1+30%),IF(MotorPHSales[[#This Row],[Segment]]="Mid-range",MotorPHSales[[#This Row],[UnitPrice]]/(1+35%),MotorPHSales[[#This Row],[UnitPrice]]/(1+40%)))*MotorPHSales[[#This Row],[Quantity]]</f>
        <v>17767857.142857146</v>
      </c>
      <c r="Q588" s="44">
        <f>INDEX(CLEANED_MotorPH_Products_List_2!H:H,MATCH(MotorPHSales[[#This Row],[Product]],CLEANED_MotorPH_Products_List_2!$B:$B,0))</f>
        <v>0</v>
      </c>
    </row>
    <row r="589" spans="1:17" ht="15.75" x14ac:dyDescent="0.3">
      <c r="A589" s="43">
        <v>45882</v>
      </c>
      <c r="B589" s="44" t="str">
        <f>TEXT(MotorPHSales[[#This Row],[Date]],"mmmm")</f>
        <v>August</v>
      </c>
      <c r="C589" s="44">
        <f>DAY(MotorPHSales[[#This Row],[Date]])</f>
        <v>13</v>
      </c>
      <c r="D589" s="44">
        <f>YEAR(MotorPHSales[[#This Row],[Date]])</f>
        <v>2025</v>
      </c>
      <c r="E589" s="44" t="s">
        <v>196</v>
      </c>
      <c r="F589" s="44" t="s">
        <v>86</v>
      </c>
      <c r="G589" s="45">
        <v>650000</v>
      </c>
      <c r="H589" s="44">
        <v>4</v>
      </c>
      <c r="I589" s="45">
        <v>2600000</v>
      </c>
      <c r="J589" s="44" t="s">
        <v>197</v>
      </c>
      <c r="K589" s="44" t="str">
        <f>INDEX(CLEANED_MotorPH_Products_List_2!C:C,MATCH(MotorPHSales[[#This Row],[Product]],CLEANED_MotorPH_Products_List_2!$B:$B,0))</f>
        <v>Cruiser</v>
      </c>
      <c r="L589" s="44" t="str">
        <f>INDEX(CLEANED_MotorPH_Products_List_2!E:E,MATCH(MotorPHSales[[#This Row],[Product]],CLEANED_MotorPH_Products_List_2!$B:$B,0))</f>
        <v>Parallel-twin</v>
      </c>
      <c r="M589" s="44" t="str">
        <f>INDEX(CLEANED_MotorPH_Products_List_2!F:F,MATCH(MotorPHSales[[#This Row],[Product]],CLEANED_MotorPH_Products_List_2!$B:$B,0))</f>
        <v>liquid-cooled</v>
      </c>
      <c r="N589" s="44" t="str">
        <f>INDEX(CLEANED_MotorPH_Products_List_2!G:G,MATCH(MotorPHSales[[#This Row],[Product]],CLEANED_MotorPH_Products_List_2!$B:$B,0))</f>
        <v>1084cc</v>
      </c>
      <c r="O589" s="44" t="str">
        <f>INDEX(CLEANED_MotorPH_Products_List_2!K:K,MATCH(MotorPHSales[[#This Row],[Product]],CLEANED_MotorPH_Products_List_2!B:B,0))</f>
        <v>Premium</v>
      </c>
      <c r="P589" s="45">
        <f>IF(MotorPHSales[[#This Row],[Segment]]="Entry-level",MotorPHSales[[#This Row],[UnitPrice]]/(1+30%),IF(MotorPHSales[[#This Row],[Segment]]="Mid-range",MotorPHSales[[#This Row],[UnitPrice]]/(1+35%),MotorPHSales[[#This Row],[UnitPrice]]/(1+40%)))*MotorPHSales[[#This Row],[Quantity]]</f>
        <v>1857142.8571428573</v>
      </c>
      <c r="Q589" s="44" t="str">
        <f>INDEX(CLEANED_MotorPH_Products_List_2!H:H,MATCH(MotorPHSales[[#This Row],[Product]],CLEANED_MotorPH_Products_List_2!$B:$B,0))</f>
        <v>6-speed</v>
      </c>
    </row>
    <row r="590" spans="1:17" ht="15.75" x14ac:dyDescent="0.3">
      <c r="A590" s="43">
        <v>45866</v>
      </c>
      <c r="B590" s="44" t="str">
        <f>TEXT(MotorPHSales[[#This Row],[Date]],"mmmm")</f>
        <v>July</v>
      </c>
      <c r="C590" s="44">
        <f>DAY(MotorPHSales[[#This Row],[Date]])</f>
        <v>28</v>
      </c>
      <c r="D590" s="44">
        <f>YEAR(MotorPHSales[[#This Row],[Date]])</f>
        <v>2025</v>
      </c>
      <c r="E590" s="44" t="s">
        <v>196</v>
      </c>
      <c r="F590" s="44" t="s">
        <v>82</v>
      </c>
      <c r="G590" s="45">
        <v>199000</v>
      </c>
      <c r="H590" s="44">
        <v>17</v>
      </c>
      <c r="I590" s="45">
        <v>3383000</v>
      </c>
      <c r="J590" s="44" t="s">
        <v>195</v>
      </c>
      <c r="K590" s="44" t="str">
        <f>INDEX(CLEANED_MotorPH_Products_List_2!C:C,MATCH(MotorPHSales[[#This Row],[Product]],CLEANED_MotorPH_Products_List_2!$B:$B,0))</f>
        <v>Dual-sport</v>
      </c>
      <c r="L590" s="44" t="str">
        <f>INDEX(CLEANED_MotorPH_Products_List_2!E:E,MATCH(MotorPHSales[[#This Row],[Product]],CLEANED_MotorPH_Products_List_2!$B:$B,0))</f>
        <v>Single cylinder</v>
      </c>
      <c r="M590" s="44" t="str">
        <f>INDEX(CLEANED_MotorPH_Products_List_2!F:F,MATCH(MotorPHSales[[#This Row],[Product]],CLEANED_MotorPH_Products_List_2!$B:$B,0))</f>
        <v>air-cooled</v>
      </c>
      <c r="N590" s="44" t="str">
        <f>INDEX(CLEANED_MotorPH_Products_List_2!G:G,MATCH(MotorPHSales[[#This Row],[Product]],CLEANED_MotorPH_Products_List_2!$B:$B,0))</f>
        <v>233cc</v>
      </c>
      <c r="O590" s="44" t="str">
        <f>INDEX(CLEANED_MotorPH_Products_List_2!K:K,MATCH(MotorPHSales[[#This Row],[Product]],CLEANED_MotorPH_Products_List_2!B:B,0))</f>
        <v>Mid-range</v>
      </c>
      <c r="P590" s="45">
        <f>IF(MotorPHSales[[#This Row],[Segment]]="Entry-level",MotorPHSales[[#This Row],[UnitPrice]]/(1+30%),IF(MotorPHSales[[#This Row],[Segment]]="Mid-range",MotorPHSales[[#This Row],[UnitPrice]]/(1+35%),MotorPHSales[[#This Row],[UnitPrice]]/(1+40%)))*MotorPHSales[[#This Row],[Quantity]]</f>
        <v>2505925.9259259254</v>
      </c>
      <c r="Q590" s="44" t="str">
        <f>INDEX(CLEANED_MotorPH_Products_List_2!H:H,MATCH(MotorPHSales[[#This Row],[Product]],CLEANED_MotorPH_Products_List_2!$B:$B,0))</f>
        <v>6-speed</v>
      </c>
    </row>
    <row r="591" spans="1:17" ht="15.75" x14ac:dyDescent="0.3">
      <c r="A591" s="43">
        <v>45825</v>
      </c>
      <c r="B591" s="44" t="str">
        <f>TEXT(MotorPHSales[[#This Row],[Date]],"mmmm")</f>
        <v>June</v>
      </c>
      <c r="C591" s="44">
        <f>DAY(MotorPHSales[[#This Row],[Date]])</f>
        <v>17</v>
      </c>
      <c r="D591" s="44">
        <f>YEAR(MotorPHSales[[#This Row],[Date]])</f>
        <v>2025</v>
      </c>
      <c r="E591" s="44" t="s">
        <v>196</v>
      </c>
      <c r="F591" s="44" t="s">
        <v>30</v>
      </c>
      <c r="G591" s="45">
        <v>79900</v>
      </c>
      <c r="H591" s="44">
        <v>14</v>
      </c>
      <c r="I591" s="45">
        <v>1118600</v>
      </c>
      <c r="J591" s="44" t="s">
        <v>197</v>
      </c>
      <c r="K591" s="44" t="str">
        <f>INDEX(CLEANED_MotorPH_Products_List_2!C:C,MATCH(MotorPHSales[[#This Row],[Product]],CLEANED_MotorPH_Products_List_2!$B:$B,0))</f>
        <v>Scooter</v>
      </c>
      <c r="L591" s="44" t="str">
        <f>INDEX(CLEANED_MotorPH_Products_List_2!E:E,MATCH(MotorPHSales[[#This Row],[Product]],CLEANED_MotorPH_Products_List_2!$B:$B,0))</f>
        <v>Single cylinder</v>
      </c>
      <c r="M591" s="44" t="str">
        <f>INDEX(CLEANED_MotorPH_Products_List_2!F:F,MATCH(MotorPHSales[[#This Row],[Product]],CLEANED_MotorPH_Products_List_2!$B:$B,0))</f>
        <v>air-cooled</v>
      </c>
      <c r="N591" s="44" t="str">
        <f>INDEX(CLEANED_MotorPH_Products_List_2!G:G,MATCH(MotorPHSales[[#This Row],[Product]],CLEANED_MotorPH_Products_List_2!$B:$B,0))</f>
        <v>124cc</v>
      </c>
      <c r="O591" s="44" t="str">
        <f>INDEX(CLEANED_MotorPH_Products_List_2!K:K,MATCH(MotorPHSales[[#This Row],[Product]],CLEANED_MotorPH_Products_List_2!B:B,0))</f>
        <v>Entry-level</v>
      </c>
      <c r="P591" s="45">
        <f>IF(MotorPHSales[[#This Row],[Segment]]="Entry-level",MotorPHSales[[#This Row],[UnitPrice]]/(1+30%),IF(MotorPHSales[[#This Row],[Segment]]="Mid-range",MotorPHSales[[#This Row],[UnitPrice]]/(1+35%),MotorPHSales[[#This Row],[UnitPrice]]/(1+40%)))*MotorPHSales[[#This Row],[Quantity]]</f>
        <v>860461.5384615385</v>
      </c>
      <c r="Q591" s="44" t="str">
        <f>INDEX(CLEANED_MotorPH_Products_List_2!H:H,MATCH(MotorPHSales[[#This Row],[Product]],CLEANED_MotorPH_Products_List_2!$B:$B,0))</f>
        <v>CVT</v>
      </c>
    </row>
    <row r="592" spans="1:17" ht="15.75" x14ac:dyDescent="0.3">
      <c r="A592" s="43">
        <v>45815</v>
      </c>
      <c r="B592" s="44" t="str">
        <f>TEXT(MotorPHSales[[#This Row],[Date]],"mmmm")</f>
        <v>June</v>
      </c>
      <c r="C592" s="44">
        <f>DAY(MotorPHSales[[#This Row],[Date]])</f>
        <v>7</v>
      </c>
      <c r="D592" s="44">
        <f>YEAR(MotorPHSales[[#This Row],[Date]])</f>
        <v>2025</v>
      </c>
      <c r="E592" s="44" t="s">
        <v>196</v>
      </c>
      <c r="F592" s="44" t="s">
        <v>80</v>
      </c>
      <c r="G592" s="45">
        <v>398000</v>
      </c>
      <c r="H592" s="44">
        <v>20</v>
      </c>
      <c r="I592" s="45">
        <v>7960000</v>
      </c>
      <c r="J592" s="44" t="s">
        <v>195</v>
      </c>
      <c r="K592" s="44" t="str">
        <f>INDEX(CLEANED_MotorPH_Products_List_2!C:C,MATCH(MotorPHSales[[#This Row],[Product]],CLEANED_MotorPH_Products_List_2!$B:$B,0))</f>
        <v>Scooter</v>
      </c>
      <c r="L592" s="44" t="str">
        <f>INDEX(CLEANED_MotorPH_Products_List_2!E:E,MATCH(MotorPHSales[[#This Row],[Product]],CLEANED_MotorPH_Products_List_2!$B:$B,0))</f>
        <v>Single cylinder</v>
      </c>
      <c r="M592" s="44" t="str">
        <f>INDEX(CLEANED_MotorPH_Products_List_2!F:F,MATCH(MotorPHSales[[#This Row],[Product]],CLEANED_MotorPH_Products_List_2!$B:$B,0))</f>
        <v>liquid-cooled</v>
      </c>
      <c r="N592" s="44" t="str">
        <f>INDEX(CLEANED_MotorPH_Products_List_2!G:G,MATCH(MotorPHSales[[#This Row],[Product]],CLEANED_MotorPH_Products_List_2!$B:$B,0))</f>
        <v>278cc</v>
      </c>
      <c r="O592" s="44" t="str">
        <f>INDEX(CLEANED_MotorPH_Products_List_2!K:K,MATCH(MotorPHSales[[#This Row],[Product]],CLEANED_MotorPH_Products_List_2!B:B,0))</f>
        <v>Mid-range</v>
      </c>
      <c r="P592" s="45">
        <f>IF(MotorPHSales[[#This Row],[Segment]]="Entry-level",MotorPHSales[[#This Row],[UnitPrice]]/(1+30%),IF(MotorPHSales[[#This Row],[Segment]]="Mid-range",MotorPHSales[[#This Row],[UnitPrice]]/(1+35%),MotorPHSales[[#This Row],[UnitPrice]]/(1+40%)))*MotorPHSales[[#This Row],[Quantity]]</f>
        <v>5896296.2962962957</v>
      </c>
      <c r="Q592" s="44" t="str">
        <f>INDEX(CLEANED_MotorPH_Products_List_2!H:H,MATCH(MotorPHSales[[#This Row],[Product]],CLEANED_MotorPH_Products_List_2!$B:$B,0))</f>
        <v>CVT</v>
      </c>
    </row>
    <row r="593" spans="1:17" ht="15.75" x14ac:dyDescent="0.3">
      <c r="A593" s="43">
        <v>45854</v>
      </c>
      <c r="B593" s="44" t="str">
        <f>TEXT(MotorPHSales[[#This Row],[Date]],"mmmm")</f>
        <v>July</v>
      </c>
      <c r="C593" s="44">
        <f>DAY(MotorPHSales[[#This Row],[Date]])</f>
        <v>16</v>
      </c>
      <c r="D593" s="44">
        <f>YEAR(MotorPHSales[[#This Row],[Date]])</f>
        <v>2025</v>
      </c>
      <c r="E593" s="44" t="s">
        <v>194</v>
      </c>
      <c r="F593" s="44" t="s">
        <v>55</v>
      </c>
      <c r="G593" s="45">
        <v>80900</v>
      </c>
      <c r="H593" s="44">
        <v>12</v>
      </c>
      <c r="I593" s="45">
        <v>970800</v>
      </c>
      <c r="J593" s="44" t="s">
        <v>197</v>
      </c>
      <c r="K593" s="44" t="str">
        <f>INDEX(CLEANED_MotorPH_Products_List_2!C:C,MATCH(MotorPHSales[[#This Row],[Product]],CLEANED_MotorPH_Products_List_2!$B:$B,0))</f>
        <v>Scooter</v>
      </c>
      <c r="L593" s="44" t="str">
        <f>INDEX(CLEANED_MotorPH_Products_List_2!E:E,MATCH(MotorPHSales[[#This Row],[Product]],CLEANED_MotorPH_Products_List_2!$B:$B,0))</f>
        <v>Single cylinder</v>
      </c>
      <c r="M593" s="44" t="str">
        <f>INDEX(CLEANED_MotorPH_Products_List_2!F:F,MATCH(MotorPHSales[[#This Row],[Product]],CLEANED_MotorPH_Products_List_2!$B:$B,0))</f>
        <v>liquid-cooled</v>
      </c>
      <c r="N593" s="44" t="str">
        <f>INDEX(CLEANED_MotorPH_Products_List_2!G:G,MATCH(MotorPHSales[[#This Row],[Product]],CLEANED_MotorPH_Products_List_2!$B:$B,0))</f>
        <v>125cc</v>
      </c>
      <c r="O593" s="44" t="str">
        <f>INDEX(CLEANED_MotorPH_Products_List_2!K:K,MATCH(MotorPHSales[[#This Row],[Product]],CLEANED_MotorPH_Products_List_2!B:B,0))</f>
        <v>Entry-level</v>
      </c>
      <c r="P593" s="45">
        <f>IF(MotorPHSales[[#This Row],[Segment]]="Entry-level",MotorPHSales[[#This Row],[UnitPrice]]/(1+30%),IF(MotorPHSales[[#This Row],[Segment]]="Mid-range",MotorPHSales[[#This Row],[UnitPrice]]/(1+35%),MotorPHSales[[#This Row],[UnitPrice]]/(1+40%)))*MotorPHSales[[#This Row],[Quantity]]</f>
        <v>746769.23076923075</v>
      </c>
      <c r="Q593" s="44" t="str">
        <f>INDEX(CLEANED_MotorPH_Products_List_2!H:H,MATCH(MotorPHSales[[#This Row],[Product]],CLEANED_MotorPH_Products_List_2!$B:$B,0))</f>
        <v>CVT</v>
      </c>
    </row>
    <row r="594" spans="1:17" ht="15.75" x14ac:dyDescent="0.3">
      <c r="A594" s="43">
        <v>45821</v>
      </c>
      <c r="B594" s="44" t="str">
        <f>TEXT(MotorPHSales[[#This Row],[Date]],"mmmm")</f>
        <v>June</v>
      </c>
      <c r="C594" s="44">
        <f>DAY(MotorPHSales[[#This Row],[Date]])</f>
        <v>13</v>
      </c>
      <c r="D594" s="44">
        <f>YEAR(MotorPHSales[[#This Row],[Date]])</f>
        <v>2025</v>
      </c>
      <c r="E594" s="44" t="s">
        <v>196</v>
      </c>
      <c r="F594" s="44" t="s">
        <v>36</v>
      </c>
      <c r="G594" s="45">
        <v>129000</v>
      </c>
      <c r="H594" s="44">
        <v>16</v>
      </c>
      <c r="I594" s="45">
        <v>2064000</v>
      </c>
      <c r="J594" s="44" t="s">
        <v>198</v>
      </c>
      <c r="K594" s="44" t="str">
        <f>INDEX(CLEANED_MotorPH_Products_List_2!C:C,MATCH(MotorPHSales[[#This Row],[Product]],CLEANED_MotorPH_Products_List_2!$B:$B,0))</f>
        <v>Naked bike</v>
      </c>
      <c r="L594" s="44" t="str">
        <f>INDEX(CLEANED_MotorPH_Products_List_2!E:E,MATCH(MotorPHSales[[#This Row],[Product]],CLEANED_MotorPH_Products_List_2!$B:$B,0))</f>
        <v>Single cylinder</v>
      </c>
      <c r="M594" s="44" t="str">
        <f>INDEX(CLEANED_MotorPH_Products_List_2!F:F,MATCH(MotorPHSales[[#This Row],[Product]],CLEANED_MotorPH_Products_List_2!$B:$B,0))</f>
        <v>oil-cooled</v>
      </c>
      <c r="N594" s="44" t="str">
        <f>INDEX(CLEANED_MotorPH_Products_List_2!G:G,MATCH(MotorPHSales[[#This Row],[Product]],CLEANED_MotorPH_Products_List_2!$B:$B,0))</f>
        <v>197cc</v>
      </c>
      <c r="O594" s="44" t="str">
        <f>INDEX(CLEANED_MotorPH_Products_List_2!K:K,MATCH(MotorPHSales[[#This Row],[Product]],CLEANED_MotorPH_Products_List_2!B:B,0))</f>
        <v>Entry-level</v>
      </c>
      <c r="P594" s="45">
        <f>IF(MotorPHSales[[#This Row],[Segment]]="Entry-level",MotorPHSales[[#This Row],[UnitPrice]]/(1+30%),IF(MotorPHSales[[#This Row],[Segment]]="Mid-range",MotorPHSales[[#This Row],[UnitPrice]]/(1+35%),MotorPHSales[[#This Row],[UnitPrice]]/(1+40%)))*MotorPHSales[[#This Row],[Quantity]]</f>
        <v>1587692.3076923077</v>
      </c>
      <c r="Q594" s="44" t="str">
        <f>INDEX(CLEANED_MotorPH_Products_List_2!H:H,MATCH(MotorPHSales[[#This Row],[Product]],CLEANED_MotorPH_Products_List_2!$B:$B,0))</f>
        <v>5-speed</v>
      </c>
    </row>
    <row r="595" spans="1:17" ht="15.75" x14ac:dyDescent="0.3">
      <c r="A595" s="43">
        <v>45848</v>
      </c>
      <c r="B595" s="44" t="str">
        <f>TEXT(MotorPHSales[[#This Row],[Date]],"mmmm")</f>
        <v>July</v>
      </c>
      <c r="C595" s="44">
        <f>DAY(MotorPHSales[[#This Row],[Date]])</f>
        <v>10</v>
      </c>
      <c r="D595" s="44">
        <f>YEAR(MotorPHSales[[#This Row],[Date]])</f>
        <v>2025</v>
      </c>
      <c r="E595" s="44" t="s">
        <v>196</v>
      </c>
      <c r="F595" s="44" t="s">
        <v>68</v>
      </c>
      <c r="G595" s="45">
        <v>248000</v>
      </c>
      <c r="H595" s="44">
        <v>49</v>
      </c>
      <c r="I595" s="45">
        <v>12152000</v>
      </c>
      <c r="J595" s="44" t="s">
        <v>198</v>
      </c>
      <c r="K595" s="44" t="str">
        <f>INDEX(CLEANED_MotorPH_Products_List_2!C:C,MATCH(MotorPHSales[[#This Row],[Product]],CLEANED_MotorPH_Products_List_2!$B:$B,0))</f>
        <v>Adventure</v>
      </c>
      <c r="L595" s="44" t="str">
        <f>INDEX(CLEANED_MotorPH_Products_List_2!E:E,MATCH(MotorPHSales[[#This Row],[Product]],CLEANED_MotorPH_Products_List_2!$B:$B,0))</f>
        <v>Single cylinder</v>
      </c>
      <c r="M595" s="44" t="str">
        <f>INDEX(CLEANED_MotorPH_Products_List_2!F:F,MATCH(MotorPHSales[[#This Row],[Product]],CLEANED_MotorPH_Products_List_2!$B:$B,0))</f>
        <v>liquid-cooled</v>
      </c>
      <c r="N595" s="44" t="str">
        <f>INDEX(CLEANED_MotorPH_Products_List_2!G:G,MATCH(MotorPHSales[[#This Row],[Product]],CLEANED_MotorPH_Products_List_2!$B:$B,0))</f>
        <v>312cc</v>
      </c>
      <c r="O595" s="44" t="str">
        <f>INDEX(CLEANED_MotorPH_Products_List_2!K:K,MATCH(MotorPHSales[[#This Row],[Product]],CLEANED_MotorPH_Products_List_2!B:B,0))</f>
        <v>Mid-range</v>
      </c>
      <c r="P595" s="45">
        <f>IF(MotorPHSales[[#This Row],[Segment]]="Entry-level",MotorPHSales[[#This Row],[UnitPrice]]/(1+30%),IF(MotorPHSales[[#This Row],[Segment]]="Mid-range",MotorPHSales[[#This Row],[UnitPrice]]/(1+35%),MotorPHSales[[#This Row],[UnitPrice]]/(1+40%)))*MotorPHSales[[#This Row],[Quantity]]</f>
        <v>9001481.4814814795</v>
      </c>
      <c r="Q595" s="44" t="str">
        <f>INDEX(CLEANED_MotorPH_Products_List_2!H:H,MATCH(MotorPHSales[[#This Row],[Product]],CLEANED_MotorPH_Products_List_2!$B:$B,0))</f>
        <v>6-speed</v>
      </c>
    </row>
    <row r="596" spans="1:17" ht="15.75" x14ac:dyDescent="0.3">
      <c r="A596" s="43">
        <v>45850</v>
      </c>
      <c r="B596" s="44" t="str">
        <f>TEXT(MotorPHSales[[#This Row],[Date]],"mmmm")</f>
        <v>July</v>
      </c>
      <c r="C596" s="44">
        <f>DAY(MotorPHSales[[#This Row],[Date]])</f>
        <v>12</v>
      </c>
      <c r="D596" s="44">
        <f>YEAR(MotorPHSales[[#This Row],[Date]])</f>
        <v>2025</v>
      </c>
      <c r="E596" s="44" t="s">
        <v>196</v>
      </c>
      <c r="F596" s="44" t="s">
        <v>80</v>
      </c>
      <c r="G596" s="45">
        <v>398000</v>
      </c>
      <c r="H596" s="44">
        <v>5</v>
      </c>
      <c r="I596" s="45">
        <v>1990000</v>
      </c>
      <c r="J596" s="44" t="s">
        <v>195</v>
      </c>
      <c r="K596" s="44" t="str">
        <f>INDEX(CLEANED_MotorPH_Products_List_2!C:C,MATCH(MotorPHSales[[#This Row],[Product]],CLEANED_MotorPH_Products_List_2!$B:$B,0))</f>
        <v>Scooter</v>
      </c>
      <c r="L596" s="44" t="str">
        <f>INDEX(CLEANED_MotorPH_Products_List_2!E:E,MATCH(MotorPHSales[[#This Row],[Product]],CLEANED_MotorPH_Products_List_2!$B:$B,0))</f>
        <v>Single cylinder</v>
      </c>
      <c r="M596" s="44" t="str">
        <f>INDEX(CLEANED_MotorPH_Products_List_2!F:F,MATCH(MotorPHSales[[#This Row],[Product]],CLEANED_MotorPH_Products_List_2!$B:$B,0))</f>
        <v>liquid-cooled</v>
      </c>
      <c r="N596" s="44" t="str">
        <f>INDEX(CLEANED_MotorPH_Products_List_2!G:G,MATCH(MotorPHSales[[#This Row],[Product]],CLEANED_MotorPH_Products_List_2!$B:$B,0))</f>
        <v>278cc</v>
      </c>
      <c r="O596" s="44" t="str">
        <f>INDEX(CLEANED_MotorPH_Products_List_2!K:K,MATCH(MotorPHSales[[#This Row],[Product]],CLEANED_MotorPH_Products_List_2!B:B,0))</f>
        <v>Mid-range</v>
      </c>
      <c r="P596" s="45">
        <f>IF(MotorPHSales[[#This Row],[Segment]]="Entry-level",MotorPHSales[[#This Row],[UnitPrice]]/(1+30%),IF(MotorPHSales[[#This Row],[Segment]]="Mid-range",MotorPHSales[[#This Row],[UnitPrice]]/(1+35%),MotorPHSales[[#This Row],[UnitPrice]]/(1+40%)))*MotorPHSales[[#This Row],[Quantity]]</f>
        <v>1474074.0740740739</v>
      </c>
      <c r="Q596" s="44" t="str">
        <f>INDEX(CLEANED_MotorPH_Products_List_2!H:H,MATCH(MotorPHSales[[#This Row],[Product]],CLEANED_MotorPH_Products_List_2!$B:$B,0))</f>
        <v>CVT</v>
      </c>
    </row>
    <row r="597" spans="1:17" ht="15.75" x14ac:dyDescent="0.3">
      <c r="A597" s="43">
        <v>45817</v>
      </c>
      <c r="B597" s="44" t="str">
        <f>TEXT(MotorPHSales[[#This Row],[Date]],"mmmm")</f>
        <v>June</v>
      </c>
      <c r="C597" s="44">
        <f>DAY(MotorPHSales[[#This Row],[Date]])</f>
        <v>9</v>
      </c>
      <c r="D597" s="44">
        <f>YEAR(MotorPHSales[[#This Row],[Date]])</f>
        <v>2025</v>
      </c>
      <c r="E597" s="44" t="s">
        <v>194</v>
      </c>
      <c r="F597" s="44" t="s">
        <v>42</v>
      </c>
      <c r="G597" s="45">
        <v>125000</v>
      </c>
      <c r="H597" s="44">
        <v>8</v>
      </c>
      <c r="I597" s="45">
        <v>1000000</v>
      </c>
      <c r="J597" s="44" t="s">
        <v>195</v>
      </c>
      <c r="K597" s="44" t="str">
        <f>INDEX(CLEANED_MotorPH_Products_List_2!C:C,MATCH(MotorPHSales[[#This Row],[Product]],CLEANED_MotorPH_Products_List_2!$B:$B,0))</f>
        <v>Naked bike</v>
      </c>
      <c r="L597" s="44" t="str">
        <f>INDEX(CLEANED_MotorPH_Products_List_2!E:E,MATCH(MotorPHSales[[#This Row],[Product]],CLEANED_MotorPH_Products_List_2!$B:$B,0))</f>
        <v>Single cylinder</v>
      </c>
      <c r="M597" s="44" t="str">
        <f>INDEX(CLEANED_MotorPH_Products_List_2!F:F,MATCH(MotorPHSales[[#This Row],[Product]],CLEANED_MotorPH_Products_List_2!$B:$B,0))</f>
        <v>liquid-cooled</v>
      </c>
      <c r="N597" s="44" t="str">
        <f>INDEX(CLEANED_MotorPH_Products_List_2!G:G,MATCH(MotorPHSales[[#This Row],[Product]],CLEANED_MotorPH_Products_List_2!$B:$B,0))</f>
        <v>147cc</v>
      </c>
      <c r="O597" s="44" t="str">
        <f>INDEX(CLEANED_MotorPH_Products_List_2!K:K,MATCH(MotorPHSales[[#This Row],[Product]],CLEANED_MotorPH_Products_List_2!B:B,0))</f>
        <v>Entry-level</v>
      </c>
      <c r="P597" s="45">
        <f>IF(MotorPHSales[[#This Row],[Segment]]="Entry-level",MotorPHSales[[#This Row],[UnitPrice]]/(1+30%),IF(MotorPHSales[[#This Row],[Segment]]="Mid-range",MotorPHSales[[#This Row],[UnitPrice]]/(1+35%),MotorPHSales[[#This Row],[UnitPrice]]/(1+40%)))*MotorPHSales[[#This Row],[Quantity]]</f>
        <v>769230.76923076925</v>
      </c>
      <c r="Q597" s="44" t="str">
        <f>INDEX(CLEANED_MotorPH_Products_List_2!H:H,MATCH(MotorPHSales[[#This Row],[Product]],CLEANED_MotorPH_Products_List_2!$B:$B,0))</f>
        <v>6-speed</v>
      </c>
    </row>
    <row r="598" spans="1:17" ht="15.75" x14ac:dyDescent="0.3">
      <c r="A598" s="43">
        <v>45858</v>
      </c>
      <c r="B598" s="44" t="str">
        <f>TEXT(MotorPHSales[[#This Row],[Date]],"mmmm")</f>
        <v>July</v>
      </c>
      <c r="C598" s="44">
        <f>DAY(MotorPHSales[[#This Row],[Date]])</f>
        <v>20</v>
      </c>
      <c r="D598" s="44">
        <f>YEAR(MotorPHSales[[#This Row],[Date]])</f>
        <v>2025</v>
      </c>
      <c r="E598" s="44" t="s">
        <v>196</v>
      </c>
      <c r="F598" s="44" t="s">
        <v>12</v>
      </c>
      <c r="G598" s="45">
        <v>119900</v>
      </c>
      <c r="H598" s="44">
        <v>37</v>
      </c>
      <c r="I598" s="45">
        <v>4436300</v>
      </c>
      <c r="J598" s="44" t="s">
        <v>198</v>
      </c>
      <c r="K598" s="44" t="str">
        <f>INDEX(CLEANED_MotorPH_Products_List_2!C:C,MATCH(MotorPHSales[[#This Row],[Product]],CLEANED_MotorPH_Products_List_2!$B:$B,0))</f>
        <v>Underbone</v>
      </c>
      <c r="L598" s="44" t="str">
        <f>INDEX(CLEANED_MotorPH_Products_List_2!E:E,MATCH(MotorPHSales[[#This Row],[Product]],CLEANED_MotorPH_Products_List_2!$B:$B,0))</f>
        <v>Single cylinder</v>
      </c>
      <c r="M598" s="44" t="str">
        <f>INDEX(CLEANED_MotorPH_Products_List_2!F:F,MATCH(MotorPHSales[[#This Row],[Product]],CLEANED_MotorPH_Products_List_2!$B:$B,0))</f>
        <v>liquid-cooled</v>
      </c>
      <c r="N598" s="44" t="str">
        <f>INDEX(CLEANED_MotorPH_Products_List_2!G:G,MATCH(MotorPHSales[[#This Row],[Product]],CLEANED_MotorPH_Products_List_2!$B:$B,0))</f>
        <v>150cc</v>
      </c>
      <c r="O598" s="44" t="str">
        <f>INDEX(CLEANED_MotorPH_Products_List_2!K:K,MATCH(MotorPHSales[[#This Row],[Product]],CLEANED_MotorPH_Products_List_2!B:B,0))</f>
        <v>Entry-level</v>
      </c>
      <c r="P598" s="45">
        <f>IF(MotorPHSales[[#This Row],[Segment]]="Entry-level",MotorPHSales[[#This Row],[UnitPrice]]/(1+30%),IF(MotorPHSales[[#This Row],[Segment]]="Mid-range",MotorPHSales[[#This Row],[UnitPrice]]/(1+35%),MotorPHSales[[#This Row],[UnitPrice]]/(1+40%)))*MotorPHSales[[#This Row],[Quantity]]</f>
        <v>3412538.4615384615</v>
      </c>
      <c r="Q598" s="44" t="str">
        <f>INDEX(CLEANED_MotorPH_Products_List_2!H:H,MATCH(MotorPHSales[[#This Row],[Product]],CLEANED_MotorPH_Products_List_2!$B:$B,0))</f>
        <v>6-speed</v>
      </c>
    </row>
    <row r="599" spans="1:17" ht="15.75" x14ac:dyDescent="0.3">
      <c r="A599" s="43">
        <v>45835</v>
      </c>
      <c r="B599" s="44" t="str">
        <f>TEXT(MotorPHSales[[#This Row],[Date]],"mmmm")</f>
        <v>June</v>
      </c>
      <c r="C599" s="44">
        <f>DAY(MotorPHSales[[#This Row],[Date]])</f>
        <v>27</v>
      </c>
      <c r="D599" s="44">
        <f>YEAR(MotorPHSales[[#This Row],[Date]])</f>
        <v>2025</v>
      </c>
      <c r="E599" s="44" t="s">
        <v>194</v>
      </c>
      <c r="F599" s="44" t="s">
        <v>86</v>
      </c>
      <c r="G599" s="45">
        <v>650000</v>
      </c>
      <c r="H599" s="44">
        <v>8</v>
      </c>
      <c r="I599" s="45">
        <v>5200000</v>
      </c>
      <c r="J599" s="44" t="s">
        <v>198</v>
      </c>
      <c r="K599" s="44" t="str">
        <f>INDEX(CLEANED_MotorPH_Products_List_2!C:C,MATCH(MotorPHSales[[#This Row],[Product]],CLEANED_MotorPH_Products_List_2!$B:$B,0))</f>
        <v>Cruiser</v>
      </c>
      <c r="L599" s="44" t="str">
        <f>INDEX(CLEANED_MotorPH_Products_List_2!E:E,MATCH(MotorPHSales[[#This Row],[Product]],CLEANED_MotorPH_Products_List_2!$B:$B,0))</f>
        <v>Parallel-twin</v>
      </c>
      <c r="M599" s="44" t="str">
        <f>INDEX(CLEANED_MotorPH_Products_List_2!F:F,MATCH(MotorPHSales[[#This Row],[Product]],CLEANED_MotorPH_Products_List_2!$B:$B,0))</f>
        <v>liquid-cooled</v>
      </c>
      <c r="N599" s="44" t="str">
        <f>INDEX(CLEANED_MotorPH_Products_List_2!G:G,MATCH(MotorPHSales[[#This Row],[Product]],CLEANED_MotorPH_Products_List_2!$B:$B,0))</f>
        <v>1084cc</v>
      </c>
      <c r="O599" s="44" t="str">
        <f>INDEX(CLEANED_MotorPH_Products_List_2!K:K,MATCH(MotorPHSales[[#This Row],[Product]],CLEANED_MotorPH_Products_List_2!B:B,0))</f>
        <v>Premium</v>
      </c>
      <c r="P599" s="45">
        <f>IF(MotorPHSales[[#This Row],[Segment]]="Entry-level",MotorPHSales[[#This Row],[UnitPrice]]/(1+30%),IF(MotorPHSales[[#This Row],[Segment]]="Mid-range",MotorPHSales[[#This Row],[UnitPrice]]/(1+35%),MotorPHSales[[#This Row],[UnitPrice]]/(1+40%)))*MotorPHSales[[#This Row],[Quantity]]</f>
        <v>3714285.7142857146</v>
      </c>
      <c r="Q599" s="44" t="str">
        <f>INDEX(CLEANED_MotorPH_Products_List_2!H:H,MATCH(MotorPHSales[[#This Row],[Product]],CLEANED_MotorPH_Products_List_2!$B:$B,0))</f>
        <v>6-speed</v>
      </c>
    </row>
    <row r="600" spans="1:17" ht="15.75" x14ac:dyDescent="0.3">
      <c r="A600" s="43">
        <v>45874</v>
      </c>
      <c r="B600" s="44" t="str">
        <f>TEXT(MotorPHSales[[#This Row],[Date]],"mmmm")</f>
        <v>August</v>
      </c>
      <c r="C600" s="44">
        <f>DAY(MotorPHSales[[#This Row],[Date]])</f>
        <v>5</v>
      </c>
      <c r="D600" s="44">
        <f>YEAR(MotorPHSales[[#This Row],[Date]])</f>
        <v>2025</v>
      </c>
      <c r="E600" s="44" t="s">
        <v>194</v>
      </c>
      <c r="F600" s="44" t="s">
        <v>8</v>
      </c>
      <c r="G600" s="45">
        <v>534000</v>
      </c>
      <c r="H600" s="44">
        <v>12</v>
      </c>
      <c r="I600" s="45">
        <v>2136000</v>
      </c>
      <c r="J600" s="44" t="s">
        <v>195</v>
      </c>
      <c r="K600" s="44" t="str">
        <f>INDEX(CLEANED_MotorPH_Products_List_2!C:C,MATCH(MotorPHSales[[#This Row],[Product]],CLEANED_MotorPH_Products_List_2!$B:$B,0))</f>
        <v>Naked bike</v>
      </c>
      <c r="L600" s="44" t="str">
        <f>INDEX(CLEANED_MotorPH_Products_List_2!E:E,MATCH(MotorPHSales[[#This Row],[Product]],CLEANED_MotorPH_Products_List_2!$B:$B,0))</f>
        <v>Single cylinder</v>
      </c>
      <c r="M600" s="44" t="str">
        <f>INDEX(CLEANED_MotorPH_Products_List_2!F:F,MATCH(MotorPHSales[[#This Row],[Product]],CLEANED_MotorPH_Products_List_2!$B:$B,0))</f>
        <v>liquid-cooled</v>
      </c>
      <c r="N600" s="44" t="str">
        <f>INDEX(CLEANED_MotorPH_Products_List_2!G:G,MATCH(MotorPHSales[[#This Row],[Product]],CLEANED_MotorPH_Products_List_2!$B:$B,0))</f>
        <v>155cc</v>
      </c>
      <c r="O600" s="44" t="str">
        <f>INDEX(CLEANED_MotorPH_Products_List_2!K:K,MATCH(MotorPHSales[[#This Row],[Product]],CLEANED_MotorPH_Products_List_2!B:B,0))</f>
        <v>Entry-level</v>
      </c>
      <c r="P600" s="45">
        <f>IF(MotorPHSales[[#This Row],[Segment]]="Entry-level",MotorPHSales[[#This Row],[UnitPrice]]/(1+30%),IF(MotorPHSales[[#This Row],[Segment]]="Mid-range",MotorPHSales[[#This Row],[UnitPrice]]/(1+35%),MotorPHSales[[#This Row],[UnitPrice]]/(1+40%)))*MotorPHSales[[#This Row],[Quantity]]</f>
        <v>4929230.769230769</v>
      </c>
      <c r="Q600" s="44" t="str">
        <f>INDEX(CLEANED_MotorPH_Products_List_2!H:H,MATCH(MotorPHSales[[#This Row],[Product]],CLEANED_MotorPH_Products_List_2!$B:$B,0))</f>
        <v>6-speed</v>
      </c>
    </row>
    <row r="601" spans="1:17" ht="15.75" x14ac:dyDescent="0.3">
      <c r="A601" s="43">
        <v>45813</v>
      </c>
      <c r="B601" s="44" t="str">
        <f>TEXT(MotorPHSales[[#This Row],[Date]],"mmmm")</f>
        <v>June</v>
      </c>
      <c r="C601" s="44">
        <f>DAY(MotorPHSales[[#This Row],[Date]])</f>
        <v>5</v>
      </c>
      <c r="D601" s="44">
        <f>YEAR(MotorPHSales[[#This Row],[Date]])</f>
        <v>2025</v>
      </c>
      <c r="E601" s="44" t="s">
        <v>196</v>
      </c>
      <c r="F601" s="44" t="s">
        <v>55</v>
      </c>
      <c r="G601" s="45">
        <v>80900</v>
      </c>
      <c r="H601" s="44">
        <v>14</v>
      </c>
      <c r="I601" s="45">
        <v>1132600</v>
      </c>
      <c r="J601" s="44" t="s">
        <v>198</v>
      </c>
      <c r="K601" s="44" t="str">
        <f>INDEX(CLEANED_MotorPH_Products_List_2!C:C,MATCH(MotorPHSales[[#This Row],[Product]],CLEANED_MotorPH_Products_List_2!$B:$B,0))</f>
        <v>Scooter</v>
      </c>
      <c r="L601" s="44" t="str">
        <f>INDEX(CLEANED_MotorPH_Products_List_2!E:E,MATCH(MotorPHSales[[#This Row],[Product]],CLEANED_MotorPH_Products_List_2!$B:$B,0))</f>
        <v>Single cylinder</v>
      </c>
      <c r="M601" s="44" t="str">
        <f>INDEX(CLEANED_MotorPH_Products_List_2!F:F,MATCH(MotorPHSales[[#This Row],[Product]],CLEANED_MotorPH_Products_List_2!$B:$B,0))</f>
        <v>liquid-cooled</v>
      </c>
      <c r="N601" s="44" t="str">
        <f>INDEX(CLEANED_MotorPH_Products_List_2!G:G,MATCH(MotorPHSales[[#This Row],[Product]],CLEANED_MotorPH_Products_List_2!$B:$B,0))</f>
        <v>125cc</v>
      </c>
      <c r="O601" s="44" t="str">
        <f>INDEX(CLEANED_MotorPH_Products_List_2!K:K,MATCH(MotorPHSales[[#This Row],[Product]],CLEANED_MotorPH_Products_List_2!B:B,0))</f>
        <v>Entry-level</v>
      </c>
      <c r="P601" s="45">
        <f>IF(MotorPHSales[[#This Row],[Segment]]="Entry-level",MotorPHSales[[#This Row],[UnitPrice]]/(1+30%),IF(MotorPHSales[[#This Row],[Segment]]="Mid-range",MotorPHSales[[#This Row],[UnitPrice]]/(1+35%),MotorPHSales[[#This Row],[UnitPrice]]/(1+40%)))*MotorPHSales[[#This Row],[Quantity]]</f>
        <v>871230.76923076913</v>
      </c>
      <c r="Q601" s="44" t="str">
        <f>INDEX(CLEANED_MotorPH_Products_List_2!H:H,MATCH(MotorPHSales[[#This Row],[Product]],CLEANED_MotorPH_Products_List_2!$B:$B,0))</f>
        <v>CVT</v>
      </c>
    </row>
    <row r="602" spans="1:17" ht="15.75" x14ac:dyDescent="0.3">
      <c r="A602" s="43">
        <v>45837</v>
      </c>
      <c r="B602" s="44" t="str">
        <f>TEXT(MotorPHSales[[#This Row],[Date]],"mmmm")</f>
        <v>June</v>
      </c>
      <c r="C602" s="44">
        <f>DAY(MotorPHSales[[#This Row],[Date]])</f>
        <v>29</v>
      </c>
      <c r="D602" s="44">
        <f>YEAR(MotorPHSales[[#This Row],[Date]])</f>
        <v>2025</v>
      </c>
      <c r="E602" s="44" t="s">
        <v>196</v>
      </c>
      <c r="F602" s="44" t="s">
        <v>18</v>
      </c>
      <c r="G602" s="45">
        <v>328000</v>
      </c>
      <c r="H602" s="44">
        <v>12</v>
      </c>
      <c r="I602" s="45">
        <v>3936000</v>
      </c>
      <c r="J602" s="44" t="s">
        <v>195</v>
      </c>
      <c r="K602" s="44" t="str">
        <f>INDEX(CLEANED_MotorPH_Products_List_2!C:C,MATCH(MotorPHSales[[#This Row],[Product]],CLEANED_MotorPH_Products_List_2!$B:$B,0))</f>
        <v>Cafe racer</v>
      </c>
      <c r="L602" s="44" t="str">
        <f>INDEX(CLEANED_MotorPH_Products_List_2!E:E,MATCH(MotorPHSales[[#This Row],[Product]],CLEANED_MotorPH_Products_List_2!$B:$B,0))</f>
        <v>Twin cylinder</v>
      </c>
      <c r="M602" s="44" t="str">
        <f>INDEX(CLEANED_MotorPH_Products_List_2!F:F,MATCH(MotorPHSales[[#This Row],[Product]],CLEANED_MotorPH_Products_List_2!$B:$B,0))</f>
        <v>air-cooled</v>
      </c>
      <c r="N602" s="44" t="str">
        <f>INDEX(CLEANED_MotorPH_Products_List_2!G:G,MATCH(MotorPHSales[[#This Row],[Product]],CLEANED_MotorPH_Products_List_2!$B:$B,0))</f>
        <v>471cc</v>
      </c>
      <c r="O602" s="44" t="str">
        <f>INDEX(CLEANED_MotorPH_Products_List_2!K:K,MATCH(MotorPHSales[[#This Row],[Product]],CLEANED_MotorPH_Products_List_2!B:B,0))</f>
        <v>Mid-range</v>
      </c>
      <c r="P602" s="45">
        <f>IF(MotorPHSales[[#This Row],[Segment]]="Entry-level",MotorPHSales[[#This Row],[UnitPrice]]/(1+30%),IF(MotorPHSales[[#This Row],[Segment]]="Mid-range",MotorPHSales[[#This Row],[UnitPrice]]/(1+35%),MotorPHSales[[#This Row],[UnitPrice]]/(1+40%)))*MotorPHSales[[#This Row],[Quantity]]</f>
        <v>2915555.5555555555</v>
      </c>
      <c r="Q602" s="44" t="str">
        <f>INDEX(CLEANED_MotorPH_Products_List_2!H:H,MATCH(MotorPHSales[[#This Row],[Product]],CLEANED_MotorPH_Products_List_2!$B:$B,0))</f>
        <v>6-speed</v>
      </c>
    </row>
    <row r="603" spans="1:17" ht="15.75" x14ac:dyDescent="0.3">
      <c r="A603" s="43">
        <v>45845</v>
      </c>
      <c r="B603" s="44" t="str">
        <f>TEXT(MotorPHSales[[#This Row],[Date]],"mmmm")</f>
        <v>July</v>
      </c>
      <c r="C603" s="44">
        <f>DAY(MotorPHSales[[#This Row],[Date]])</f>
        <v>7</v>
      </c>
      <c r="D603" s="44">
        <f>YEAR(MotorPHSales[[#This Row],[Date]])</f>
        <v>2025</v>
      </c>
      <c r="E603" s="44" t="s">
        <v>196</v>
      </c>
      <c r="F603" s="44" t="s">
        <v>76</v>
      </c>
      <c r="G603" s="45">
        <v>369000</v>
      </c>
      <c r="H603" s="44">
        <v>49</v>
      </c>
      <c r="I603" s="45">
        <v>18081000</v>
      </c>
      <c r="J603" s="44" t="s">
        <v>198</v>
      </c>
      <c r="K603" s="44" t="str">
        <f>INDEX(CLEANED_MotorPH_Products_List_2!C:C,MATCH(MotorPHSales[[#This Row],[Product]],CLEANED_MotorPH_Products_List_2!$B:$B,0))</f>
        <v>Adventure</v>
      </c>
      <c r="L603" s="44" t="str">
        <f>INDEX(CLEANED_MotorPH_Products_List_2!E:E,MATCH(MotorPHSales[[#This Row],[Product]],CLEANED_MotorPH_Products_List_2!$B:$B,0))</f>
        <v>Parallel-twin</v>
      </c>
      <c r="M603" s="44" t="str">
        <f>INDEX(CLEANED_MotorPH_Products_List_2!F:F,MATCH(MotorPHSales[[#This Row],[Product]],CLEANED_MotorPH_Products_List_2!$B:$B,0))</f>
        <v>liquid-cooled</v>
      </c>
      <c r="N603" s="44" t="str">
        <f>INDEX(CLEANED_MotorPH_Products_List_2!G:G,MATCH(MotorPHSales[[#This Row],[Product]],CLEANED_MotorPH_Products_List_2!$B:$B,0))</f>
        <v>649cc</v>
      </c>
      <c r="O603" s="44" t="str">
        <f>INDEX(CLEANED_MotorPH_Products_List_2!K:K,MATCH(MotorPHSales[[#This Row],[Product]],CLEANED_MotorPH_Products_List_2!B:B,0))</f>
        <v>Premium</v>
      </c>
      <c r="P603" s="45">
        <f>IF(MotorPHSales[[#This Row],[Segment]]="Entry-level",MotorPHSales[[#This Row],[UnitPrice]]/(1+30%),IF(MotorPHSales[[#This Row],[Segment]]="Mid-range",MotorPHSales[[#This Row],[UnitPrice]]/(1+35%),MotorPHSales[[#This Row],[UnitPrice]]/(1+40%)))*MotorPHSales[[#This Row],[Quantity]]</f>
        <v>12915000</v>
      </c>
      <c r="Q603" s="44" t="str">
        <f>INDEX(CLEANED_MotorPH_Products_List_2!H:H,MATCH(MotorPHSales[[#This Row],[Product]],CLEANED_MotorPH_Products_List_2!$B:$B,0))</f>
        <v>6-speed</v>
      </c>
    </row>
    <row r="604" spans="1:17" ht="15.75" x14ac:dyDescent="0.3">
      <c r="A604" s="43">
        <v>45846</v>
      </c>
      <c r="B604" s="44" t="str">
        <f>TEXT(MotorPHSales[[#This Row],[Date]],"mmmm")</f>
        <v>July</v>
      </c>
      <c r="C604" s="44">
        <f>DAY(MotorPHSales[[#This Row],[Date]])</f>
        <v>8</v>
      </c>
      <c r="D604" s="44">
        <f>YEAR(MotorPHSales[[#This Row],[Date]])</f>
        <v>2025</v>
      </c>
      <c r="E604" s="44" t="s">
        <v>196</v>
      </c>
      <c r="F604" s="44" t="s">
        <v>59</v>
      </c>
      <c r="G604" s="45">
        <v>67900</v>
      </c>
      <c r="H604" s="44">
        <v>4</v>
      </c>
      <c r="I604" s="45">
        <v>271600</v>
      </c>
      <c r="J604" s="44" t="s">
        <v>198</v>
      </c>
      <c r="K604" s="44" t="str">
        <f>INDEX(CLEANED_MotorPH_Products_List_2!C:C,MATCH(MotorPHSales[[#This Row],[Product]],CLEANED_MotorPH_Products_List_2!$B:$B,0))</f>
        <v>Commuter</v>
      </c>
      <c r="L604" s="44" t="str">
        <f>INDEX(CLEANED_MotorPH_Products_List_2!E:E,MATCH(MotorPHSales[[#This Row],[Product]],CLEANED_MotorPH_Products_List_2!$B:$B,0))</f>
        <v>Single cylinder</v>
      </c>
      <c r="M604" s="44" t="str">
        <f>INDEX(CLEANED_MotorPH_Products_List_2!F:F,MATCH(MotorPHSales[[#This Row],[Product]],CLEANED_MotorPH_Products_List_2!$B:$B,0))</f>
        <v>air-cooled</v>
      </c>
      <c r="N604" s="44" t="str">
        <f>INDEX(CLEANED_MotorPH_Products_List_2!G:G,MATCH(MotorPHSales[[#This Row],[Product]],CLEANED_MotorPH_Products_List_2!$B:$B,0))</f>
        <v>125cc</v>
      </c>
      <c r="O604" s="44" t="str">
        <f>INDEX(CLEANED_MotorPH_Products_List_2!K:K,MATCH(MotorPHSales[[#This Row],[Product]],CLEANED_MotorPH_Products_List_2!B:B,0))</f>
        <v>Entry-level</v>
      </c>
      <c r="P604" s="45">
        <f>IF(MotorPHSales[[#This Row],[Segment]]="Entry-level",MotorPHSales[[#This Row],[UnitPrice]]/(1+30%),IF(MotorPHSales[[#This Row],[Segment]]="Mid-range",MotorPHSales[[#This Row],[UnitPrice]]/(1+35%),MotorPHSales[[#This Row],[UnitPrice]]/(1+40%)))*MotorPHSales[[#This Row],[Quantity]]</f>
        <v>208923.07692307691</v>
      </c>
      <c r="Q604" s="44" t="str">
        <f>INDEX(CLEANED_MotorPH_Products_List_2!H:H,MATCH(MotorPHSales[[#This Row],[Product]],CLEANED_MotorPH_Products_List_2!$B:$B,0))</f>
        <v>4-speed</v>
      </c>
    </row>
    <row r="605" spans="1:17" ht="15.75" x14ac:dyDescent="0.3">
      <c r="A605" s="43">
        <v>45891</v>
      </c>
      <c r="B605" s="44" t="str">
        <f>TEXT(MotorPHSales[[#This Row],[Date]],"mmmm")</f>
        <v>August</v>
      </c>
      <c r="C605" s="44">
        <f>DAY(MotorPHSales[[#This Row],[Date]])</f>
        <v>22</v>
      </c>
      <c r="D605" s="44">
        <f>YEAR(MotorPHSales[[#This Row],[Date]])</f>
        <v>2025</v>
      </c>
      <c r="E605" s="44" t="s">
        <v>196</v>
      </c>
      <c r="F605" s="44" t="s">
        <v>16</v>
      </c>
      <c r="G605" s="45">
        <v>165000</v>
      </c>
      <c r="H605" s="44">
        <v>47</v>
      </c>
      <c r="I605" s="45">
        <v>7755000</v>
      </c>
      <c r="J605" s="44" t="s">
        <v>197</v>
      </c>
      <c r="K605" s="44" t="str">
        <f>INDEX(CLEANED_MotorPH_Products_List_2!C:C,MATCH(MotorPHSales[[#This Row],[Product]],CLEANED_MotorPH_Products_List_2!$B:$B,0))</f>
        <v>Naked bike</v>
      </c>
      <c r="L605" s="44" t="str">
        <f>INDEX(CLEANED_MotorPH_Products_List_2!E:E,MATCH(MotorPHSales[[#This Row],[Product]],CLEANED_MotorPH_Products_List_2!$B:$B,0))</f>
        <v>Single cylinder</v>
      </c>
      <c r="M605" s="44" t="str">
        <f>INDEX(CLEANED_MotorPH_Products_List_2!F:F,MATCH(MotorPHSales[[#This Row],[Product]],CLEANED_MotorPH_Products_List_2!$B:$B,0))</f>
        <v>liquid-cooled</v>
      </c>
      <c r="N605" s="44" t="str">
        <f>INDEX(CLEANED_MotorPH_Products_List_2!G:G,MATCH(MotorPHSales[[#This Row],[Product]],CLEANED_MotorPH_Products_List_2!$B:$B,0))</f>
        <v>292cc</v>
      </c>
      <c r="O605" s="44" t="str">
        <f>INDEX(CLEANED_MotorPH_Products_List_2!K:K,MATCH(MotorPHSales[[#This Row],[Product]],CLEANED_MotorPH_Products_List_2!B:B,0))</f>
        <v>Mid-range</v>
      </c>
      <c r="P605" s="45">
        <f>IF(MotorPHSales[[#This Row],[Segment]]="Entry-level",MotorPHSales[[#This Row],[UnitPrice]]/(1+30%),IF(MotorPHSales[[#This Row],[Segment]]="Mid-range",MotorPHSales[[#This Row],[UnitPrice]]/(1+35%),MotorPHSales[[#This Row],[UnitPrice]]/(1+40%)))*MotorPHSales[[#This Row],[Quantity]]</f>
        <v>5744444.444444444</v>
      </c>
      <c r="Q605" s="44" t="str">
        <f>INDEX(CLEANED_MotorPH_Products_List_2!H:H,MATCH(MotorPHSales[[#This Row],[Product]],CLEANED_MotorPH_Products_List_2!$B:$B,0))</f>
        <v>6-speed</v>
      </c>
    </row>
    <row r="606" spans="1:17" ht="15.75" x14ac:dyDescent="0.3">
      <c r="A606" s="43">
        <v>45816</v>
      </c>
      <c r="B606" s="44" t="str">
        <f>TEXT(MotorPHSales[[#This Row],[Date]],"mmmm")</f>
        <v>June</v>
      </c>
      <c r="C606" s="44">
        <f>DAY(MotorPHSales[[#This Row],[Date]])</f>
        <v>8</v>
      </c>
      <c r="D606" s="44">
        <f>YEAR(MotorPHSales[[#This Row],[Date]])</f>
        <v>2025</v>
      </c>
      <c r="E606" s="44" t="s">
        <v>196</v>
      </c>
      <c r="F606" s="44" t="s">
        <v>90</v>
      </c>
      <c r="G606" s="45">
        <v>165000</v>
      </c>
      <c r="H606" s="44">
        <v>1</v>
      </c>
      <c r="I606" s="45">
        <v>165000</v>
      </c>
      <c r="J606" s="44" t="s">
        <v>197</v>
      </c>
      <c r="K606" s="44" t="str">
        <f>INDEX(CLEANED_MotorPH_Products_List_2!C:C,MATCH(MotorPHSales[[#This Row],[Product]],CLEANED_MotorPH_Products_List_2!$B:$B,0))</f>
        <v>Sport</v>
      </c>
      <c r="L606" s="44" t="str">
        <f>INDEX(CLEANED_MotorPH_Products_List_2!E:E,MATCH(MotorPHSales[[#This Row],[Product]],CLEANED_MotorPH_Products_List_2!$B:$B,0))</f>
        <v>Single cylinder</v>
      </c>
      <c r="M606" s="44" t="str">
        <f>INDEX(CLEANED_MotorPH_Products_List_2!F:F,MATCH(MotorPHSales[[#This Row],[Product]],CLEANED_MotorPH_Products_List_2!$B:$B,0))</f>
        <v>liquid-cooled</v>
      </c>
      <c r="N606" s="44" t="str">
        <f>INDEX(CLEANED_MotorPH_Products_List_2!G:G,MATCH(MotorPHSales[[#This Row],[Product]],CLEANED_MotorPH_Products_List_2!$B:$B,0))</f>
        <v>292cc</v>
      </c>
      <c r="O606" s="44" t="str">
        <f>INDEX(CLEANED_MotorPH_Products_List_2!K:K,MATCH(MotorPHSales[[#This Row],[Product]],CLEANED_MotorPH_Products_List_2!B:B,0))</f>
        <v>Mid-range</v>
      </c>
      <c r="P606" s="45">
        <f>IF(MotorPHSales[[#This Row],[Segment]]="Entry-level",MotorPHSales[[#This Row],[UnitPrice]]/(1+30%),IF(MotorPHSales[[#This Row],[Segment]]="Mid-range",MotorPHSales[[#This Row],[UnitPrice]]/(1+35%),MotorPHSales[[#This Row],[UnitPrice]]/(1+40%)))*MotorPHSales[[#This Row],[Quantity]]</f>
        <v>122222.22222222222</v>
      </c>
      <c r="Q606" s="44" t="str">
        <f>INDEX(CLEANED_MotorPH_Products_List_2!H:H,MATCH(MotorPHSales[[#This Row],[Product]],CLEANED_MotorPH_Products_List_2!$B:$B,0))</f>
        <v>6-speed</v>
      </c>
    </row>
    <row r="607" spans="1:17" ht="15.75" x14ac:dyDescent="0.3">
      <c r="A607" s="43">
        <v>45873</v>
      </c>
      <c r="B607" s="44" t="str">
        <f>TEXT(MotorPHSales[[#This Row],[Date]],"mmmm")</f>
        <v>August</v>
      </c>
      <c r="C607" s="44">
        <f>DAY(MotorPHSales[[#This Row],[Date]])</f>
        <v>4</v>
      </c>
      <c r="D607" s="44">
        <f>YEAR(MotorPHSales[[#This Row],[Date]])</f>
        <v>2025</v>
      </c>
      <c r="E607" s="44" t="s">
        <v>196</v>
      </c>
      <c r="F607" s="44" t="s">
        <v>74</v>
      </c>
      <c r="G607" s="45">
        <v>349000</v>
      </c>
      <c r="H607" s="44">
        <v>5</v>
      </c>
      <c r="I607" s="45">
        <v>1745000</v>
      </c>
      <c r="J607" s="44" t="s">
        <v>198</v>
      </c>
      <c r="K607" s="44" t="str">
        <f>INDEX(CLEANED_MotorPH_Products_List_2!C:C,MATCH(MotorPHSales[[#This Row],[Product]],CLEANED_MotorPH_Products_List_2!$B:$B,0))</f>
        <v>Cruiser</v>
      </c>
      <c r="L607" s="44" t="str">
        <f>INDEX(CLEANED_MotorPH_Products_List_2!E:E,MATCH(MotorPHSales[[#This Row],[Product]],CLEANED_MotorPH_Products_List_2!$B:$B,0))</f>
        <v>Parallel-twin</v>
      </c>
      <c r="M607" s="44" t="str">
        <f>INDEX(CLEANED_MotorPH_Products_List_2!F:F,MATCH(MotorPHSales[[#This Row],[Product]],CLEANED_MotorPH_Products_List_2!$B:$B,0))</f>
        <v>liquid-cooled</v>
      </c>
      <c r="N607" s="44" t="str">
        <f>INDEX(CLEANED_MotorPH_Products_List_2!G:G,MATCH(MotorPHSales[[#This Row],[Product]],CLEANED_MotorPH_Products_List_2!$B:$B,0))</f>
        <v>500cc</v>
      </c>
      <c r="O607" s="44" t="str">
        <f>INDEX(CLEANED_MotorPH_Products_List_2!K:K,MATCH(MotorPHSales[[#This Row],[Product]],CLEANED_MotorPH_Products_List_2!B:B,0))</f>
        <v>Mid-range</v>
      </c>
      <c r="P607" s="45">
        <f>IF(MotorPHSales[[#This Row],[Segment]]="Entry-level",MotorPHSales[[#This Row],[UnitPrice]]/(1+30%),IF(MotorPHSales[[#This Row],[Segment]]="Mid-range",MotorPHSales[[#This Row],[UnitPrice]]/(1+35%),MotorPHSales[[#This Row],[UnitPrice]]/(1+40%)))*MotorPHSales[[#This Row],[Quantity]]</f>
        <v>1292592.5925925926</v>
      </c>
      <c r="Q607" s="44" t="str">
        <f>INDEX(CLEANED_MotorPH_Products_List_2!H:H,MATCH(MotorPHSales[[#This Row],[Product]],CLEANED_MotorPH_Products_List_2!$B:$B,0))</f>
        <v>6-speed</v>
      </c>
    </row>
    <row r="608" spans="1:17" ht="15.75" x14ac:dyDescent="0.3">
      <c r="A608" s="43">
        <v>45894</v>
      </c>
      <c r="B608" s="44" t="str">
        <f>TEXT(MotorPHSales[[#This Row],[Date]],"mmmm")</f>
        <v>August</v>
      </c>
      <c r="C608" s="44">
        <f>DAY(MotorPHSales[[#This Row],[Date]])</f>
        <v>25</v>
      </c>
      <c r="D608" s="44">
        <f>YEAR(MotorPHSales[[#This Row],[Date]])</f>
        <v>2025</v>
      </c>
      <c r="E608" s="44" t="s">
        <v>196</v>
      </c>
      <c r="F608" s="44" t="s">
        <v>42</v>
      </c>
      <c r="G608" s="45">
        <v>125000</v>
      </c>
      <c r="H608" s="44">
        <v>19</v>
      </c>
      <c r="I608" s="45">
        <v>2375000</v>
      </c>
      <c r="J608" s="44" t="s">
        <v>198</v>
      </c>
      <c r="K608" s="44" t="str">
        <f>INDEX(CLEANED_MotorPH_Products_List_2!C:C,MATCH(MotorPHSales[[#This Row],[Product]],CLEANED_MotorPH_Products_List_2!$B:$B,0))</f>
        <v>Naked bike</v>
      </c>
      <c r="L608" s="44" t="str">
        <f>INDEX(CLEANED_MotorPH_Products_List_2!E:E,MATCH(MotorPHSales[[#This Row],[Product]],CLEANED_MotorPH_Products_List_2!$B:$B,0))</f>
        <v>Single cylinder</v>
      </c>
      <c r="M608" s="44" t="str">
        <f>INDEX(CLEANED_MotorPH_Products_List_2!F:F,MATCH(MotorPHSales[[#This Row],[Product]],CLEANED_MotorPH_Products_List_2!$B:$B,0))</f>
        <v>liquid-cooled</v>
      </c>
      <c r="N608" s="44" t="str">
        <f>INDEX(CLEANED_MotorPH_Products_List_2!G:G,MATCH(MotorPHSales[[#This Row],[Product]],CLEANED_MotorPH_Products_List_2!$B:$B,0))</f>
        <v>147cc</v>
      </c>
      <c r="O608" s="44" t="str">
        <f>INDEX(CLEANED_MotorPH_Products_List_2!K:K,MATCH(MotorPHSales[[#This Row],[Product]],CLEANED_MotorPH_Products_List_2!B:B,0))</f>
        <v>Entry-level</v>
      </c>
      <c r="P608" s="45">
        <f>IF(MotorPHSales[[#This Row],[Segment]]="Entry-level",MotorPHSales[[#This Row],[UnitPrice]]/(1+30%),IF(MotorPHSales[[#This Row],[Segment]]="Mid-range",MotorPHSales[[#This Row],[UnitPrice]]/(1+35%),MotorPHSales[[#This Row],[UnitPrice]]/(1+40%)))*MotorPHSales[[#This Row],[Quantity]]</f>
        <v>1826923.076923077</v>
      </c>
      <c r="Q608" s="44" t="str">
        <f>INDEX(CLEANED_MotorPH_Products_List_2!H:H,MATCH(MotorPHSales[[#This Row],[Product]],CLEANED_MotorPH_Products_List_2!$B:$B,0))</f>
        <v>6-speed</v>
      </c>
    </row>
    <row r="609" spans="1:17" ht="15.75" x14ac:dyDescent="0.3">
      <c r="A609" s="43">
        <v>45825</v>
      </c>
      <c r="B609" s="44" t="str">
        <f>TEXT(MotorPHSales[[#This Row],[Date]],"mmmm")</f>
        <v>June</v>
      </c>
      <c r="C609" s="44">
        <f>DAY(MotorPHSales[[#This Row],[Date]])</f>
        <v>17</v>
      </c>
      <c r="D609" s="44">
        <f>YEAR(MotorPHSales[[#This Row],[Date]])</f>
        <v>2025</v>
      </c>
      <c r="E609" s="44" t="s">
        <v>194</v>
      </c>
      <c r="F609" s="44" t="s">
        <v>44</v>
      </c>
      <c r="G609" s="45">
        <v>331000</v>
      </c>
      <c r="H609" s="44">
        <v>46</v>
      </c>
      <c r="I609" s="45">
        <v>15226000</v>
      </c>
      <c r="J609" s="44" t="s">
        <v>197</v>
      </c>
      <c r="K609" s="44" t="str">
        <f>INDEX(CLEANED_MotorPH_Products_List_2!C:C,MATCH(MotorPHSales[[#This Row],[Product]],CLEANED_MotorPH_Products_List_2!$B:$B,0))</f>
        <v>Naked bike</v>
      </c>
      <c r="L609" s="44" t="str">
        <f>INDEX(CLEANED_MotorPH_Products_List_2!E:E,MATCH(MotorPHSales[[#This Row],[Product]],CLEANED_MotorPH_Products_List_2!$B:$B,0))</f>
        <v>Parallel-twin</v>
      </c>
      <c r="M609" s="44" t="str">
        <f>INDEX(CLEANED_MotorPH_Products_List_2!F:F,MATCH(MotorPHSales[[#This Row],[Product]],CLEANED_MotorPH_Products_List_2!$B:$B,0))</f>
        <v>liquid-cooled</v>
      </c>
      <c r="N609" s="44" t="str">
        <f>INDEX(CLEANED_MotorPH_Products_List_2!G:G,MATCH(MotorPHSales[[#This Row],[Product]],CLEANED_MotorPH_Products_List_2!$B:$B,0))</f>
        <v>399cc</v>
      </c>
      <c r="O609" s="44" t="str">
        <f>INDEX(CLEANED_MotorPH_Products_List_2!K:K,MATCH(MotorPHSales[[#This Row],[Product]],CLEANED_MotorPH_Products_List_2!B:B,0))</f>
        <v>Mid-range</v>
      </c>
      <c r="P609" s="45">
        <f>IF(MotorPHSales[[#This Row],[Segment]]="Entry-level",MotorPHSales[[#This Row],[UnitPrice]]/(1+30%),IF(MotorPHSales[[#This Row],[Segment]]="Mid-range",MotorPHSales[[#This Row],[UnitPrice]]/(1+35%),MotorPHSales[[#This Row],[UnitPrice]]/(1+40%)))*MotorPHSales[[#This Row],[Quantity]]</f>
        <v>11278518.518518519</v>
      </c>
      <c r="Q609" s="44" t="str">
        <f>INDEX(CLEANED_MotorPH_Products_List_2!H:H,MATCH(MotorPHSales[[#This Row],[Product]],CLEANED_MotorPH_Products_List_2!$B:$B,0))</f>
        <v>6-speed</v>
      </c>
    </row>
    <row r="610" spans="1:17" ht="15.75" x14ac:dyDescent="0.3">
      <c r="A610" s="43">
        <v>45879</v>
      </c>
      <c r="B610" s="44" t="str">
        <f>TEXT(MotorPHSales[[#This Row],[Date]],"mmmm")</f>
        <v>August</v>
      </c>
      <c r="C610" s="44">
        <f>DAY(MotorPHSales[[#This Row],[Date]])</f>
        <v>10</v>
      </c>
      <c r="D610" s="44">
        <f>YEAR(MotorPHSales[[#This Row],[Date]])</f>
        <v>2025</v>
      </c>
      <c r="E610" s="44" t="s">
        <v>194</v>
      </c>
      <c r="F610" s="44" t="s">
        <v>14</v>
      </c>
      <c r="G610" s="45">
        <v>250000</v>
      </c>
      <c r="H610" s="44">
        <v>44</v>
      </c>
      <c r="I610" s="45">
        <v>11000000</v>
      </c>
      <c r="J610" s="44" t="s">
        <v>195</v>
      </c>
      <c r="K610" s="44" t="str">
        <f>INDEX(CLEANED_MotorPH_Products_List_2!C:C,MATCH(MotorPHSales[[#This Row],[Product]],CLEANED_MotorPH_Products_List_2!$B:$B,0))</f>
        <v>Classic</v>
      </c>
      <c r="L610" s="44" t="str">
        <f>INDEX(CLEANED_MotorPH_Products_List_2!E:E,MATCH(MotorPHSales[[#This Row],[Product]],CLEANED_MotorPH_Products_List_2!$B:$B,0))</f>
        <v>Single cylinder</v>
      </c>
      <c r="M610" s="44" t="str">
        <f>INDEX(CLEANED_MotorPH_Products_List_2!F:F,MATCH(MotorPHSales[[#This Row],[Product]],CLEANED_MotorPH_Products_List_2!$B:$B,0))</f>
        <v>air-cooled</v>
      </c>
      <c r="N610" s="44" t="str">
        <f>INDEX(CLEANED_MotorPH_Products_List_2!G:G,MATCH(MotorPHSales[[#This Row],[Product]],CLEANED_MotorPH_Products_List_2!$B:$B,0))</f>
        <v>349cc</v>
      </c>
      <c r="O610" s="44" t="str">
        <f>INDEX(CLEANED_MotorPH_Products_List_2!K:K,MATCH(MotorPHSales[[#This Row],[Product]],CLEANED_MotorPH_Products_List_2!B:B,0))</f>
        <v>Mid-range</v>
      </c>
      <c r="P610" s="45">
        <f>IF(MotorPHSales[[#This Row],[Segment]]="Entry-level",MotorPHSales[[#This Row],[UnitPrice]]/(1+30%),IF(MotorPHSales[[#This Row],[Segment]]="Mid-range",MotorPHSales[[#This Row],[UnitPrice]]/(1+35%),MotorPHSales[[#This Row],[UnitPrice]]/(1+40%)))*MotorPHSales[[#This Row],[Quantity]]</f>
        <v>8148148.1481481474</v>
      </c>
      <c r="Q610" s="44" t="str">
        <f>INDEX(CLEANED_MotorPH_Products_List_2!H:H,MATCH(MotorPHSales[[#This Row],[Product]],CLEANED_MotorPH_Products_List_2!$B:$B,0))</f>
        <v>5-speed</v>
      </c>
    </row>
    <row r="611" spans="1:17" ht="15.75" x14ac:dyDescent="0.3">
      <c r="A611" s="43">
        <v>45897</v>
      </c>
      <c r="B611" s="44" t="str">
        <f>TEXT(MotorPHSales[[#This Row],[Date]],"mmmm")</f>
        <v>August</v>
      </c>
      <c r="C611" s="44">
        <f>DAY(MotorPHSales[[#This Row],[Date]])</f>
        <v>28</v>
      </c>
      <c r="D611" s="44">
        <f>YEAR(MotorPHSales[[#This Row],[Date]])</f>
        <v>2025</v>
      </c>
      <c r="E611" s="44" t="s">
        <v>196</v>
      </c>
      <c r="F611" s="44" t="s">
        <v>66</v>
      </c>
      <c r="G611" s="45">
        <v>499000</v>
      </c>
      <c r="H611" s="44">
        <v>13</v>
      </c>
      <c r="I611" s="45">
        <v>6487000</v>
      </c>
      <c r="J611" s="44" t="s">
        <v>198</v>
      </c>
      <c r="K611" s="44" t="str">
        <f>INDEX(CLEANED_MotorPH_Products_List_2!C:C,MATCH(MotorPHSales[[#This Row],[Product]],CLEANED_MotorPH_Products_List_2!$B:$B,0))</f>
        <v>Cruiser</v>
      </c>
      <c r="L611" s="44" t="str">
        <f>INDEX(CLEANED_MotorPH_Products_List_2!E:E,MATCH(MotorPHSales[[#This Row],[Product]],CLEANED_MotorPH_Products_List_2!$B:$B,0))</f>
        <v>V-twin</v>
      </c>
      <c r="M611" s="44" t="str">
        <f>INDEX(CLEANED_MotorPH_Products_List_2!F:F,MATCH(MotorPHSales[[#This Row],[Product]],CLEANED_MotorPH_Products_List_2!$B:$B,0))</f>
        <v>liquid-cooled</v>
      </c>
      <c r="N611" s="44" t="str">
        <f>INDEX(CLEANED_MotorPH_Products_List_2!G:G,MATCH(MotorPHSales[[#This Row],[Product]],CLEANED_MotorPH_Products_List_2!$B:$B,0))</f>
        <v>749cc</v>
      </c>
      <c r="O611" s="44" t="str">
        <f>INDEX(CLEANED_MotorPH_Products_List_2!K:K,MATCH(MotorPHSales[[#This Row],[Product]],CLEANED_MotorPH_Products_List_2!B:B,0))</f>
        <v>Premium</v>
      </c>
      <c r="P611" s="45">
        <f>IF(MotorPHSales[[#This Row],[Segment]]="Entry-level",MotorPHSales[[#This Row],[UnitPrice]]/(1+30%),IF(MotorPHSales[[#This Row],[Segment]]="Mid-range",MotorPHSales[[#This Row],[UnitPrice]]/(1+35%),MotorPHSales[[#This Row],[UnitPrice]]/(1+40%)))*MotorPHSales[[#This Row],[Quantity]]</f>
        <v>4633571.4285714291</v>
      </c>
      <c r="Q611" s="44" t="str">
        <f>INDEX(CLEANED_MotorPH_Products_List_2!H:H,MATCH(MotorPHSales[[#This Row],[Product]],CLEANED_MotorPH_Products_List_2!$B:$B,0))</f>
        <v>6-speed</v>
      </c>
    </row>
    <row r="612" spans="1:17" ht="15.75" x14ac:dyDescent="0.3">
      <c r="A612" s="43">
        <v>45853</v>
      </c>
      <c r="B612" s="44" t="str">
        <f>TEXT(MotorPHSales[[#This Row],[Date]],"mmmm")</f>
        <v>July</v>
      </c>
      <c r="C612" s="44">
        <f>DAY(MotorPHSales[[#This Row],[Date]])</f>
        <v>15</v>
      </c>
      <c r="D612" s="44">
        <f>YEAR(MotorPHSales[[#This Row],[Date]])</f>
        <v>2025</v>
      </c>
      <c r="E612" s="44" t="s">
        <v>194</v>
      </c>
      <c r="F612" s="44" t="s">
        <v>47</v>
      </c>
      <c r="G612" s="45">
        <v>398000</v>
      </c>
      <c r="H612" s="44">
        <v>37</v>
      </c>
      <c r="I612" s="45">
        <v>14726000</v>
      </c>
      <c r="J612" s="44" t="s">
        <v>195</v>
      </c>
      <c r="K612" s="44" t="str">
        <f>INDEX(CLEANED_MotorPH_Products_List_2!C:C,MATCH(MotorPHSales[[#This Row],[Product]],CLEANED_MotorPH_Products_List_2!$B:$B,0))</f>
        <v>Cruiser</v>
      </c>
      <c r="L612" s="44" t="str">
        <f>INDEX(CLEANED_MotorPH_Products_List_2!E:E,MATCH(MotorPHSales[[#This Row],[Product]],CLEANED_MotorPH_Products_List_2!$B:$B,0))</f>
        <v>Parallel-twin</v>
      </c>
      <c r="M612" s="44" t="str">
        <f>INDEX(CLEANED_MotorPH_Products_List_2!F:F,MATCH(MotorPHSales[[#This Row],[Product]],CLEANED_MotorPH_Products_List_2!$B:$B,0))</f>
        <v>liquid-cooled</v>
      </c>
      <c r="N612" s="44" t="str">
        <f>INDEX(CLEANED_MotorPH_Products_List_2!G:G,MATCH(MotorPHSales[[#This Row],[Product]],CLEANED_MotorPH_Products_List_2!$B:$B,0))</f>
        <v>649cc</v>
      </c>
      <c r="O612" s="44" t="str">
        <f>INDEX(CLEANED_MotorPH_Products_List_2!K:K,MATCH(MotorPHSales[[#This Row],[Product]],CLEANED_MotorPH_Products_List_2!B:B,0))</f>
        <v>Premium</v>
      </c>
      <c r="P612" s="45">
        <f>IF(MotorPHSales[[#This Row],[Segment]]="Entry-level",MotorPHSales[[#This Row],[UnitPrice]]/(1+30%),IF(MotorPHSales[[#This Row],[Segment]]="Mid-range",MotorPHSales[[#This Row],[UnitPrice]]/(1+35%),MotorPHSales[[#This Row],[UnitPrice]]/(1+40%)))*MotorPHSales[[#This Row],[Quantity]]</f>
        <v>10518571.428571429</v>
      </c>
      <c r="Q612" s="44" t="str">
        <f>INDEX(CLEANED_MotorPH_Products_List_2!H:H,MATCH(MotorPHSales[[#This Row],[Product]],CLEANED_MotorPH_Products_List_2!$B:$B,0))</f>
        <v>6-speed</v>
      </c>
    </row>
    <row r="613" spans="1:17" ht="15.75" x14ac:dyDescent="0.3">
      <c r="A613" s="43">
        <v>45812</v>
      </c>
      <c r="B613" s="44" t="str">
        <f>TEXT(MotorPHSales[[#This Row],[Date]],"mmmm")</f>
        <v>June</v>
      </c>
      <c r="C613" s="44">
        <f>DAY(MotorPHSales[[#This Row],[Date]])</f>
        <v>4</v>
      </c>
      <c r="D613" s="44">
        <f>YEAR(MotorPHSales[[#This Row],[Date]])</f>
        <v>2025</v>
      </c>
      <c r="E613" s="44" t="s">
        <v>194</v>
      </c>
      <c r="F613" s="44" t="s">
        <v>64</v>
      </c>
      <c r="G613" s="45">
        <v>128000</v>
      </c>
      <c r="H613" s="44">
        <v>7</v>
      </c>
      <c r="I613" s="45">
        <v>896000</v>
      </c>
      <c r="J613" s="44" t="s">
        <v>195</v>
      </c>
      <c r="K613" s="44" t="str">
        <f>INDEX(CLEANED_MotorPH_Products_List_2!C:C,MATCH(MotorPHSales[[#This Row],[Product]],CLEANED_MotorPH_Products_List_2!$B:$B,0))</f>
        <v>Scooter</v>
      </c>
      <c r="L613" s="44" t="str">
        <f>INDEX(CLEANED_MotorPH_Products_List_2!E:E,MATCH(MotorPHSales[[#This Row],[Product]],CLEANED_MotorPH_Products_List_2!$B:$B,0))</f>
        <v>Single cylinder</v>
      </c>
      <c r="M613" s="44" t="str">
        <f>INDEX(CLEANED_MotorPH_Products_List_2!F:F,MATCH(MotorPHSales[[#This Row],[Product]],CLEANED_MotorPH_Products_List_2!$B:$B,0))</f>
        <v>liquid-cooled</v>
      </c>
      <c r="N613" s="44" t="str">
        <f>INDEX(CLEANED_MotorPH_Products_List_2!G:G,MATCH(MotorPHSales[[#This Row],[Product]],CLEANED_MotorPH_Products_List_2!$B:$B,0))</f>
        <v>149cc</v>
      </c>
      <c r="O613" s="44" t="str">
        <f>INDEX(CLEANED_MotorPH_Products_List_2!K:K,MATCH(MotorPHSales[[#This Row],[Product]],CLEANED_MotorPH_Products_List_2!B:B,0))</f>
        <v>Entry-level</v>
      </c>
      <c r="P613" s="45">
        <f>IF(MotorPHSales[[#This Row],[Segment]]="Entry-level",MotorPHSales[[#This Row],[UnitPrice]]/(1+30%),IF(MotorPHSales[[#This Row],[Segment]]="Mid-range",MotorPHSales[[#This Row],[UnitPrice]]/(1+35%),MotorPHSales[[#This Row],[UnitPrice]]/(1+40%)))*MotorPHSales[[#This Row],[Quantity]]</f>
        <v>689230.76923076913</v>
      </c>
      <c r="Q613" s="44" t="str">
        <f>INDEX(CLEANED_MotorPH_Products_List_2!H:H,MATCH(MotorPHSales[[#This Row],[Product]],CLEANED_MotorPH_Products_List_2!$B:$B,0))</f>
        <v>CVT</v>
      </c>
    </row>
    <row r="614" spans="1:17" ht="15.75" x14ac:dyDescent="0.3">
      <c r="A614" s="43">
        <v>45844</v>
      </c>
      <c r="B614" s="44" t="str">
        <f>TEXT(MotorPHSales[[#This Row],[Date]],"mmmm")</f>
        <v>July</v>
      </c>
      <c r="C614" s="44">
        <f>DAY(MotorPHSales[[#This Row],[Date]])</f>
        <v>6</v>
      </c>
      <c r="D614" s="44">
        <f>YEAR(MotorPHSales[[#This Row],[Date]])</f>
        <v>2025</v>
      </c>
      <c r="E614" s="44" t="s">
        <v>194</v>
      </c>
      <c r="F614" s="44" t="s">
        <v>16</v>
      </c>
      <c r="G614" s="45">
        <v>165000</v>
      </c>
      <c r="H614" s="44">
        <v>18</v>
      </c>
      <c r="I614" s="45">
        <v>2970000</v>
      </c>
      <c r="J614" s="44" t="s">
        <v>197</v>
      </c>
      <c r="K614" s="44" t="str">
        <f>INDEX(CLEANED_MotorPH_Products_List_2!C:C,MATCH(MotorPHSales[[#This Row],[Product]],CLEANED_MotorPH_Products_List_2!$B:$B,0))</f>
        <v>Naked bike</v>
      </c>
      <c r="L614" s="44" t="str">
        <f>INDEX(CLEANED_MotorPH_Products_List_2!E:E,MATCH(MotorPHSales[[#This Row],[Product]],CLEANED_MotorPH_Products_List_2!$B:$B,0))</f>
        <v>Single cylinder</v>
      </c>
      <c r="M614" s="44" t="str">
        <f>INDEX(CLEANED_MotorPH_Products_List_2!F:F,MATCH(MotorPHSales[[#This Row],[Product]],CLEANED_MotorPH_Products_List_2!$B:$B,0))</f>
        <v>liquid-cooled</v>
      </c>
      <c r="N614" s="44" t="str">
        <f>INDEX(CLEANED_MotorPH_Products_List_2!G:G,MATCH(MotorPHSales[[#This Row],[Product]],CLEANED_MotorPH_Products_List_2!$B:$B,0))</f>
        <v>292cc</v>
      </c>
      <c r="O614" s="44" t="str">
        <f>INDEX(CLEANED_MotorPH_Products_List_2!K:K,MATCH(MotorPHSales[[#This Row],[Product]],CLEANED_MotorPH_Products_List_2!B:B,0))</f>
        <v>Mid-range</v>
      </c>
      <c r="P614" s="45">
        <f>IF(MotorPHSales[[#This Row],[Segment]]="Entry-level",MotorPHSales[[#This Row],[UnitPrice]]/(1+30%),IF(MotorPHSales[[#This Row],[Segment]]="Mid-range",MotorPHSales[[#This Row],[UnitPrice]]/(1+35%),MotorPHSales[[#This Row],[UnitPrice]]/(1+40%)))*MotorPHSales[[#This Row],[Quantity]]</f>
        <v>2200000</v>
      </c>
      <c r="Q614" s="44" t="str">
        <f>INDEX(CLEANED_MotorPH_Products_List_2!H:H,MATCH(MotorPHSales[[#This Row],[Product]],CLEANED_MotorPH_Products_List_2!$B:$B,0))</f>
        <v>6-speed</v>
      </c>
    </row>
    <row r="615" spans="1:17" ht="15.75" x14ac:dyDescent="0.3">
      <c r="A615" s="43">
        <v>45878</v>
      </c>
      <c r="B615" s="44" t="str">
        <f>TEXT(MotorPHSales[[#This Row],[Date]],"mmmm")</f>
        <v>August</v>
      </c>
      <c r="C615" s="44">
        <f>DAY(MotorPHSales[[#This Row],[Date]])</f>
        <v>9</v>
      </c>
      <c r="D615" s="44">
        <f>YEAR(MotorPHSales[[#This Row],[Date]])</f>
        <v>2025</v>
      </c>
      <c r="E615" s="44" t="s">
        <v>194</v>
      </c>
      <c r="F615" s="44" t="s">
        <v>49</v>
      </c>
      <c r="G615" s="45">
        <v>68900</v>
      </c>
      <c r="H615" s="44">
        <v>6</v>
      </c>
      <c r="I615" s="45">
        <v>413400</v>
      </c>
      <c r="J615" s="44" t="s">
        <v>195</v>
      </c>
      <c r="K615" s="44" t="str">
        <f>INDEX(CLEANED_MotorPH_Products_List_2!C:C,MATCH(MotorPHSales[[#This Row],[Product]],CLEANED_MotorPH_Products_List_2!$B:$B,0))</f>
        <v>Standard</v>
      </c>
      <c r="L615" s="44" t="str">
        <f>INDEX(CLEANED_MotorPH_Products_List_2!E:E,MATCH(MotorPHSales[[#This Row],[Product]],CLEANED_MotorPH_Products_List_2!$B:$B,0))</f>
        <v>Single cylinder</v>
      </c>
      <c r="M615" s="44" t="str">
        <f>INDEX(CLEANED_MotorPH_Products_List_2!F:F,MATCH(MotorPHSales[[#This Row],[Product]],CLEANED_MotorPH_Products_List_2!$B:$B,0))</f>
        <v>air-cooled</v>
      </c>
      <c r="N615" s="44" t="str">
        <f>INDEX(CLEANED_MotorPH_Products_List_2!G:G,MATCH(MotorPHSales[[#This Row],[Product]],CLEANED_MotorPH_Products_List_2!$B:$B,0))</f>
        <v>149cc</v>
      </c>
      <c r="O615" s="44" t="str">
        <f>INDEX(CLEANED_MotorPH_Products_List_2!K:K,MATCH(MotorPHSales[[#This Row],[Product]],CLEANED_MotorPH_Products_List_2!B:B,0))</f>
        <v>Entry-level</v>
      </c>
      <c r="P615" s="45">
        <f>IF(MotorPHSales[[#This Row],[Segment]]="Entry-level",MotorPHSales[[#This Row],[UnitPrice]]/(1+30%),IF(MotorPHSales[[#This Row],[Segment]]="Mid-range",MotorPHSales[[#This Row],[UnitPrice]]/(1+35%),MotorPHSales[[#This Row],[UnitPrice]]/(1+40%)))*MotorPHSales[[#This Row],[Quantity]]</f>
        <v>318000</v>
      </c>
      <c r="Q615" s="44" t="str">
        <f>INDEX(CLEANED_MotorPH_Products_List_2!H:H,MATCH(MotorPHSales[[#This Row],[Product]],CLEANED_MotorPH_Products_List_2!$B:$B,0))</f>
        <v>5-speed</v>
      </c>
    </row>
    <row r="616" spans="1:17" ht="15.75" x14ac:dyDescent="0.3">
      <c r="A616" s="43">
        <v>45839</v>
      </c>
      <c r="B616" s="44" t="str">
        <f>TEXT(MotorPHSales[[#This Row],[Date]],"mmmm")</f>
        <v>July</v>
      </c>
      <c r="C616" s="44">
        <f>DAY(MotorPHSales[[#This Row],[Date]])</f>
        <v>1</v>
      </c>
      <c r="D616" s="44">
        <f>YEAR(MotorPHSales[[#This Row],[Date]])</f>
        <v>2025</v>
      </c>
      <c r="E616" s="44" t="s">
        <v>194</v>
      </c>
      <c r="F616" s="44" t="s">
        <v>99</v>
      </c>
      <c r="G616" s="45">
        <v>689000</v>
      </c>
      <c r="H616" s="44">
        <v>10</v>
      </c>
      <c r="I616" s="45">
        <v>6890000</v>
      </c>
      <c r="J616" s="44" t="s">
        <v>198</v>
      </c>
      <c r="K616" s="44" t="str">
        <f>INDEX(CLEANED_MotorPH_Products_List_2!C:C,MATCH(MotorPHSales[[#This Row],[Product]],CLEANED_MotorPH_Products_List_2!$B:$B,0))</f>
        <v>Heritage</v>
      </c>
      <c r="L616" s="44" t="str">
        <f>INDEX(CLEANED_MotorPH_Products_List_2!E:E,MATCH(MotorPHSales[[#This Row],[Product]],CLEANED_MotorPH_Products_List_2!$B:$B,0))</f>
        <v>V-twin</v>
      </c>
      <c r="M616" s="44" t="str">
        <f>INDEX(CLEANED_MotorPH_Products_List_2!F:F,MATCH(MotorPHSales[[#This Row],[Product]],CLEANED_MotorPH_Products_List_2!$B:$B,0))</f>
        <v>air-cooled</v>
      </c>
      <c r="N616" s="44" t="str">
        <f>INDEX(CLEANED_MotorPH_Products_List_2!G:G,MATCH(MotorPHSales[[#This Row],[Product]],CLEANED_MotorPH_Products_List_2!$B:$B,0))</f>
        <v>853cc</v>
      </c>
      <c r="O616" s="44" t="str">
        <f>INDEX(CLEANED_MotorPH_Products_List_2!K:K,MATCH(MotorPHSales[[#This Row],[Product]],CLEANED_MotorPH_Products_List_2!B:B,0))</f>
        <v>Premium</v>
      </c>
      <c r="P616" s="45">
        <f>IF(MotorPHSales[[#This Row],[Segment]]="Entry-level",MotorPHSales[[#This Row],[UnitPrice]]/(1+30%),IF(MotorPHSales[[#This Row],[Segment]]="Mid-range",MotorPHSales[[#This Row],[UnitPrice]]/(1+35%),MotorPHSales[[#This Row],[UnitPrice]]/(1+40%)))*MotorPHSales[[#This Row],[Quantity]]</f>
        <v>4921428.5714285718</v>
      </c>
      <c r="Q616" s="44" t="str">
        <f>INDEX(CLEANED_MotorPH_Products_List_2!H:H,MATCH(MotorPHSales[[#This Row],[Product]],CLEANED_MotorPH_Products_List_2!$B:$B,0))</f>
        <v>6-speed</v>
      </c>
    </row>
    <row r="617" spans="1:17" ht="15.75" x14ac:dyDescent="0.3">
      <c r="A617" s="43">
        <v>45827</v>
      </c>
      <c r="B617" s="44" t="str">
        <f>TEXT(MotorPHSales[[#This Row],[Date]],"mmmm")</f>
        <v>June</v>
      </c>
      <c r="C617" s="44">
        <f>DAY(MotorPHSales[[#This Row],[Date]])</f>
        <v>19</v>
      </c>
      <c r="D617" s="44">
        <f>YEAR(MotorPHSales[[#This Row],[Date]])</f>
        <v>2025</v>
      </c>
      <c r="E617" s="44" t="s">
        <v>194</v>
      </c>
      <c r="F617" s="44" t="s">
        <v>14</v>
      </c>
      <c r="G617" s="45">
        <v>250000</v>
      </c>
      <c r="H617" s="44">
        <v>38</v>
      </c>
      <c r="I617" s="45">
        <v>9500000</v>
      </c>
      <c r="J617" s="44" t="s">
        <v>197</v>
      </c>
      <c r="K617" s="44" t="str">
        <f>INDEX(CLEANED_MotorPH_Products_List_2!C:C,MATCH(MotorPHSales[[#This Row],[Product]],CLEANED_MotorPH_Products_List_2!$B:$B,0))</f>
        <v>Classic</v>
      </c>
      <c r="L617" s="44" t="str">
        <f>INDEX(CLEANED_MotorPH_Products_List_2!E:E,MATCH(MotorPHSales[[#This Row],[Product]],CLEANED_MotorPH_Products_List_2!$B:$B,0))</f>
        <v>Single cylinder</v>
      </c>
      <c r="M617" s="44" t="str">
        <f>INDEX(CLEANED_MotorPH_Products_List_2!F:F,MATCH(MotorPHSales[[#This Row],[Product]],CLEANED_MotorPH_Products_List_2!$B:$B,0))</f>
        <v>air-cooled</v>
      </c>
      <c r="N617" s="44" t="str">
        <f>INDEX(CLEANED_MotorPH_Products_List_2!G:G,MATCH(MotorPHSales[[#This Row],[Product]],CLEANED_MotorPH_Products_List_2!$B:$B,0))</f>
        <v>349cc</v>
      </c>
      <c r="O617" s="44" t="str">
        <f>INDEX(CLEANED_MotorPH_Products_List_2!K:K,MATCH(MotorPHSales[[#This Row],[Product]],CLEANED_MotorPH_Products_List_2!B:B,0))</f>
        <v>Mid-range</v>
      </c>
      <c r="P617" s="45">
        <f>IF(MotorPHSales[[#This Row],[Segment]]="Entry-level",MotorPHSales[[#This Row],[UnitPrice]]/(1+30%),IF(MotorPHSales[[#This Row],[Segment]]="Mid-range",MotorPHSales[[#This Row],[UnitPrice]]/(1+35%),MotorPHSales[[#This Row],[UnitPrice]]/(1+40%)))*MotorPHSales[[#This Row],[Quantity]]</f>
        <v>7037037.0370370364</v>
      </c>
      <c r="Q617" s="44" t="str">
        <f>INDEX(CLEANED_MotorPH_Products_List_2!H:H,MATCH(MotorPHSales[[#This Row],[Product]],CLEANED_MotorPH_Products_List_2!$B:$B,0))</f>
        <v>5-speed</v>
      </c>
    </row>
    <row r="618" spans="1:17" ht="15.75" x14ac:dyDescent="0.3">
      <c r="A618" s="43">
        <v>45869</v>
      </c>
      <c r="B618" s="44" t="str">
        <f>TEXT(MotorPHSales[[#This Row],[Date]],"mmmm")</f>
        <v>July</v>
      </c>
      <c r="C618" s="44">
        <f>DAY(MotorPHSales[[#This Row],[Date]])</f>
        <v>31</v>
      </c>
      <c r="D618" s="44">
        <f>YEAR(MotorPHSales[[#This Row],[Date]])</f>
        <v>2025</v>
      </c>
      <c r="E618" s="44" t="s">
        <v>194</v>
      </c>
      <c r="F618" s="44" t="s">
        <v>47</v>
      </c>
      <c r="G618" s="45">
        <v>398000</v>
      </c>
      <c r="H618" s="44">
        <v>44</v>
      </c>
      <c r="I618" s="45">
        <v>17512000</v>
      </c>
      <c r="J618" s="44" t="s">
        <v>197</v>
      </c>
      <c r="K618" s="44" t="str">
        <f>INDEX(CLEANED_MotorPH_Products_List_2!C:C,MATCH(MotorPHSales[[#This Row],[Product]],CLEANED_MotorPH_Products_List_2!$B:$B,0))</f>
        <v>Cruiser</v>
      </c>
      <c r="L618" s="44" t="str">
        <f>INDEX(CLEANED_MotorPH_Products_List_2!E:E,MATCH(MotorPHSales[[#This Row],[Product]],CLEANED_MotorPH_Products_List_2!$B:$B,0))</f>
        <v>Parallel-twin</v>
      </c>
      <c r="M618" s="44" t="str">
        <f>INDEX(CLEANED_MotorPH_Products_List_2!F:F,MATCH(MotorPHSales[[#This Row],[Product]],CLEANED_MotorPH_Products_List_2!$B:$B,0))</f>
        <v>liquid-cooled</v>
      </c>
      <c r="N618" s="44" t="str">
        <f>INDEX(CLEANED_MotorPH_Products_List_2!G:G,MATCH(MotorPHSales[[#This Row],[Product]],CLEANED_MotorPH_Products_List_2!$B:$B,0))</f>
        <v>649cc</v>
      </c>
      <c r="O618" s="44" t="str">
        <f>INDEX(CLEANED_MotorPH_Products_List_2!K:K,MATCH(MotorPHSales[[#This Row],[Product]],CLEANED_MotorPH_Products_List_2!B:B,0))</f>
        <v>Premium</v>
      </c>
      <c r="P618" s="45">
        <f>IF(MotorPHSales[[#This Row],[Segment]]="Entry-level",MotorPHSales[[#This Row],[UnitPrice]]/(1+30%),IF(MotorPHSales[[#This Row],[Segment]]="Mid-range",MotorPHSales[[#This Row],[UnitPrice]]/(1+35%),MotorPHSales[[#This Row],[UnitPrice]]/(1+40%)))*MotorPHSales[[#This Row],[Quantity]]</f>
        <v>12508571.428571429</v>
      </c>
      <c r="Q618" s="44" t="str">
        <f>INDEX(CLEANED_MotorPH_Products_List_2!H:H,MATCH(MotorPHSales[[#This Row],[Product]],CLEANED_MotorPH_Products_List_2!$B:$B,0))</f>
        <v>6-speed</v>
      </c>
    </row>
    <row r="619" spans="1:17" ht="15.75" x14ac:dyDescent="0.3">
      <c r="A619" s="43">
        <v>45862</v>
      </c>
      <c r="B619" s="44" t="str">
        <f>TEXT(MotorPHSales[[#This Row],[Date]],"mmmm")</f>
        <v>July</v>
      </c>
      <c r="C619" s="44">
        <f>DAY(MotorPHSales[[#This Row],[Date]])</f>
        <v>24</v>
      </c>
      <c r="D619" s="44">
        <f>YEAR(MotorPHSales[[#This Row],[Date]])</f>
        <v>2025</v>
      </c>
      <c r="E619" s="44" t="s">
        <v>196</v>
      </c>
      <c r="F619" s="44" t="s">
        <v>14</v>
      </c>
      <c r="G619" s="45">
        <v>250000</v>
      </c>
      <c r="H619" s="44">
        <v>6</v>
      </c>
      <c r="I619" s="45">
        <v>1500000</v>
      </c>
      <c r="J619" s="44" t="s">
        <v>198</v>
      </c>
      <c r="K619" s="44" t="str">
        <f>INDEX(CLEANED_MotorPH_Products_List_2!C:C,MATCH(MotorPHSales[[#This Row],[Product]],CLEANED_MotorPH_Products_List_2!$B:$B,0))</f>
        <v>Classic</v>
      </c>
      <c r="L619" s="44" t="str">
        <f>INDEX(CLEANED_MotorPH_Products_List_2!E:E,MATCH(MotorPHSales[[#This Row],[Product]],CLEANED_MotorPH_Products_List_2!$B:$B,0))</f>
        <v>Single cylinder</v>
      </c>
      <c r="M619" s="44" t="str">
        <f>INDEX(CLEANED_MotorPH_Products_List_2!F:F,MATCH(MotorPHSales[[#This Row],[Product]],CLEANED_MotorPH_Products_List_2!$B:$B,0))</f>
        <v>air-cooled</v>
      </c>
      <c r="N619" s="44" t="str">
        <f>INDEX(CLEANED_MotorPH_Products_List_2!G:G,MATCH(MotorPHSales[[#This Row],[Product]],CLEANED_MotorPH_Products_List_2!$B:$B,0))</f>
        <v>349cc</v>
      </c>
      <c r="O619" s="44" t="str">
        <f>INDEX(CLEANED_MotorPH_Products_List_2!K:K,MATCH(MotorPHSales[[#This Row],[Product]],CLEANED_MotorPH_Products_List_2!B:B,0))</f>
        <v>Mid-range</v>
      </c>
      <c r="P619" s="45">
        <f>IF(MotorPHSales[[#This Row],[Segment]]="Entry-level",MotorPHSales[[#This Row],[UnitPrice]]/(1+30%),IF(MotorPHSales[[#This Row],[Segment]]="Mid-range",MotorPHSales[[#This Row],[UnitPrice]]/(1+35%),MotorPHSales[[#This Row],[UnitPrice]]/(1+40%)))*MotorPHSales[[#This Row],[Quantity]]</f>
        <v>1111111.111111111</v>
      </c>
      <c r="Q619" s="44" t="str">
        <f>INDEX(CLEANED_MotorPH_Products_List_2!H:H,MATCH(MotorPHSales[[#This Row],[Product]],CLEANED_MotorPH_Products_List_2!$B:$B,0))</f>
        <v>5-speed</v>
      </c>
    </row>
    <row r="620" spans="1:17" ht="15.75" x14ac:dyDescent="0.3">
      <c r="A620" s="43">
        <v>45847</v>
      </c>
      <c r="B620" s="44" t="str">
        <f>TEXT(MotorPHSales[[#This Row],[Date]],"mmmm")</f>
        <v>July</v>
      </c>
      <c r="C620" s="44">
        <f>DAY(MotorPHSales[[#This Row],[Date]])</f>
        <v>9</v>
      </c>
      <c r="D620" s="44">
        <f>YEAR(MotorPHSales[[#This Row],[Date]])</f>
        <v>2025</v>
      </c>
      <c r="E620" s="44" t="s">
        <v>196</v>
      </c>
      <c r="F620" s="44" t="s">
        <v>47</v>
      </c>
      <c r="G620" s="45">
        <v>398000</v>
      </c>
      <c r="H620" s="44">
        <v>11</v>
      </c>
      <c r="I620" s="45">
        <v>4378000</v>
      </c>
      <c r="J620" s="44" t="s">
        <v>195</v>
      </c>
      <c r="K620" s="44" t="str">
        <f>INDEX(CLEANED_MotorPH_Products_List_2!C:C,MATCH(MotorPHSales[[#This Row],[Product]],CLEANED_MotorPH_Products_List_2!$B:$B,0))</f>
        <v>Cruiser</v>
      </c>
      <c r="L620" s="44" t="str">
        <f>INDEX(CLEANED_MotorPH_Products_List_2!E:E,MATCH(MotorPHSales[[#This Row],[Product]],CLEANED_MotorPH_Products_List_2!$B:$B,0))</f>
        <v>Parallel-twin</v>
      </c>
      <c r="M620" s="44" t="str">
        <f>INDEX(CLEANED_MotorPH_Products_List_2!F:F,MATCH(MotorPHSales[[#This Row],[Product]],CLEANED_MotorPH_Products_List_2!$B:$B,0))</f>
        <v>liquid-cooled</v>
      </c>
      <c r="N620" s="44" t="str">
        <f>INDEX(CLEANED_MotorPH_Products_List_2!G:G,MATCH(MotorPHSales[[#This Row],[Product]],CLEANED_MotorPH_Products_List_2!$B:$B,0))</f>
        <v>649cc</v>
      </c>
      <c r="O620" s="44" t="str">
        <f>INDEX(CLEANED_MotorPH_Products_List_2!K:K,MATCH(MotorPHSales[[#This Row],[Product]],CLEANED_MotorPH_Products_List_2!B:B,0))</f>
        <v>Premium</v>
      </c>
      <c r="P620" s="45">
        <f>IF(MotorPHSales[[#This Row],[Segment]]="Entry-level",MotorPHSales[[#This Row],[UnitPrice]]/(1+30%),IF(MotorPHSales[[#This Row],[Segment]]="Mid-range",MotorPHSales[[#This Row],[UnitPrice]]/(1+35%),MotorPHSales[[#This Row],[UnitPrice]]/(1+40%)))*MotorPHSales[[#This Row],[Quantity]]</f>
        <v>3127142.8571428573</v>
      </c>
      <c r="Q620" s="44" t="str">
        <f>INDEX(CLEANED_MotorPH_Products_List_2!H:H,MATCH(MotorPHSales[[#This Row],[Product]],CLEANED_MotorPH_Products_List_2!$B:$B,0))</f>
        <v>6-speed</v>
      </c>
    </row>
    <row r="621" spans="1:17" ht="15.75" x14ac:dyDescent="0.3">
      <c r="A621" s="43">
        <v>45899</v>
      </c>
      <c r="B621" s="44" t="str">
        <f>TEXT(MotorPHSales[[#This Row],[Date]],"mmmm")</f>
        <v>August</v>
      </c>
      <c r="C621" s="44">
        <f>DAY(MotorPHSales[[#This Row],[Date]])</f>
        <v>30</v>
      </c>
      <c r="D621" s="44">
        <f>YEAR(MotorPHSales[[#This Row],[Date]])</f>
        <v>2025</v>
      </c>
      <c r="E621" s="44" t="s">
        <v>194</v>
      </c>
      <c r="F621" s="44" t="s">
        <v>84</v>
      </c>
      <c r="G621" s="45">
        <v>995000</v>
      </c>
      <c r="H621" s="44">
        <v>10</v>
      </c>
      <c r="I621" s="45">
        <v>9950000</v>
      </c>
      <c r="J621" s="44" t="s">
        <v>197</v>
      </c>
      <c r="K621" s="44" t="str">
        <f>INDEX(CLEANED_MotorPH_Products_List_2!C:C,MATCH(MotorPHSales[[#This Row],[Product]],CLEANED_MotorPH_Products_List_2!$B:$B,0))</f>
        <v>Heritage</v>
      </c>
      <c r="L621" s="44" t="str">
        <f>INDEX(CLEANED_MotorPH_Products_List_2!E:E,MATCH(MotorPHSales[[#This Row],[Product]],CLEANED_MotorPH_Products_List_2!$B:$B,0))</f>
        <v>Flat twin</v>
      </c>
      <c r="M621" s="44" t="str">
        <f>INDEX(CLEANED_MotorPH_Products_List_2!F:F,MATCH(MotorPHSales[[#This Row],[Product]],CLEANED_MotorPH_Products_List_2!$B:$B,0))</f>
        <v>air</v>
      </c>
      <c r="N621" s="44">
        <f>INDEX(CLEANED_MotorPH_Products_List_2!G:G,MATCH(MotorPHSales[[#This Row],[Product]],CLEANED_MotorPH_Products_List_2!$B:$B,0))</f>
        <v>0</v>
      </c>
      <c r="O621" s="44" t="str">
        <f>INDEX(CLEANED_MotorPH_Products_List_2!K:K,MATCH(MotorPHSales[[#This Row],[Product]],CLEANED_MotorPH_Products_List_2!B:B,0))</f>
        <v>Premium</v>
      </c>
      <c r="P621" s="45">
        <f>IF(MotorPHSales[[#This Row],[Segment]]="Entry-level",MotorPHSales[[#This Row],[UnitPrice]]/(1+30%),IF(MotorPHSales[[#This Row],[Segment]]="Mid-range",MotorPHSales[[#This Row],[UnitPrice]]/(1+35%),MotorPHSales[[#This Row],[UnitPrice]]/(1+40%)))*MotorPHSales[[#This Row],[Quantity]]</f>
        <v>7107142.8571428582</v>
      </c>
      <c r="Q621" s="44">
        <f>INDEX(CLEANED_MotorPH_Products_List_2!H:H,MATCH(MotorPHSales[[#This Row],[Product]],CLEANED_MotorPH_Products_List_2!$B:$B,0))</f>
        <v>0</v>
      </c>
    </row>
    <row r="622" spans="1:17" ht="15.75" x14ac:dyDescent="0.3">
      <c r="A622" s="43">
        <v>45882</v>
      </c>
      <c r="B622" s="44" t="str">
        <f>TEXT(MotorPHSales[[#This Row],[Date]],"mmmm")</f>
        <v>August</v>
      </c>
      <c r="C622" s="44">
        <f>DAY(MotorPHSales[[#This Row],[Date]])</f>
        <v>13</v>
      </c>
      <c r="D622" s="44">
        <f>YEAR(MotorPHSales[[#This Row],[Date]])</f>
        <v>2025</v>
      </c>
      <c r="E622" s="44" t="s">
        <v>196</v>
      </c>
      <c r="F622" s="44" t="s">
        <v>97</v>
      </c>
      <c r="G622" s="45">
        <v>269000</v>
      </c>
      <c r="H622" s="44">
        <v>13</v>
      </c>
      <c r="I622" s="45">
        <v>3497000</v>
      </c>
      <c r="J622" s="44" t="s">
        <v>195</v>
      </c>
      <c r="K622" s="44" t="str">
        <f>INDEX(CLEANED_MotorPH_Products_List_2!C:C,MATCH(MotorPHSales[[#This Row],[Product]],CLEANED_MotorPH_Products_List_2!$B:$B,0))</f>
        <v>Cafe racer</v>
      </c>
      <c r="L622" s="44" t="str">
        <f>INDEX(CLEANED_MotorPH_Products_List_2!E:E,MATCH(MotorPHSales[[#This Row],[Product]],CLEANED_MotorPH_Products_List_2!$B:$B,0))</f>
        <v>Single cylinder</v>
      </c>
      <c r="M622" s="44" t="str">
        <f>INDEX(CLEANED_MotorPH_Products_List_2!F:F,MATCH(MotorPHSales[[#This Row],[Product]],CLEANED_MotorPH_Products_List_2!$B:$B,0))</f>
        <v>liquid-cooled</v>
      </c>
      <c r="N622" s="44" t="str">
        <f>INDEX(CLEANED_MotorPH_Products_List_2!G:G,MATCH(MotorPHSales[[#This Row],[Product]],CLEANED_MotorPH_Products_List_2!$B:$B,0))</f>
        <v>348cc</v>
      </c>
      <c r="O622" s="44" t="str">
        <f>INDEX(CLEANED_MotorPH_Products_List_2!K:K,MATCH(MotorPHSales[[#This Row],[Product]],CLEANED_MotorPH_Products_List_2!B:B,0))</f>
        <v>Mid-range</v>
      </c>
      <c r="P622" s="45">
        <f>IF(MotorPHSales[[#This Row],[Segment]]="Entry-level",MotorPHSales[[#This Row],[UnitPrice]]/(1+30%),IF(MotorPHSales[[#This Row],[Segment]]="Mid-range",MotorPHSales[[#This Row],[UnitPrice]]/(1+35%),MotorPHSales[[#This Row],[UnitPrice]]/(1+40%)))*MotorPHSales[[#This Row],[Quantity]]</f>
        <v>2590370.3703703703</v>
      </c>
      <c r="Q622" s="44" t="str">
        <f>INDEX(CLEANED_MotorPH_Products_List_2!H:H,MATCH(MotorPHSales[[#This Row],[Product]],CLEANED_MotorPH_Products_List_2!$B:$B,0))</f>
        <v>6-speed</v>
      </c>
    </row>
    <row r="623" spans="1:17" ht="15.75" x14ac:dyDescent="0.3">
      <c r="A623" s="43">
        <v>45898</v>
      </c>
      <c r="B623" s="44" t="str">
        <f>TEXT(MotorPHSales[[#This Row],[Date]],"mmmm")</f>
        <v>August</v>
      </c>
      <c r="C623" s="44">
        <f>DAY(MotorPHSales[[#This Row],[Date]])</f>
        <v>29</v>
      </c>
      <c r="D623" s="44">
        <f>YEAR(MotorPHSales[[#This Row],[Date]])</f>
        <v>2025</v>
      </c>
      <c r="E623" s="44" t="s">
        <v>194</v>
      </c>
      <c r="F623" s="44" t="s">
        <v>28</v>
      </c>
      <c r="G623" s="45">
        <v>164900</v>
      </c>
      <c r="H623" s="44">
        <v>19</v>
      </c>
      <c r="I623" s="45">
        <v>3133100</v>
      </c>
      <c r="J623" s="44" t="s">
        <v>198</v>
      </c>
      <c r="K623" s="44" t="str">
        <f>INDEX(CLEANED_MotorPH_Products_List_2!C:C,MATCH(MotorPHSales[[#This Row],[Product]],CLEANED_MotorPH_Products_List_2!$B:$B,0))</f>
        <v>Scooter</v>
      </c>
      <c r="L623" s="44" t="str">
        <f>INDEX(CLEANED_MotorPH_Products_List_2!E:E,MATCH(MotorPHSales[[#This Row],[Product]],CLEANED_MotorPH_Products_List_2!$B:$B,0))</f>
        <v>Single cylinder</v>
      </c>
      <c r="M623" s="44" t="str">
        <f>INDEX(CLEANED_MotorPH_Products_List_2!F:F,MATCH(MotorPHSales[[#This Row],[Product]],CLEANED_MotorPH_Products_List_2!$B:$B,0))</f>
        <v>liquid-cooled</v>
      </c>
      <c r="N623" s="44" t="str">
        <f>INDEX(CLEANED_MotorPH_Products_List_2!G:G,MATCH(MotorPHSales[[#This Row],[Product]],CLEANED_MotorPH_Products_List_2!$B:$B,0))</f>
        <v>157cc</v>
      </c>
      <c r="O623" s="44" t="str">
        <f>INDEX(CLEANED_MotorPH_Products_List_2!K:K,MATCH(MotorPHSales[[#This Row],[Product]],CLEANED_MotorPH_Products_List_2!B:B,0))</f>
        <v>Entry-level</v>
      </c>
      <c r="P623" s="45">
        <f>IF(MotorPHSales[[#This Row],[Segment]]="Entry-level",MotorPHSales[[#This Row],[UnitPrice]]/(1+30%),IF(MotorPHSales[[#This Row],[Segment]]="Mid-range",MotorPHSales[[#This Row],[UnitPrice]]/(1+35%),MotorPHSales[[#This Row],[UnitPrice]]/(1+40%)))*MotorPHSales[[#This Row],[Quantity]]</f>
        <v>2410076.923076923</v>
      </c>
      <c r="Q623" s="44" t="str">
        <f>INDEX(CLEANED_MotorPH_Products_List_2!H:H,MATCH(MotorPHSales[[#This Row],[Product]],CLEANED_MotorPH_Products_List_2!$B:$B,0))</f>
        <v>CVT</v>
      </c>
    </row>
    <row r="624" spans="1:17" ht="15.75" x14ac:dyDescent="0.3">
      <c r="A624" s="43">
        <v>45827</v>
      </c>
      <c r="B624" s="44" t="str">
        <f>TEXT(MotorPHSales[[#This Row],[Date]],"mmmm")</f>
        <v>June</v>
      </c>
      <c r="C624" s="44">
        <f>DAY(MotorPHSales[[#This Row],[Date]])</f>
        <v>19</v>
      </c>
      <c r="D624" s="44">
        <f>YEAR(MotorPHSales[[#This Row],[Date]])</f>
        <v>2025</v>
      </c>
      <c r="E624" s="44" t="s">
        <v>196</v>
      </c>
      <c r="F624" s="44" t="s">
        <v>42</v>
      </c>
      <c r="G624" s="45">
        <v>125000</v>
      </c>
      <c r="H624" s="44">
        <v>3</v>
      </c>
      <c r="I624" s="45">
        <v>375000</v>
      </c>
      <c r="J624" s="44" t="s">
        <v>195</v>
      </c>
      <c r="K624" s="44" t="str">
        <f>INDEX(CLEANED_MotorPH_Products_List_2!C:C,MATCH(MotorPHSales[[#This Row],[Product]],CLEANED_MotorPH_Products_List_2!$B:$B,0))</f>
        <v>Naked bike</v>
      </c>
      <c r="L624" s="44" t="str">
        <f>INDEX(CLEANED_MotorPH_Products_List_2!E:E,MATCH(MotorPHSales[[#This Row],[Product]],CLEANED_MotorPH_Products_List_2!$B:$B,0))</f>
        <v>Single cylinder</v>
      </c>
      <c r="M624" s="44" t="str">
        <f>INDEX(CLEANED_MotorPH_Products_List_2!F:F,MATCH(MotorPHSales[[#This Row],[Product]],CLEANED_MotorPH_Products_List_2!$B:$B,0))</f>
        <v>liquid-cooled</v>
      </c>
      <c r="N624" s="44" t="str">
        <f>INDEX(CLEANED_MotorPH_Products_List_2!G:G,MATCH(MotorPHSales[[#This Row],[Product]],CLEANED_MotorPH_Products_List_2!$B:$B,0))</f>
        <v>147cc</v>
      </c>
      <c r="O624" s="44" t="str">
        <f>INDEX(CLEANED_MotorPH_Products_List_2!K:K,MATCH(MotorPHSales[[#This Row],[Product]],CLEANED_MotorPH_Products_List_2!B:B,0))</f>
        <v>Entry-level</v>
      </c>
      <c r="P624" s="45">
        <f>IF(MotorPHSales[[#This Row],[Segment]]="Entry-level",MotorPHSales[[#This Row],[UnitPrice]]/(1+30%),IF(MotorPHSales[[#This Row],[Segment]]="Mid-range",MotorPHSales[[#This Row],[UnitPrice]]/(1+35%),MotorPHSales[[#This Row],[UnitPrice]]/(1+40%)))*MotorPHSales[[#This Row],[Quantity]]</f>
        <v>288461.5384615385</v>
      </c>
      <c r="Q624" s="44" t="str">
        <f>INDEX(CLEANED_MotorPH_Products_List_2!H:H,MATCH(MotorPHSales[[#This Row],[Product]],CLEANED_MotorPH_Products_List_2!$B:$B,0))</f>
        <v>6-speed</v>
      </c>
    </row>
    <row r="625" spans="1:17" ht="15.75" x14ac:dyDescent="0.3">
      <c r="A625" s="43">
        <v>45847</v>
      </c>
      <c r="B625" s="44" t="str">
        <f>TEXT(MotorPHSales[[#This Row],[Date]],"mmmm")</f>
        <v>July</v>
      </c>
      <c r="C625" s="44">
        <f>DAY(MotorPHSales[[#This Row],[Date]])</f>
        <v>9</v>
      </c>
      <c r="D625" s="44">
        <f>YEAR(MotorPHSales[[#This Row],[Date]])</f>
        <v>2025</v>
      </c>
      <c r="E625" s="44" t="s">
        <v>194</v>
      </c>
      <c r="F625" s="44" t="s">
        <v>78</v>
      </c>
      <c r="G625" s="45">
        <v>99900</v>
      </c>
      <c r="H625" s="44">
        <v>20</v>
      </c>
      <c r="I625" s="45">
        <v>1998000</v>
      </c>
      <c r="J625" s="44" t="s">
        <v>195</v>
      </c>
      <c r="K625" s="44" t="str">
        <f>INDEX(CLEANED_MotorPH_Products_List_2!C:C,MATCH(MotorPHSales[[#This Row],[Product]],CLEANED_MotorPH_Products_List_2!$B:$B,0))</f>
        <v>Street</v>
      </c>
      <c r="L625" s="44" t="str">
        <f>INDEX(CLEANED_MotorPH_Products_List_2!E:E,MATCH(MotorPHSales[[#This Row],[Product]],CLEANED_MotorPH_Products_List_2!$B:$B,0))</f>
        <v>Single cylinder</v>
      </c>
      <c r="M625" s="44" t="str">
        <f>INDEX(CLEANED_MotorPH_Products_List_2!F:F,MATCH(MotorPHSales[[#This Row],[Product]],CLEANED_MotorPH_Products_List_2!$B:$B,0))</f>
        <v>air-cooled</v>
      </c>
      <c r="N625" s="44" t="str">
        <f>INDEX(CLEANED_MotorPH_Products_List_2!G:G,MATCH(MotorPHSales[[#This Row],[Product]],CLEANED_MotorPH_Products_List_2!$B:$B,0))</f>
        <v>149cc</v>
      </c>
      <c r="O625" s="44" t="str">
        <f>INDEX(CLEANED_MotorPH_Products_List_2!K:K,MATCH(MotorPHSales[[#This Row],[Product]],CLEANED_MotorPH_Products_List_2!B:B,0))</f>
        <v>Entry-level</v>
      </c>
      <c r="P625" s="45">
        <f>IF(MotorPHSales[[#This Row],[Segment]]="Entry-level",MotorPHSales[[#This Row],[UnitPrice]]/(1+30%),IF(MotorPHSales[[#This Row],[Segment]]="Mid-range",MotorPHSales[[#This Row],[UnitPrice]]/(1+35%),MotorPHSales[[#This Row],[UnitPrice]]/(1+40%)))*MotorPHSales[[#This Row],[Quantity]]</f>
        <v>1536923.076923077</v>
      </c>
      <c r="Q625" s="44" t="str">
        <f>INDEX(CLEANED_MotorPH_Products_List_2!H:H,MATCH(MotorPHSales[[#This Row],[Product]],CLEANED_MotorPH_Products_List_2!$B:$B,0))</f>
        <v>5-speed</v>
      </c>
    </row>
    <row r="626" spans="1:17" ht="15.75" x14ac:dyDescent="0.3">
      <c r="A626" s="43">
        <v>45875</v>
      </c>
      <c r="B626" s="44" t="str">
        <f>TEXT(MotorPHSales[[#This Row],[Date]],"mmmm")</f>
        <v>August</v>
      </c>
      <c r="C626" s="44">
        <f>DAY(MotorPHSales[[#This Row],[Date]])</f>
        <v>6</v>
      </c>
      <c r="D626" s="44">
        <f>YEAR(MotorPHSales[[#This Row],[Date]])</f>
        <v>2025</v>
      </c>
      <c r="E626" s="44" t="s">
        <v>196</v>
      </c>
      <c r="F626" s="44" t="s">
        <v>30</v>
      </c>
      <c r="G626" s="45">
        <v>79900</v>
      </c>
      <c r="H626" s="44">
        <v>41</v>
      </c>
      <c r="I626" s="45">
        <v>3275900</v>
      </c>
      <c r="J626" s="44" t="s">
        <v>197</v>
      </c>
      <c r="K626" s="44" t="str">
        <f>INDEX(CLEANED_MotorPH_Products_List_2!C:C,MATCH(MotorPHSales[[#This Row],[Product]],CLEANED_MotorPH_Products_List_2!$B:$B,0))</f>
        <v>Scooter</v>
      </c>
      <c r="L626" s="44" t="str">
        <f>INDEX(CLEANED_MotorPH_Products_List_2!E:E,MATCH(MotorPHSales[[#This Row],[Product]],CLEANED_MotorPH_Products_List_2!$B:$B,0))</f>
        <v>Single cylinder</v>
      </c>
      <c r="M626" s="44" t="str">
        <f>INDEX(CLEANED_MotorPH_Products_List_2!F:F,MATCH(MotorPHSales[[#This Row],[Product]],CLEANED_MotorPH_Products_List_2!$B:$B,0))</f>
        <v>air-cooled</v>
      </c>
      <c r="N626" s="44" t="str">
        <f>INDEX(CLEANED_MotorPH_Products_List_2!G:G,MATCH(MotorPHSales[[#This Row],[Product]],CLEANED_MotorPH_Products_List_2!$B:$B,0))</f>
        <v>124cc</v>
      </c>
      <c r="O626" s="44" t="str">
        <f>INDEX(CLEANED_MotorPH_Products_List_2!K:K,MATCH(MotorPHSales[[#This Row],[Product]],CLEANED_MotorPH_Products_List_2!B:B,0))</f>
        <v>Entry-level</v>
      </c>
      <c r="P626" s="45">
        <f>IF(MotorPHSales[[#This Row],[Segment]]="Entry-level",MotorPHSales[[#This Row],[UnitPrice]]/(1+30%),IF(MotorPHSales[[#This Row],[Segment]]="Mid-range",MotorPHSales[[#This Row],[UnitPrice]]/(1+35%),MotorPHSales[[#This Row],[UnitPrice]]/(1+40%)))*MotorPHSales[[#This Row],[Quantity]]</f>
        <v>2519923.076923077</v>
      </c>
      <c r="Q626" s="44" t="str">
        <f>INDEX(CLEANED_MotorPH_Products_List_2!H:H,MATCH(MotorPHSales[[#This Row],[Product]],CLEANED_MotorPH_Products_List_2!$B:$B,0))</f>
        <v>CVT</v>
      </c>
    </row>
    <row r="627" spans="1:17" ht="15.75" x14ac:dyDescent="0.3">
      <c r="A627" s="43">
        <v>45853</v>
      </c>
      <c r="B627" s="44" t="str">
        <f>TEXT(MotorPHSales[[#This Row],[Date]],"mmmm")</f>
        <v>July</v>
      </c>
      <c r="C627" s="44">
        <f>DAY(MotorPHSales[[#This Row],[Date]])</f>
        <v>15</v>
      </c>
      <c r="D627" s="44">
        <f>YEAR(MotorPHSales[[#This Row],[Date]])</f>
        <v>2025</v>
      </c>
      <c r="E627" s="44" t="s">
        <v>196</v>
      </c>
      <c r="F627" s="44" t="s">
        <v>78</v>
      </c>
      <c r="G627" s="45">
        <v>99900</v>
      </c>
      <c r="H627" s="44">
        <v>6</v>
      </c>
      <c r="I627" s="45">
        <v>599400</v>
      </c>
      <c r="J627" s="44" t="s">
        <v>197</v>
      </c>
      <c r="K627" s="44" t="str">
        <f>INDEX(CLEANED_MotorPH_Products_List_2!C:C,MATCH(MotorPHSales[[#This Row],[Product]],CLEANED_MotorPH_Products_List_2!$B:$B,0))</f>
        <v>Street</v>
      </c>
      <c r="L627" s="44" t="str">
        <f>INDEX(CLEANED_MotorPH_Products_List_2!E:E,MATCH(MotorPHSales[[#This Row],[Product]],CLEANED_MotorPH_Products_List_2!$B:$B,0))</f>
        <v>Single cylinder</v>
      </c>
      <c r="M627" s="44" t="str">
        <f>INDEX(CLEANED_MotorPH_Products_List_2!F:F,MATCH(MotorPHSales[[#This Row],[Product]],CLEANED_MotorPH_Products_List_2!$B:$B,0))</f>
        <v>air-cooled</v>
      </c>
      <c r="N627" s="44" t="str">
        <f>INDEX(CLEANED_MotorPH_Products_List_2!G:G,MATCH(MotorPHSales[[#This Row],[Product]],CLEANED_MotorPH_Products_List_2!$B:$B,0))</f>
        <v>149cc</v>
      </c>
      <c r="O627" s="44" t="str">
        <f>INDEX(CLEANED_MotorPH_Products_List_2!K:K,MATCH(MotorPHSales[[#This Row],[Product]],CLEANED_MotorPH_Products_List_2!B:B,0))</f>
        <v>Entry-level</v>
      </c>
      <c r="P627" s="45">
        <f>IF(MotorPHSales[[#This Row],[Segment]]="Entry-level",MotorPHSales[[#This Row],[UnitPrice]]/(1+30%),IF(MotorPHSales[[#This Row],[Segment]]="Mid-range",MotorPHSales[[#This Row],[UnitPrice]]/(1+35%),MotorPHSales[[#This Row],[UnitPrice]]/(1+40%)))*MotorPHSales[[#This Row],[Quantity]]</f>
        <v>461076.92307692306</v>
      </c>
      <c r="Q627" s="44" t="str">
        <f>INDEX(CLEANED_MotorPH_Products_List_2!H:H,MATCH(MotorPHSales[[#This Row],[Product]],CLEANED_MotorPH_Products_List_2!$B:$B,0))</f>
        <v>5-speed</v>
      </c>
    </row>
    <row r="628" spans="1:17" ht="15.75" x14ac:dyDescent="0.3">
      <c r="A628" s="43">
        <v>45821</v>
      </c>
      <c r="B628" s="44" t="str">
        <f>TEXT(MotorPHSales[[#This Row],[Date]],"mmmm")</f>
        <v>June</v>
      </c>
      <c r="C628" s="44">
        <f>DAY(MotorPHSales[[#This Row],[Date]])</f>
        <v>13</v>
      </c>
      <c r="D628" s="44">
        <f>YEAR(MotorPHSales[[#This Row],[Date]])</f>
        <v>2025</v>
      </c>
      <c r="E628" s="44" t="s">
        <v>194</v>
      </c>
      <c r="F628" s="44" t="s">
        <v>80</v>
      </c>
      <c r="G628" s="45">
        <v>398000</v>
      </c>
      <c r="H628" s="44">
        <v>41</v>
      </c>
      <c r="I628" s="45">
        <v>16318000</v>
      </c>
      <c r="J628" s="44" t="s">
        <v>198</v>
      </c>
      <c r="K628" s="44" t="str">
        <f>INDEX(CLEANED_MotorPH_Products_List_2!C:C,MATCH(MotorPHSales[[#This Row],[Product]],CLEANED_MotorPH_Products_List_2!$B:$B,0))</f>
        <v>Scooter</v>
      </c>
      <c r="L628" s="44" t="str">
        <f>INDEX(CLEANED_MotorPH_Products_List_2!E:E,MATCH(MotorPHSales[[#This Row],[Product]],CLEANED_MotorPH_Products_List_2!$B:$B,0))</f>
        <v>Single cylinder</v>
      </c>
      <c r="M628" s="44" t="str">
        <f>INDEX(CLEANED_MotorPH_Products_List_2!F:F,MATCH(MotorPHSales[[#This Row],[Product]],CLEANED_MotorPH_Products_List_2!$B:$B,0))</f>
        <v>liquid-cooled</v>
      </c>
      <c r="N628" s="44" t="str">
        <f>INDEX(CLEANED_MotorPH_Products_List_2!G:G,MATCH(MotorPHSales[[#This Row],[Product]],CLEANED_MotorPH_Products_List_2!$B:$B,0))</f>
        <v>278cc</v>
      </c>
      <c r="O628" s="44" t="str">
        <f>INDEX(CLEANED_MotorPH_Products_List_2!K:K,MATCH(MotorPHSales[[#This Row],[Product]],CLEANED_MotorPH_Products_List_2!B:B,0))</f>
        <v>Mid-range</v>
      </c>
      <c r="P628" s="45">
        <f>IF(MotorPHSales[[#This Row],[Segment]]="Entry-level",MotorPHSales[[#This Row],[UnitPrice]]/(1+30%),IF(MotorPHSales[[#This Row],[Segment]]="Mid-range",MotorPHSales[[#This Row],[UnitPrice]]/(1+35%),MotorPHSales[[#This Row],[UnitPrice]]/(1+40%)))*MotorPHSales[[#This Row],[Quantity]]</f>
        <v>12087407.407407405</v>
      </c>
      <c r="Q628" s="44" t="str">
        <f>INDEX(CLEANED_MotorPH_Products_List_2!H:H,MATCH(MotorPHSales[[#This Row],[Product]],CLEANED_MotorPH_Products_List_2!$B:$B,0))</f>
        <v>CVT</v>
      </c>
    </row>
    <row r="629" spans="1:17" ht="15.75" x14ac:dyDescent="0.3">
      <c r="A629" s="43">
        <v>45900</v>
      </c>
      <c r="B629" s="44" t="str">
        <f>TEXT(MotorPHSales[[#This Row],[Date]],"mmmm")</f>
        <v>August</v>
      </c>
      <c r="C629" s="44">
        <f>DAY(MotorPHSales[[#This Row],[Date]])</f>
        <v>31</v>
      </c>
      <c r="D629" s="44">
        <f>YEAR(MotorPHSales[[#This Row],[Date]])</f>
        <v>2025</v>
      </c>
      <c r="E629" s="44" t="s">
        <v>194</v>
      </c>
      <c r="F629" s="44" t="s">
        <v>94</v>
      </c>
      <c r="G629" s="45">
        <v>299000</v>
      </c>
      <c r="H629" s="44">
        <v>20</v>
      </c>
      <c r="I629" s="45">
        <v>5980000</v>
      </c>
      <c r="J629" s="44" t="s">
        <v>195</v>
      </c>
      <c r="K629" s="44" t="str">
        <f>INDEX(CLEANED_MotorPH_Products_List_2!C:C,MATCH(MotorPHSales[[#This Row],[Product]],CLEANED_MotorPH_Products_List_2!$B:$B,0))</f>
        <v>Dual-sport</v>
      </c>
      <c r="L629" s="44" t="str">
        <f>INDEX(CLEANED_MotorPH_Products_List_2!E:E,MATCH(MotorPHSales[[#This Row],[Product]],CLEANED_MotorPH_Products_List_2!$B:$B,0))</f>
        <v>Single cylinder</v>
      </c>
      <c r="M629" s="44" t="str">
        <f>INDEX(CLEANED_MotorPH_Products_List_2!F:F,MATCH(MotorPHSales[[#This Row],[Product]],CLEANED_MotorPH_Products_List_2!$B:$B,0))</f>
        <v>air-cooled</v>
      </c>
      <c r="N629" s="44" t="str">
        <f>INDEX(CLEANED_MotorPH_Products_List_2!G:G,MATCH(MotorPHSales[[#This Row],[Product]],CLEANED_MotorPH_Products_List_2!$B:$B,0))</f>
        <v>249cc</v>
      </c>
      <c r="O629" s="44" t="str">
        <f>INDEX(CLEANED_MotorPH_Products_List_2!K:K,MATCH(MotorPHSales[[#This Row],[Product]],CLEANED_MotorPH_Products_List_2!B:B,0))</f>
        <v>Mid-range</v>
      </c>
      <c r="P629" s="45">
        <f>IF(MotorPHSales[[#This Row],[Segment]]="Entry-level",MotorPHSales[[#This Row],[UnitPrice]]/(1+30%),IF(MotorPHSales[[#This Row],[Segment]]="Mid-range",MotorPHSales[[#This Row],[UnitPrice]]/(1+35%),MotorPHSales[[#This Row],[UnitPrice]]/(1+40%)))*MotorPHSales[[#This Row],[Quantity]]</f>
        <v>4429629.6296296287</v>
      </c>
      <c r="Q629" s="44" t="str">
        <f>INDEX(CLEANED_MotorPH_Products_List_2!H:H,MATCH(MotorPHSales[[#This Row],[Product]],CLEANED_MotorPH_Products_List_2!$B:$B,0))</f>
        <v>5-speed</v>
      </c>
    </row>
    <row r="630" spans="1:17" ht="15.75" x14ac:dyDescent="0.3">
      <c r="A630" s="43">
        <v>45866</v>
      </c>
      <c r="B630" s="44" t="str">
        <f>TEXT(MotorPHSales[[#This Row],[Date]],"mmmm")</f>
        <v>July</v>
      </c>
      <c r="C630" s="44">
        <f>DAY(MotorPHSales[[#This Row],[Date]])</f>
        <v>28</v>
      </c>
      <c r="D630" s="44">
        <f>YEAR(MotorPHSales[[#This Row],[Date]])</f>
        <v>2025</v>
      </c>
      <c r="E630" s="44" t="s">
        <v>194</v>
      </c>
      <c r="F630" s="44" t="s">
        <v>14</v>
      </c>
      <c r="G630" s="45">
        <v>250000</v>
      </c>
      <c r="H630" s="44">
        <v>17</v>
      </c>
      <c r="I630" s="45">
        <v>4250000</v>
      </c>
      <c r="J630" s="44" t="s">
        <v>198</v>
      </c>
      <c r="K630" s="44" t="str">
        <f>INDEX(CLEANED_MotorPH_Products_List_2!C:C,MATCH(MotorPHSales[[#This Row],[Product]],CLEANED_MotorPH_Products_List_2!$B:$B,0))</f>
        <v>Classic</v>
      </c>
      <c r="L630" s="44" t="str">
        <f>INDEX(CLEANED_MotorPH_Products_List_2!E:E,MATCH(MotorPHSales[[#This Row],[Product]],CLEANED_MotorPH_Products_List_2!$B:$B,0))</f>
        <v>Single cylinder</v>
      </c>
      <c r="M630" s="44" t="str">
        <f>INDEX(CLEANED_MotorPH_Products_List_2!F:F,MATCH(MotorPHSales[[#This Row],[Product]],CLEANED_MotorPH_Products_List_2!$B:$B,0))</f>
        <v>air-cooled</v>
      </c>
      <c r="N630" s="44" t="str">
        <f>INDEX(CLEANED_MotorPH_Products_List_2!G:G,MATCH(MotorPHSales[[#This Row],[Product]],CLEANED_MotorPH_Products_List_2!$B:$B,0))</f>
        <v>349cc</v>
      </c>
      <c r="O630" s="44" t="str">
        <f>INDEX(CLEANED_MotorPH_Products_List_2!K:K,MATCH(MotorPHSales[[#This Row],[Product]],CLEANED_MotorPH_Products_List_2!B:B,0))</f>
        <v>Mid-range</v>
      </c>
      <c r="P630" s="45">
        <f>IF(MotorPHSales[[#This Row],[Segment]]="Entry-level",MotorPHSales[[#This Row],[UnitPrice]]/(1+30%),IF(MotorPHSales[[#This Row],[Segment]]="Mid-range",MotorPHSales[[#This Row],[UnitPrice]]/(1+35%),MotorPHSales[[#This Row],[UnitPrice]]/(1+40%)))*MotorPHSales[[#This Row],[Quantity]]</f>
        <v>3148148.1481481479</v>
      </c>
      <c r="Q630" s="44" t="str">
        <f>INDEX(CLEANED_MotorPH_Products_List_2!H:H,MATCH(MotorPHSales[[#This Row],[Product]],CLEANED_MotorPH_Products_List_2!$B:$B,0))</f>
        <v>5-speed</v>
      </c>
    </row>
    <row r="631" spans="1:17" ht="15.75" x14ac:dyDescent="0.3">
      <c r="A631" s="43">
        <v>45828</v>
      </c>
      <c r="B631" s="44" t="str">
        <f>TEXT(MotorPHSales[[#This Row],[Date]],"mmmm")</f>
        <v>June</v>
      </c>
      <c r="C631" s="44">
        <f>DAY(MotorPHSales[[#This Row],[Date]])</f>
        <v>20</v>
      </c>
      <c r="D631" s="44">
        <f>YEAR(MotorPHSales[[#This Row],[Date]])</f>
        <v>2025</v>
      </c>
      <c r="E631" s="44" t="s">
        <v>194</v>
      </c>
      <c r="F631" s="44" t="s">
        <v>47</v>
      </c>
      <c r="G631" s="45">
        <v>398000</v>
      </c>
      <c r="H631" s="44">
        <v>1</v>
      </c>
      <c r="I631" s="45">
        <v>398000</v>
      </c>
      <c r="J631" s="44" t="s">
        <v>198</v>
      </c>
      <c r="K631" s="44" t="str">
        <f>INDEX(CLEANED_MotorPH_Products_List_2!C:C,MATCH(MotorPHSales[[#This Row],[Product]],CLEANED_MotorPH_Products_List_2!$B:$B,0))</f>
        <v>Cruiser</v>
      </c>
      <c r="L631" s="44" t="str">
        <f>INDEX(CLEANED_MotorPH_Products_List_2!E:E,MATCH(MotorPHSales[[#This Row],[Product]],CLEANED_MotorPH_Products_List_2!$B:$B,0))</f>
        <v>Parallel-twin</v>
      </c>
      <c r="M631" s="44" t="str">
        <f>INDEX(CLEANED_MotorPH_Products_List_2!F:F,MATCH(MotorPHSales[[#This Row],[Product]],CLEANED_MotorPH_Products_List_2!$B:$B,0))</f>
        <v>liquid-cooled</v>
      </c>
      <c r="N631" s="44" t="str">
        <f>INDEX(CLEANED_MotorPH_Products_List_2!G:G,MATCH(MotorPHSales[[#This Row],[Product]],CLEANED_MotorPH_Products_List_2!$B:$B,0))</f>
        <v>649cc</v>
      </c>
      <c r="O631" s="44" t="str">
        <f>INDEX(CLEANED_MotorPH_Products_List_2!K:K,MATCH(MotorPHSales[[#This Row],[Product]],CLEANED_MotorPH_Products_List_2!B:B,0))</f>
        <v>Premium</v>
      </c>
      <c r="P631" s="45">
        <f>IF(MotorPHSales[[#This Row],[Segment]]="Entry-level",MotorPHSales[[#This Row],[UnitPrice]]/(1+30%),IF(MotorPHSales[[#This Row],[Segment]]="Mid-range",MotorPHSales[[#This Row],[UnitPrice]]/(1+35%),MotorPHSales[[#This Row],[UnitPrice]]/(1+40%)))*MotorPHSales[[#This Row],[Quantity]]</f>
        <v>284285.71428571432</v>
      </c>
      <c r="Q631" s="44" t="str">
        <f>INDEX(CLEANED_MotorPH_Products_List_2!H:H,MATCH(MotorPHSales[[#This Row],[Product]],CLEANED_MotorPH_Products_List_2!$B:$B,0))</f>
        <v>6-speed</v>
      </c>
    </row>
    <row r="632" spans="1:17" ht="15.75" x14ac:dyDescent="0.3">
      <c r="A632" s="43">
        <v>45900</v>
      </c>
      <c r="B632" s="44" t="str">
        <f>TEXT(MotorPHSales[[#This Row],[Date]],"mmmm")</f>
        <v>August</v>
      </c>
      <c r="C632" s="44">
        <f>DAY(MotorPHSales[[#This Row],[Date]])</f>
        <v>31</v>
      </c>
      <c r="D632" s="44">
        <f>YEAR(MotorPHSales[[#This Row],[Date]])</f>
        <v>2025</v>
      </c>
      <c r="E632" s="44" t="s">
        <v>196</v>
      </c>
      <c r="F632" s="44" t="s">
        <v>24</v>
      </c>
      <c r="G632" s="45">
        <v>199900</v>
      </c>
      <c r="H632" s="44">
        <v>13</v>
      </c>
      <c r="I632" s="45">
        <v>2598700</v>
      </c>
      <c r="J632" s="44" t="s">
        <v>197</v>
      </c>
      <c r="K632" s="44" t="str">
        <f>INDEX(CLEANED_MotorPH_Products_List_2!C:C,MATCH(MotorPHSales[[#This Row],[Product]],CLEANED_MotorPH_Products_List_2!$B:$B,0))</f>
        <v>Sport touring</v>
      </c>
      <c r="L632" s="44" t="str">
        <f>INDEX(CLEANED_MotorPH_Products_List_2!E:E,MATCH(MotorPHSales[[#This Row],[Product]],CLEANED_MotorPH_Products_List_2!$B:$B,0))</f>
        <v>Single cylinder</v>
      </c>
      <c r="M632" s="44" t="str">
        <f>INDEX(CLEANED_MotorPH_Products_List_2!F:F,MATCH(MotorPHSales[[#This Row],[Product]],CLEANED_MotorPH_Products_List_2!$B:$B,0))</f>
        <v>liquid-cooled</v>
      </c>
      <c r="N632" s="44" t="str">
        <f>INDEX(CLEANED_MotorPH_Products_List_2!G:G,MATCH(MotorPHSales[[#This Row],[Product]],CLEANED_MotorPH_Products_List_2!$B:$B,0))</f>
        <v>373cc</v>
      </c>
      <c r="O632" s="44" t="str">
        <f>INDEX(CLEANED_MotorPH_Products_List_2!K:K,MATCH(MotorPHSales[[#This Row],[Product]],CLEANED_MotorPH_Products_List_2!B:B,0))</f>
        <v>Mid-range</v>
      </c>
      <c r="P632" s="45">
        <f>IF(MotorPHSales[[#This Row],[Segment]]="Entry-level",MotorPHSales[[#This Row],[UnitPrice]]/(1+30%),IF(MotorPHSales[[#This Row],[Segment]]="Mid-range",MotorPHSales[[#This Row],[UnitPrice]]/(1+35%),MotorPHSales[[#This Row],[UnitPrice]]/(1+40%)))*MotorPHSales[[#This Row],[Quantity]]</f>
        <v>1924962.9629629629</v>
      </c>
      <c r="Q632" s="44" t="str">
        <f>INDEX(CLEANED_MotorPH_Products_List_2!H:H,MATCH(MotorPHSales[[#This Row],[Product]],CLEANED_MotorPH_Products_List_2!$B:$B,0))</f>
        <v>6-speed</v>
      </c>
    </row>
    <row r="633" spans="1:17" ht="15.75" x14ac:dyDescent="0.3">
      <c r="A633" s="43">
        <v>45880</v>
      </c>
      <c r="B633" s="44" t="str">
        <f>TEXT(MotorPHSales[[#This Row],[Date]],"mmmm")</f>
        <v>August</v>
      </c>
      <c r="C633" s="44">
        <f>DAY(MotorPHSales[[#This Row],[Date]])</f>
        <v>11</v>
      </c>
      <c r="D633" s="44">
        <f>YEAR(MotorPHSales[[#This Row],[Date]])</f>
        <v>2025</v>
      </c>
      <c r="E633" s="44" t="s">
        <v>194</v>
      </c>
      <c r="F633" s="44" t="s">
        <v>16</v>
      </c>
      <c r="G633" s="45">
        <v>165000</v>
      </c>
      <c r="H633" s="44">
        <v>2</v>
      </c>
      <c r="I633" s="45">
        <v>330000</v>
      </c>
      <c r="J633" s="44" t="s">
        <v>195</v>
      </c>
      <c r="K633" s="44" t="str">
        <f>INDEX(CLEANED_MotorPH_Products_List_2!C:C,MATCH(MotorPHSales[[#This Row],[Product]],CLEANED_MotorPH_Products_List_2!$B:$B,0))</f>
        <v>Naked bike</v>
      </c>
      <c r="L633" s="44" t="str">
        <f>INDEX(CLEANED_MotorPH_Products_List_2!E:E,MATCH(MotorPHSales[[#This Row],[Product]],CLEANED_MotorPH_Products_List_2!$B:$B,0))</f>
        <v>Single cylinder</v>
      </c>
      <c r="M633" s="44" t="str">
        <f>INDEX(CLEANED_MotorPH_Products_List_2!F:F,MATCH(MotorPHSales[[#This Row],[Product]],CLEANED_MotorPH_Products_List_2!$B:$B,0))</f>
        <v>liquid-cooled</v>
      </c>
      <c r="N633" s="44" t="str">
        <f>INDEX(CLEANED_MotorPH_Products_List_2!G:G,MATCH(MotorPHSales[[#This Row],[Product]],CLEANED_MotorPH_Products_List_2!$B:$B,0))</f>
        <v>292cc</v>
      </c>
      <c r="O633" s="44" t="str">
        <f>INDEX(CLEANED_MotorPH_Products_List_2!K:K,MATCH(MotorPHSales[[#This Row],[Product]],CLEANED_MotorPH_Products_List_2!B:B,0))</f>
        <v>Mid-range</v>
      </c>
      <c r="P633" s="45">
        <f>IF(MotorPHSales[[#This Row],[Segment]]="Entry-level",MotorPHSales[[#This Row],[UnitPrice]]/(1+30%),IF(MotorPHSales[[#This Row],[Segment]]="Mid-range",MotorPHSales[[#This Row],[UnitPrice]]/(1+35%),MotorPHSales[[#This Row],[UnitPrice]]/(1+40%)))*MotorPHSales[[#This Row],[Quantity]]</f>
        <v>244444.44444444444</v>
      </c>
      <c r="Q633" s="44" t="str">
        <f>INDEX(CLEANED_MotorPH_Products_List_2!H:H,MATCH(MotorPHSales[[#This Row],[Product]],CLEANED_MotorPH_Products_List_2!$B:$B,0))</f>
        <v>6-speed</v>
      </c>
    </row>
    <row r="634" spans="1:17" ht="15.75" x14ac:dyDescent="0.3">
      <c r="A634" s="43">
        <v>45869</v>
      </c>
      <c r="B634" s="44" t="str">
        <f>TEXT(MotorPHSales[[#This Row],[Date]],"mmmm")</f>
        <v>July</v>
      </c>
      <c r="C634" s="44">
        <f>DAY(MotorPHSales[[#This Row],[Date]])</f>
        <v>31</v>
      </c>
      <c r="D634" s="44">
        <f>YEAR(MotorPHSales[[#This Row],[Date]])</f>
        <v>2025</v>
      </c>
      <c r="E634" s="44" t="s">
        <v>196</v>
      </c>
      <c r="F634" s="44" t="s">
        <v>28</v>
      </c>
      <c r="G634" s="45">
        <v>164900</v>
      </c>
      <c r="H634" s="44">
        <v>3</v>
      </c>
      <c r="I634" s="45">
        <v>494700</v>
      </c>
      <c r="J634" s="44" t="s">
        <v>198</v>
      </c>
      <c r="K634" s="44" t="str">
        <f>INDEX(CLEANED_MotorPH_Products_List_2!C:C,MATCH(MotorPHSales[[#This Row],[Product]],CLEANED_MotorPH_Products_List_2!$B:$B,0))</f>
        <v>Scooter</v>
      </c>
      <c r="L634" s="44" t="str">
        <f>INDEX(CLEANED_MotorPH_Products_List_2!E:E,MATCH(MotorPHSales[[#This Row],[Product]],CLEANED_MotorPH_Products_List_2!$B:$B,0))</f>
        <v>Single cylinder</v>
      </c>
      <c r="M634" s="44" t="str">
        <f>INDEX(CLEANED_MotorPH_Products_List_2!F:F,MATCH(MotorPHSales[[#This Row],[Product]],CLEANED_MotorPH_Products_List_2!$B:$B,0))</f>
        <v>liquid-cooled</v>
      </c>
      <c r="N634" s="44" t="str">
        <f>INDEX(CLEANED_MotorPH_Products_List_2!G:G,MATCH(MotorPHSales[[#This Row],[Product]],CLEANED_MotorPH_Products_List_2!$B:$B,0))</f>
        <v>157cc</v>
      </c>
      <c r="O634" s="44" t="str">
        <f>INDEX(CLEANED_MotorPH_Products_List_2!K:K,MATCH(MotorPHSales[[#This Row],[Product]],CLEANED_MotorPH_Products_List_2!B:B,0))</f>
        <v>Entry-level</v>
      </c>
      <c r="P634" s="45">
        <f>IF(MotorPHSales[[#This Row],[Segment]]="Entry-level",MotorPHSales[[#This Row],[UnitPrice]]/(1+30%),IF(MotorPHSales[[#This Row],[Segment]]="Mid-range",MotorPHSales[[#This Row],[UnitPrice]]/(1+35%),MotorPHSales[[#This Row],[UnitPrice]]/(1+40%)))*MotorPHSales[[#This Row],[Quantity]]</f>
        <v>380538.4615384615</v>
      </c>
      <c r="Q634" s="44" t="str">
        <f>INDEX(CLEANED_MotorPH_Products_List_2!H:H,MATCH(MotorPHSales[[#This Row],[Product]],CLEANED_MotorPH_Products_List_2!$B:$B,0))</f>
        <v>CVT</v>
      </c>
    </row>
    <row r="635" spans="1:17" ht="15.75" x14ac:dyDescent="0.3">
      <c r="A635" s="43">
        <v>45847</v>
      </c>
      <c r="B635" s="44" t="str">
        <f>TEXT(MotorPHSales[[#This Row],[Date]],"mmmm")</f>
        <v>July</v>
      </c>
      <c r="C635" s="44">
        <f>DAY(MotorPHSales[[#This Row],[Date]])</f>
        <v>9</v>
      </c>
      <c r="D635" s="44">
        <f>YEAR(MotorPHSales[[#This Row],[Date]])</f>
        <v>2025</v>
      </c>
      <c r="E635" s="44" t="s">
        <v>196</v>
      </c>
      <c r="F635" s="44" t="s">
        <v>14</v>
      </c>
      <c r="G635" s="45">
        <v>250000</v>
      </c>
      <c r="H635" s="44">
        <v>15</v>
      </c>
      <c r="I635" s="45">
        <v>3750000</v>
      </c>
      <c r="J635" s="44" t="s">
        <v>198</v>
      </c>
      <c r="K635" s="44" t="str">
        <f>INDEX(CLEANED_MotorPH_Products_List_2!C:C,MATCH(MotorPHSales[[#This Row],[Product]],CLEANED_MotorPH_Products_List_2!$B:$B,0))</f>
        <v>Classic</v>
      </c>
      <c r="L635" s="44" t="str">
        <f>INDEX(CLEANED_MotorPH_Products_List_2!E:E,MATCH(MotorPHSales[[#This Row],[Product]],CLEANED_MotorPH_Products_List_2!$B:$B,0))</f>
        <v>Single cylinder</v>
      </c>
      <c r="M635" s="44" t="str">
        <f>INDEX(CLEANED_MotorPH_Products_List_2!F:F,MATCH(MotorPHSales[[#This Row],[Product]],CLEANED_MotorPH_Products_List_2!$B:$B,0))</f>
        <v>air-cooled</v>
      </c>
      <c r="N635" s="44" t="str">
        <f>INDEX(CLEANED_MotorPH_Products_List_2!G:G,MATCH(MotorPHSales[[#This Row],[Product]],CLEANED_MotorPH_Products_List_2!$B:$B,0))</f>
        <v>349cc</v>
      </c>
      <c r="O635" s="44" t="str">
        <f>INDEX(CLEANED_MotorPH_Products_List_2!K:K,MATCH(MotorPHSales[[#This Row],[Product]],CLEANED_MotorPH_Products_List_2!B:B,0))</f>
        <v>Mid-range</v>
      </c>
      <c r="P635" s="45">
        <f>IF(MotorPHSales[[#This Row],[Segment]]="Entry-level",MotorPHSales[[#This Row],[UnitPrice]]/(1+30%),IF(MotorPHSales[[#This Row],[Segment]]="Mid-range",MotorPHSales[[#This Row],[UnitPrice]]/(1+35%),MotorPHSales[[#This Row],[UnitPrice]]/(1+40%)))*MotorPHSales[[#This Row],[Quantity]]</f>
        <v>2777777.7777777775</v>
      </c>
      <c r="Q635" s="44" t="str">
        <f>INDEX(CLEANED_MotorPH_Products_List_2!H:H,MATCH(MotorPHSales[[#This Row],[Product]],CLEANED_MotorPH_Products_List_2!$B:$B,0))</f>
        <v>5-speed</v>
      </c>
    </row>
    <row r="636" spans="1:17" ht="15.75" x14ac:dyDescent="0.3">
      <c r="A636" s="43">
        <v>45809</v>
      </c>
      <c r="B636" s="44" t="str">
        <f>TEXT(MotorPHSales[[#This Row],[Date]],"mmmm")</f>
        <v>June</v>
      </c>
      <c r="C636" s="44">
        <f>DAY(MotorPHSales[[#This Row],[Date]])</f>
        <v>1</v>
      </c>
      <c r="D636" s="44">
        <f>YEAR(MotorPHSales[[#This Row],[Date]])</f>
        <v>2025</v>
      </c>
      <c r="E636" s="44" t="s">
        <v>194</v>
      </c>
      <c r="F636" s="44" t="s">
        <v>49</v>
      </c>
      <c r="G636" s="45">
        <v>68900</v>
      </c>
      <c r="H636" s="44">
        <v>20</v>
      </c>
      <c r="I636" s="45">
        <v>1378000</v>
      </c>
      <c r="J636" s="44" t="s">
        <v>198</v>
      </c>
      <c r="K636" s="44" t="str">
        <f>INDEX(CLEANED_MotorPH_Products_List_2!C:C,MATCH(MotorPHSales[[#This Row],[Product]],CLEANED_MotorPH_Products_List_2!$B:$B,0))</f>
        <v>Standard</v>
      </c>
      <c r="L636" s="44" t="str">
        <f>INDEX(CLEANED_MotorPH_Products_List_2!E:E,MATCH(MotorPHSales[[#This Row],[Product]],CLEANED_MotorPH_Products_List_2!$B:$B,0))</f>
        <v>Single cylinder</v>
      </c>
      <c r="M636" s="44" t="str">
        <f>INDEX(CLEANED_MotorPH_Products_List_2!F:F,MATCH(MotorPHSales[[#This Row],[Product]],CLEANED_MotorPH_Products_List_2!$B:$B,0))</f>
        <v>air-cooled</v>
      </c>
      <c r="N636" s="44" t="str">
        <f>INDEX(CLEANED_MotorPH_Products_List_2!G:G,MATCH(MotorPHSales[[#This Row],[Product]],CLEANED_MotorPH_Products_List_2!$B:$B,0))</f>
        <v>149cc</v>
      </c>
      <c r="O636" s="44" t="str">
        <f>INDEX(CLEANED_MotorPH_Products_List_2!K:K,MATCH(MotorPHSales[[#This Row],[Product]],CLEANED_MotorPH_Products_List_2!B:B,0))</f>
        <v>Entry-level</v>
      </c>
      <c r="P636" s="45">
        <f>IF(MotorPHSales[[#This Row],[Segment]]="Entry-level",MotorPHSales[[#This Row],[UnitPrice]]/(1+30%),IF(MotorPHSales[[#This Row],[Segment]]="Mid-range",MotorPHSales[[#This Row],[UnitPrice]]/(1+35%),MotorPHSales[[#This Row],[UnitPrice]]/(1+40%)))*MotorPHSales[[#This Row],[Quantity]]</f>
        <v>1060000</v>
      </c>
      <c r="Q636" s="44" t="str">
        <f>INDEX(CLEANED_MotorPH_Products_List_2!H:H,MATCH(MotorPHSales[[#This Row],[Product]],CLEANED_MotorPH_Products_List_2!$B:$B,0))</f>
        <v>5-speed</v>
      </c>
    </row>
    <row r="637" spans="1:17" ht="15.75" x14ac:dyDescent="0.3">
      <c r="A637" s="43">
        <v>45811</v>
      </c>
      <c r="B637" s="44" t="str">
        <f>TEXT(MotorPHSales[[#This Row],[Date]],"mmmm")</f>
        <v>June</v>
      </c>
      <c r="C637" s="44">
        <f>DAY(MotorPHSales[[#This Row],[Date]])</f>
        <v>3</v>
      </c>
      <c r="D637" s="44">
        <f>YEAR(MotorPHSales[[#This Row],[Date]])</f>
        <v>2025</v>
      </c>
      <c r="E637" s="44" t="s">
        <v>194</v>
      </c>
      <c r="F637" s="44" t="s">
        <v>14</v>
      </c>
      <c r="G637" s="45">
        <v>250000</v>
      </c>
      <c r="H637" s="44">
        <v>22</v>
      </c>
      <c r="I637" s="45">
        <v>5500000</v>
      </c>
      <c r="J637" s="44" t="s">
        <v>197</v>
      </c>
      <c r="K637" s="44" t="str">
        <f>INDEX(CLEANED_MotorPH_Products_List_2!C:C,MATCH(MotorPHSales[[#This Row],[Product]],CLEANED_MotorPH_Products_List_2!$B:$B,0))</f>
        <v>Classic</v>
      </c>
      <c r="L637" s="44" t="str">
        <f>INDEX(CLEANED_MotorPH_Products_List_2!E:E,MATCH(MotorPHSales[[#This Row],[Product]],CLEANED_MotorPH_Products_List_2!$B:$B,0))</f>
        <v>Single cylinder</v>
      </c>
      <c r="M637" s="44" t="str">
        <f>INDEX(CLEANED_MotorPH_Products_List_2!F:F,MATCH(MotorPHSales[[#This Row],[Product]],CLEANED_MotorPH_Products_List_2!$B:$B,0))</f>
        <v>air-cooled</v>
      </c>
      <c r="N637" s="44" t="str">
        <f>INDEX(CLEANED_MotorPH_Products_List_2!G:G,MATCH(MotorPHSales[[#This Row],[Product]],CLEANED_MotorPH_Products_List_2!$B:$B,0))</f>
        <v>349cc</v>
      </c>
      <c r="O637" s="44" t="str">
        <f>INDEX(CLEANED_MotorPH_Products_List_2!K:K,MATCH(MotorPHSales[[#This Row],[Product]],CLEANED_MotorPH_Products_List_2!B:B,0))</f>
        <v>Mid-range</v>
      </c>
      <c r="P637" s="45">
        <f>IF(MotorPHSales[[#This Row],[Segment]]="Entry-level",MotorPHSales[[#This Row],[UnitPrice]]/(1+30%),IF(MotorPHSales[[#This Row],[Segment]]="Mid-range",MotorPHSales[[#This Row],[UnitPrice]]/(1+35%),MotorPHSales[[#This Row],[UnitPrice]]/(1+40%)))*MotorPHSales[[#This Row],[Quantity]]</f>
        <v>4074074.0740740737</v>
      </c>
      <c r="Q637" s="44" t="str">
        <f>INDEX(CLEANED_MotorPH_Products_List_2!H:H,MATCH(MotorPHSales[[#This Row],[Product]],CLEANED_MotorPH_Products_List_2!$B:$B,0))</f>
        <v>5-speed</v>
      </c>
    </row>
    <row r="638" spans="1:17" ht="15.75" x14ac:dyDescent="0.3">
      <c r="A638" s="43">
        <v>45900</v>
      </c>
      <c r="B638" s="44" t="str">
        <f>TEXT(MotorPHSales[[#This Row],[Date]],"mmmm")</f>
        <v>August</v>
      </c>
      <c r="C638" s="44">
        <f>DAY(MotorPHSales[[#This Row],[Date]])</f>
        <v>31</v>
      </c>
      <c r="D638" s="44">
        <f>YEAR(MotorPHSales[[#This Row],[Date]])</f>
        <v>2025</v>
      </c>
      <c r="E638" s="44" t="s">
        <v>196</v>
      </c>
      <c r="F638" s="44" t="s">
        <v>59</v>
      </c>
      <c r="G638" s="45">
        <v>67900</v>
      </c>
      <c r="H638" s="44">
        <v>13</v>
      </c>
      <c r="I638" s="45">
        <v>882700</v>
      </c>
      <c r="J638" s="44" t="s">
        <v>197</v>
      </c>
      <c r="K638" s="44" t="str">
        <f>INDEX(CLEANED_MotorPH_Products_List_2!C:C,MATCH(MotorPHSales[[#This Row],[Product]],CLEANED_MotorPH_Products_List_2!$B:$B,0))</f>
        <v>Commuter</v>
      </c>
      <c r="L638" s="44" t="str">
        <f>INDEX(CLEANED_MotorPH_Products_List_2!E:E,MATCH(MotorPHSales[[#This Row],[Product]],CLEANED_MotorPH_Products_List_2!$B:$B,0))</f>
        <v>Single cylinder</v>
      </c>
      <c r="M638" s="44" t="str">
        <f>INDEX(CLEANED_MotorPH_Products_List_2!F:F,MATCH(MotorPHSales[[#This Row],[Product]],CLEANED_MotorPH_Products_List_2!$B:$B,0))</f>
        <v>air-cooled</v>
      </c>
      <c r="N638" s="44" t="str">
        <f>INDEX(CLEANED_MotorPH_Products_List_2!G:G,MATCH(MotorPHSales[[#This Row],[Product]],CLEANED_MotorPH_Products_List_2!$B:$B,0))</f>
        <v>125cc</v>
      </c>
      <c r="O638" s="44" t="str">
        <f>INDEX(CLEANED_MotorPH_Products_List_2!K:K,MATCH(MotorPHSales[[#This Row],[Product]],CLEANED_MotorPH_Products_List_2!B:B,0))</f>
        <v>Entry-level</v>
      </c>
      <c r="P638" s="45">
        <f>IF(MotorPHSales[[#This Row],[Segment]]="Entry-level",MotorPHSales[[#This Row],[UnitPrice]]/(1+30%),IF(MotorPHSales[[#This Row],[Segment]]="Mid-range",MotorPHSales[[#This Row],[UnitPrice]]/(1+35%),MotorPHSales[[#This Row],[UnitPrice]]/(1+40%)))*MotorPHSales[[#This Row],[Quantity]]</f>
        <v>679000</v>
      </c>
      <c r="Q638" s="44" t="str">
        <f>INDEX(CLEANED_MotorPH_Products_List_2!H:H,MATCH(MotorPHSales[[#This Row],[Product]],CLEANED_MotorPH_Products_List_2!$B:$B,0))</f>
        <v>4-speed</v>
      </c>
    </row>
    <row r="639" spans="1:17" ht="15.75" x14ac:dyDescent="0.3">
      <c r="A639" s="43">
        <v>45870</v>
      </c>
      <c r="B639" s="44" t="str">
        <f>TEXT(MotorPHSales[[#This Row],[Date]],"mmmm")</f>
        <v>August</v>
      </c>
      <c r="C639" s="44">
        <f>DAY(MotorPHSales[[#This Row],[Date]])</f>
        <v>1</v>
      </c>
      <c r="D639" s="44">
        <f>YEAR(MotorPHSales[[#This Row],[Date]])</f>
        <v>2025</v>
      </c>
      <c r="E639" s="44" t="s">
        <v>194</v>
      </c>
      <c r="F639" s="44" t="s">
        <v>22</v>
      </c>
      <c r="G639" s="45">
        <v>182000</v>
      </c>
      <c r="H639" s="44">
        <v>4</v>
      </c>
      <c r="I639" s="45">
        <v>728000</v>
      </c>
      <c r="J639" s="44" t="s">
        <v>195</v>
      </c>
      <c r="K639" s="44" t="str">
        <f>INDEX(CLEANED_MotorPH_Products_List_2!C:C,MATCH(MotorPHSales[[#This Row],[Product]],CLEANED_MotorPH_Products_List_2!$B:$B,0))</f>
        <v>Retro</v>
      </c>
      <c r="L639" s="44" t="str">
        <f>INDEX(CLEANED_MotorPH_Products_List_2!E:E,MATCH(MotorPHSales[[#This Row],[Product]],CLEANED_MotorPH_Products_List_2!$B:$B,0))</f>
        <v>Single cylinder</v>
      </c>
      <c r="M639" s="44" t="str">
        <f>INDEX(CLEANED_MotorPH_Products_List_2!F:F,MATCH(MotorPHSales[[#This Row],[Product]],CLEANED_MotorPH_Products_List_2!$B:$B,0))</f>
        <v>liquid-cooled</v>
      </c>
      <c r="N639" s="44" t="str">
        <f>INDEX(CLEANED_MotorPH_Products_List_2!G:G,MATCH(MotorPHSales[[#This Row],[Product]],CLEANED_MotorPH_Products_List_2!$B:$B,0))</f>
        <v>155cc</v>
      </c>
      <c r="O639" s="44" t="str">
        <f>INDEX(CLEANED_MotorPH_Products_List_2!K:K,MATCH(MotorPHSales[[#This Row],[Product]],CLEANED_MotorPH_Products_List_2!B:B,0))</f>
        <v>Entry-level</v>
      </c>
      <c r="P639" s="45">
        <f>IF(MotorPHSales[[#This Row],[Segment]]="Entry-level",MotorPHSales[[#This Row],[UnitPrice]]/(1+30%),IF(MotorPHSales[[#This Row],[Segment]]="Mid-range",MotorPHSales[[#This Row],[UnitPrice]]/(1+35%),MotorPHSales[[#This Row],[UnitPrice]]/(1+40%)))*MotorPHSales[[#This Row],[Quantity]]</f>
        <v>560000</v>
      </c>
      <c r="Q639" s="44" t="str">
        <f>INDEX(CLEANED_MotorPH_Products_List_2!H:H,MATCH(MotorPHSales[[#This Row],[Product]],CLEANED_MotorPH_Products_List_2!$B:$B,0))</f>
        <v>6-speed</v>
      </c>
    </row>
    <row r="640" spans="1:17" ht="15.75" x14ac:dyDescent="0.3">
      <c r="A640" s="43">
        <v>45871</v>
      </c>
      <c r="B640" s="44" t="str">
        <f>TEXT(MotorPHSales[[#This Row],[Date]],"mmmm")</f>
        <v>August</v>
      </c>
      <c r="C640" s="44">
        <f>DAY(MotorPHSales[[#This Row],[Date]])</f>
        <v>2</v>
      </c>
      <c r="D640" s="44">
        <f>YEAR(MotorPHSales[[#This Row],[Date]])</f>
        <v>2025</v>
      </c>
      <c r="E640" s="44" t="s">
        <v>194</v>
      </c>
      <c r="F640" s="44" t="s">
        <v>34</v>
      </c>
      <c r="G640" s="45">
        <v>320000</v>
      </c>
      <c r="H640" s="44">
        <v>2</v>
      </c>
      <c r="I640" s="45">
        <v>640000</v>
      </c>
      <c r="J640" s="44" t="s">
        <v>198</v>
      </c>
      <c r="K640" s="44" t="str">
        <f>INDEX(CLEANED_MotorPH_Products_List_2!C:C,MATCH(MotorPHSales[[#This Row],[Product]],CLEANED_MotorPH_Products_List_2!$B:$B,0))</f>
        <v>Adventure</v>
      </c>
      <c r="L640" s="44" t="str">
        <f>INDEX(CLEANED_MotorPH_Products_List_2!E:E,MATCH(MotorPHSales[[#This Row],[Product]],CLEANED_MotorPH_Products_List_2!$B:$B,0))</f>
        <v>Single cylinder</v>
      </c>
      <c r="M640" s="44" t="str">
        <f>INDEX(CLEANED_MotorPH_Products_List_2!F:F,MATCH(MotorPHSales[[#This Row],[Product]],CLEANED_MotorPH_Products_List_2!$B:$B,0))</f>
        <v>liquid-cooled</v>
      </c>
      <c r="N640" s="44" t="str">
        <f>INDEX(CLEANED_MotorPH_Products_List_2!G:G,MATCH(MotorPHSales[[#This Row],[Product]],CLEANED_MotorPH_Products_List_2!$B:$B,0))</f>
        <v>313cc</v>
      </c>
      <c r="O640" s="44" t="str">
        <f>INDEX(CLEANED_MotorPH_Products_List_2!K:K,MATCH(MotorPHSales[[#This Row],[Product]],CLEANED_MotorPH_Products_List_2!B:B,0))</f>
        <v>Mid-range</v>
      </c>
      <c r="P640" s="45">
        <f>IF(MotorPHSales[[#This Row],[Segment]]="Entry-level",MotorPHSales[[#This Row],[UnitPrice]]/(1+30%),IF(MotorPHSales[[#This Row],[Segment]]="Mid-range",MotorPHSales[[#This Row],[UnitPrice]]/(1+35%),MotorPHSales[[#This Row],[UnitPrice]]/(1+40%)))*MotorPHSales[[#This Row],[Quantity]]</f>
        <v>474074.07407407404</v>
      </c>
      <c r="Q640" s="44" t="str">
        <f>INDEX(CLEANED_MotorPH_Products_List_2!H:H,MATCH(MotorPHSales[[#This Row],[Product]],CLEANED_MotorPH_Products_List_2!$B:$B,0))</f>
        <v>6-speed</v>
      </c>
    </row>
    <row r="641" spans="1:17" ht="15.75" x14ac:dyDescent="0.3">
      <c r="A641" s="43">
        <v>45833</v>
      </c>
      <c r="B641" s="44" t="str">
        <f>TEXT(MotorPHSales[[#This Row],[Date]],"mmmm")</f>
        <v>June</v>
      </c>
      <c r="C641" s="44">
        <f>DAY(MotorPHSales[[#This Row],[Date]])</f>
        <v>25</v>
      </c>
      <c r="D641" s="44">
        <f>YEAR(MotorPHSales[[#This Row],[Date]])</f>
        <v>2025</v>
      </c>
      <c r="E641" s="44" t="s">
        <v>196</v>
      </c>
      <c r="F641" s="44" t="s">
        <v>6</v>
      </c>
      <c r="G641" s="45">
        <v>1167000</v>
      </c>
      <c r="H641" s="44">
        <v>47</v>
      </c>
      <c r="I641" s="45">
        <v>18283000</v>
      </c>
      <c r="J641" s="44" t="s">
        <v>195</v>
      </c>
      <c r="K641" s="44" t="str">
        <f>INDEX(CLEANED_MotorPH_Products_List_2!C:C,MATCH(MotorPHSales[[#This Row],[Product]],CLEANED_MotorPH_Products_List_2!$B:$B,0))</f>
        <v>Sport</v>
      </c>
      <c r="L641" s="44" t="str">
        <f>INDEX(CLEANED_MotorPH_Products_List_2!E:E,MATCH(MotorPHSales[[#This Row],[Product]],CLEANED_MotorPH_Products_List_2!$B:$B,0))</f>
        <v>Parallel-twin</v>
      </c>
      <c r="M641" s="44" t="str">
        <f>INDEX(CLEANED_MotorPH_Products_List_2!F:F,MATCH(MotorPHSales[[#This Row],[Product]],CLEANED_MotorPH_Products_List_2!$B:$B,0))</f>
        <v>liquid-cooled</v>
      </c>
      <c r="N641" s="44" t="str">
        <f>INDEX(CLEANED_MotorPH_Products_List_2!G:G,MATCH(MotorPHSales[[#This Row],[Product]],CLEANED_MotorPH_Products_List_2!$B:$B,0))</f>
        <v>471cc</v>
      </c>
      <c r="O641" s="44" t="str">
        <f>INDEX(CLEANED_MotorPH_Products_List_2!K:K,MATCH(MotorPHSales[[#This Row],[Product]],CLEANED_MotorPH_Products_List_2!B:B,0))</f>
        <v>Mid-range</v>
      </c>
      <c r="P641" s="45">
        <f>IF(MotorPHSales[[#This Row],[Segment]]="Entry-level",MotorPHSales[[#This Row],[UnitPrice]]/(1+30%),IF(MotorPHSales[[#This Row],[Segment]]="Mid-range",MotorPHSales[[#This Row],[UnitPrice]]/(1+35%),MotorPHSales[[#This Row],[UnitPrice]]/(1+40%)))*MotorPHSales[[#This Row],[Quantity]]</f>
        <v>40628888.888888888</v>
      </c>
      <c r="Q641" s="44" t="str">
        <f>INDEX(CLEANED_MotorPH_Products_List_2!H:H,MATCH(MotorPHSales[[#This Row],[Product]],CLEANED_MotorPH_Products_List_2!$B:$B,0))</f>
        <v>6-speed</v>
      </c>
    </row>
    <row r="642" spans="1:17" ht="15.75" x14ac:dyDescent="0.3">
      <c r="A642" s="43">
        <v>45864</v>
      </c>
      <c r="B642" s="44" t="str">
        <f>TEXT(MotorPHSales[[#This Row],[Date]],"mmmm")</f>
        <v>July</v>
      </c>
      <c r="C642" s="44">
        <f>DAY(MotorPHSales[[#This Row],[Date]])</f>
        <v>26</v>
      </c>
      <c r="D642" s="44">
        <f>YEAR(MotorPHSales[[#This Row],[Date]])</f>
        <v>2025</v>
      </c>
      <c r="E642" s="44" t="s">
        <v>196</v>
      </c>
      <c r="F642" s="44" t="s">
        <v>99</v>
      </c>
      <c r="G642" s="45">
        <v>2067000</v>
      </c>
      <c r="H642" s="44">
        <v>14</v>
      </c>
      <c r="I642" s="45">
        <v>9646000</v>
      </c>
      <c r="J642" s="44" t="s">
        <v>198</v>
      </c>
      <c r="K642" s="44" t="str">
        <f>INDEX(CLEANED_MotorPH_Products_List_2!C:C,MATCH(MotorPHSales[[#This Row],[Product]],CLEANED_MotorPH_Products_List_2!$B:$B,0))</f>
        <v>Heritage</v>
      </c>
      <c r="L642" s="44" t="str">
        <f>INDEX(CLEANED_MotorPH_Products_List_2!E:E,MATCH(MotorPHSales[[#This Row],[Product]],CLEANED_MotorPH_Products_List_2!$B:$B,0))</f>
        <v>V-twin</v>
      </c>
      <c r="M642" s="44" t="str">
        <f>INDEX(CLEANED_MotorPH_Products_List_2!F:F,MATCH(MotorPHSales[[#This Row],[Product]],CLEANED_MotorPH_Products_List_2!$B:$B,0))</f>
        <v>air-cooled</v>
      </c>
      <c r="N642" s="44" t="str">
        <f>INDEX(CLEANED_MotorPH_Products_List_2!G:G,MATCH(MotorPHSales[[#This Row],[Product]],CLEANED_MotorPH_Products_List_2!$B:$B,0))</f>
        <v>853cc</v>
      </c>
      <c r="O642" s="44" t="str">
        <f>INDEX(CLEANED_MotorPH_Products_List_2!K:K,MATCH(MotorPHSales[[#This Row],[Product]],CLEANED_MotorPH_Products_List_2!B:B,0))</f>
        <v>Premium</v>
      </c>
      <c r="P642" s="45">
        <f>IF(MotorPHSales[[#This Row],[Segment]]="Entry-level",MotorPHSales[[#This Row],[UnitPrice]]/(1+30%),IF(MotorPHSales[[#This Row],[Segment]]="Mid-range",MotorPHSales[[#This Row],[UnitPrice]]/(1+35%),MotorPHSales[[#This Row],[UnitPrice]]/(1+40%)))*MotorPHSales[[#This Row],[Quantity]]</f>
        <v>20670000.000000004</v>
      </c>
      <c r="Q642" s="44" t="str">
        <f>INDEX(CLEANED_MotorPH_Products_List_2!H:H,MATCH(MotorPHSales[[#This Row],[Product]],CLEANED_MotorPH_Products_List_2!$B:$B,0))</f>
        <v>6-speed</v>
      </c>
    </row>
    <row r="643" spans="1:17" ht="15.75" x14ac:dyDescent="0.3">
      <c r="A643" s="43">
        <v>45841</v>
      </c>
      <c r="B643" s="44" t="str">
        <f>TEXT(MotorPHSales[[#This Row],[Date]],"mmmm")</f>
        <v>July</v>
      </c>
      <c r="C643" s="44">
        <f>DAY(MotorPHSales[[#This Row],[Date]])</f>
        <v>3</v>
      </c>
      <c r="D643" s="44">
        <f>YEAR(MotorPHSales[[#This Row],[Date]])</f>
        <v>2025</v>
      </c>
      <c r="E643" s="44" t="s">
        <v>194</v>
      </c>
      <c r="F643" s="44" t="s">
        <v>55</v>
      </c>
      <c r="G643" s="45">
        <v>80900</v>
      </c>
      <c r="H643" s="44">
        <v>15</v>
      </c>
      <c r="I643" s="45">
        <v>1213500</v>
      </c>
      <c r="J643" s="44" t="s">
        <v>195</v>
      </c>
      <c r="K643" s="44" t="str">
        <f>INDEX(CLEANED_MotorPH_Products_List_2!C:C,MATCH(MotorPHSales[[#This Row],[Product]],CLEANED_MotorPH_Products_List_2!$B:$B,0))</f>
        <v>Scooter</v>
      </c>
      <c r="L643" s="44" t="str">
        <f>INDEX(CLEANED_MotorPH_Products_List_2!E:E,MATCH(MotorPHSales[[#This Row],[Product]],CLEANED_MotorPH_Products_List_2!$B:$B,0))</f>
        <v>Single cylinder</v>
      </c>
      <c r="M643" s="44" t="str">
        <f>INDEX(CLEANED_MotorPH_Products_List_2!F:F,MATCH(MotorPHSales[[#This Row],[Product]],CLEANED_MotorPH_Products_List_2!$B:$B,0))</f>
        <v>liquid-cooled</v>
      </c>
      <c r="N643" s="44" t="str">
        <f>INDEX(CLEANED_MotorPH_Products_List_2!G:G,MATCH(MotorPHSales[[#This Row],[Product]],CLEANED_MotorPH_Products_List_2!$B:$B,0))</f>
        <v>125cc</v>
      </c>
      <c r="O643" s="44" t="str">
        <f>INDEX(CLEANED_MotorPH_Products_List_2!K:K,MATCH(MotorPHSales[[#This Row],[Product]],CLEANED_MotorPH_Products_List_2!B:B,0))</f>
        <v>Entry-level</v>
      </c>
      <c r="P643" s="45">
        <f>IF(MotorPHSales[[#This Row],[Segment]]="Entry-level",MotorPHSales[[#This Row],[UnitPrice]]/(1+30%),IF(MotorPHSales[[#This Row],[Segment]]="Mid-range",MotorPHSales[[#This Row],[UnitPrice]]/(1+35%),MotorPHSales[[#This Row],[UnitPrice]]/(1+40%)))*MotorPHSales[[#This Row],[Quantity]]</f>
        <v>933461.53846153838</v>
      </c>
      <c r="Q643" s="44" t="str">
        <f>INDEX(CLEANED_MotorPH_Products_List_2!H:H,MATCH(MotorPHSales[[#This Row],[Product]],CLEANED_MotorPH_Products_List_2!$B:$B,0))</f>
        <v>CVT</v>
      </c>
    </row>
    <row r="644" spans="1:17" ht="15.75" x14ac:dyDescent="0.3">
      <c r="A644" s="43">
        <v>45846</v>
      </c>
      <c r="B644" s="44" t="str">
        <f>TEXT(MotorPHSales[[#This Row],[Date]],"mmmm")</f>
        <v>July</v>
      </c>
      <c r="C644" s="44">
        <f>DAY(MotorPHSales[[#This Row],[Date]])</f>
        <v>8</v>
      </c>
      <c r="D644" s="44">
        <f>YEAR(MotorPHSales[[#This Row],[Date]])</f>
        <v>2025</v>
      </c>
      <c r="E644" s="44" t="s">
        <v>194</v>
      </c>
      <c r="F644" s="44" t="s">
        <v>88</v>
      </c>
      <c r="G644" s="45">
        <v>599000</v>
      </c>
      <c r="H644" s="44">
        <v>5</v>
      </c>
      <c r="I644" s="45">
        <v>2995000</v>
      </c>
      <c r="J644" s="44" t="s">
        <v>198</v>
      </c>
      <c r="K644" s="44" t="str">
        <f>INDEX(CLEANED_MotorPH_Products_List_2!C:C,MATCH(MotorPHSales[[#This Row],[Product]],CLEANED_MotorPH_Products_List_2!$B:$B,0))</f>
        <v>Naked bike</v>
      </c>
      <c r="L644" s="44" t="str">
        <f>INDEX(CLEANED_MotorPH_Products_List_2!E:E,MATCH(MotorPHSales[[#This Row],[Product]],CLEANED_MotorPH_Products_List_2!$B:$B,0))</f>
        <v>Parallel-twin</v>
      </c>
      <c r="M644" s="44" t="str">
        <f>INDEX(CLEANED_MotorPH_Products_List_2!F:F,MATCH(MotorPHSales[[#This Row],[Product]],CLEANED_MotorPH_Products_List_2!$B:$B,0))</f>
        <v>liquid-cooled</v>
      </c>
      <c r="N644" s="44" t="str">
        <f>INDEX(CLEANED_MotorPH_Products_List_2!G:G,MATCH(MotorPHSales[[#This Row],[Product]],CLEANED_MotorPH_Products_List_2!$B:$B,0))</f>
        <v>799cc</v>
      </c>
      <c r="O644" s="44" t="str">
        <f>INDEX(CLEANED_MotorPH_Products_List_2!K:K,MATCH(MotorPHSales[[#This Row],[Product]],CLEANED_MotorPH_Products_List_2!B:B,0))</f>
        <v>Premium</v>
      </c>
      <c r="P644" s="45">
        <f>IF(MotorPHSales[[#This Row],[Segment]]="Entry-level",MotorPHSales[[#This Row],[UnitPrice]]/(1+30%),IF(MotorPHSales[[#This Row],[Segment]]="Mid-range",MotorPHSales[[#This Row],[UnitPrice]]/(1+35%),MotorPHSales[[#This Row],[UnitPrice]]/(1+40%)))*MotorPHSales[[#This Row],[Quantity]]</f>
        <v>2139285.7142857146</v>
      </c>
      <c r="Q644" s="44" t="str">
        <f>INDEX(CLEANED_MotorPH_Products_List_2!H:H,MATCH(MotorPHSales[[#This Row],[Product]],CLEANED_MotorPH_Products_List_2!$B:$B,0))</f>
        <v>6-speed</v>
      </c>
    </row>
    <row r="645" spans="1:17" ht="15.75" x14ac:dyDescent="0.3">
      <c r="A645" s="43">
        <v>45814</v>
      </c>
      <c r="B645" s="44" t="str">
        <f>TEXT(MotorPHSales[[#This Row],[Date]],"mmmm")</f>
        <v>June</v>
      </c>
      <c r="C645" s="44">
        <f>DAY(MotorPHSales[[#This Row],[Date]])</f>
        <v>6</v>
      </c>
      <c r="D645" s="44">
        <f>YEAR(MotorPHSales[[#This Row],[Date]])</f>
        <v>2025</v>
      </c>
      <c r="E645" s="44" t="s">
        <v>194</v>
      </c>
      <c r="F645" s="44" t="s">
        <v>12</v>
      </c>
      <c r="G645" s="45">
        <v>119900</v>
      </c>
      <c r="H645" s="44">
        <v>7</v>
      </c>
      <c r="I645" s="45">
        <v>839300</v>
      </c>
      <c r="J645" s="44" t="s">
        <v>197</v>
      </c>
      <c r="K645" s="44" t="str">
        <f>INDEX(CLEANED_MotorPH_Products_List_2!C:C,MATCH(MotorPHSales[[#This Row],[Product]],CLEANED_MotorPH_Products_List_2!$B:$B,0))</f>
        <v>Underbone</v>
      </c>
      <c r="L645" s="44" t="str">
        <f>INDEX(CLEANED_MotorPH_Products_List_2!E:E,MATCH(MotorPHSales[[#This Row],[Product]],CLEANED_MotorPH_Products_List_2!$B:$B,0))</f>
        <v>Single cylinder</v>
      </c>
      <c r="M645" s="44" t="str">
        <f>INDEX(CLEANED_MotorPH_Products_List_2!F:F,MATCH(MotorPHSales[[#This Row],[Product]],CLEANED_MotorPH_Products_List_2!$B:$B,0))</f>
        <v>liquid-cooled</v>
      </c>
      <c r="N645" s="44" t="str">
        <f>INDEX(CLEANED_MotorPH_Products_List_2!G:G,MATCH(MotorPHSales[[#This Row],[Product]],CLEANED_MotorPH_Products_List_2!$B:$B,0))</f>
        <v>150cc</v>
      </c>
      <c r="O645" s="44" t="str">
        <f>INDEX(CLEANED_MotorPH_Products_List_2!K:K,MATCH(MotorPHSales[[#This Row],[Product]],CLEANED_MotorPH_Products_List_2!B:B,0))</f>
        <v>Entry-level</v>
      </c>
      <c r="P645" s="45">
        <f>IF(MotorPHSales[[#This Row],[Segment]]="Entry-level",MotorPHSales[[#This Row],[UnitPrice]]/(1+30%),IF(MotorPHSales[[#This Row],[Segment]]="Mid-range",MotorPHSales[[#This Row],[UnitPrice]]/(1+35%),MotorPHSales[[#This Row],[UnitPrice]]/(1+40%)))*MotorPHSales[[#This Row],[Quantity]]</f>
        <v>645615.38461538462</v>
      </c>
      <c r="Q645" s="44" t="str">
        <f>INDEX(CLEANED_MotorPH_Products_List_2!H:H,MATCH(MotorPHSales[[#This Row],[Product]],CLEANED_MotorPH_Products_List_2!$B:$B,0))</f>
        <v>6-speed</v>
      </c>
    </row>
    <row r="646" spans="1:17" ht="15.75" x14ac:dyDescent="0.3">
      <c r="A646" s="43">
        <v>45866</v>
      </c>
      <c r="B646" s="44" t="str">
        <f>TEXT(MotorPHSales[[#This Row],[Date]],"mmmm")</f>
        <v>July</v>
      </c>
      <c r="C646" s="44">
        <f>DAY(MotorPHSales[[#This Row],[Date]])</f>
        <v>28</v>
      </c>
      <c r="D646" s="44">
        <f>YEAR(MotorPHSales[[#This Row],[Date]])</f>
        <v>2025</v>
      </c>
      <c r="E646" s="44" t="s">
        <v>196</v>
      </c>
      <c r="F646" s="44" t="s">
        <v>59</v>
      </c>
      <c r="G646" s="45">
        <v>67900</v>
      </c>
      <c r="H646" s="44">
        <v>30</v>
      </c>
      <c r="I646" s="45">
        <v>2037000</v>
      </c>
      <c r="J646" s="44" t="s">
        <v>197</v>
      </c>
      <c r="K646" s="44" t="str">
        <f>INDEX(CLEANED_MotorPH_Products_List_2!C:C,MATCH(MotorPHSales[[#This Row],[Product]],CLEANED_MotorPH_Products_List_2!$B:$B,0))</f>
        <v>Commuter</v>
      </c>
      <c r="L646" s="44" t="str">
        <f>INDEX(CLEANED_MotorPH_Products_List_2!E:E,MATCH(MotorPHSales[[#This Row],[Product]],CLEANED_MotorPH_Products_List_2!$B:$B,0))</f>
        <v>Single cylinder</v>
      </c>
      <c r="M646" s="44" t="str">
        <f>INDEX(CLEANED_MotorPH_Products_List_2!F:F,MATCH(MotorPHSales[[#This Row],[Product]],CLEANED_MotorPH_Products_List_2!$B:$B,0))</f>
        <v>air-cooled</v>
      </c>
      <c r="N646" s="44" t="str">
        <f>INDEX(CLEANED_MotorPH_Products_List_2!G:G,MATCH(MotorPHSales[[#This Row],[Product]],CLEANED_MotorPH_Products_List_2!$B:$B,0))</f>
        <v>125cc</v>
      </c>
      <c r="O646" s="44" t="str">
        <f>INDEX(CLEANED_MotorPH_Products_List_2!K:K,MATCH(MotorPHSales[[#This Row],[Product]],CLEANED_MotorPH_Products_List_2!B:B,0))</f>
        <v>Entry-level</v>
      </c>
      <c r="P646" s="45">
        <f>IF(MotorPHSales[[#This Row],[Segment]]="Entry-level",MotorPHSales[[#This Row],[UnitPrice]]/(1+30%),IF(MotorPHSales[[#This Row],[Segment]]="Mid-range",MotorPHSales[[#This Row],[UnitPrice]]/(1+35%),MotorPHSales[[#This Row],[UnitPrice]]/(1+40%)))*MotorPHSales[[#This Row],[Quantity]]</f>
        <v>1566923.0769230768</v>
      </c>
      <c r="Q646" s="44" t="str">
        <f>INDEX(CLEANED_MotorPH_Products_List_2!H:H,MATCH(MotorPHSales[[#This Row],[Product]],CLEANED_MotorPH_Products_List_2!$B:$B,0))</f>
        <v>4-speed</v>
      </c>
    </row>
    <row r="647" spans="1:17" ht="15.75" x14ac:dyDescent="0.3">
      <c r="A647" s="43">
        <v>45852</v>
      </c>
      <c r="B647" s="44" t="str">
        <f>TEXT(MotorPHSales[[#This Row],[Date]],"mmmm")</f>
        <v>July</v>
      </c>
      <c r="C647" s="44">
        <f>DAY(MotorPHSales[[#This Row],[Date]])</f>
        <v>14</v>
      </c>
      <c r="D647" s="44">
        <f>YEAR(MotorPHSales[[#This Row],[Date]])</f>
        <v>2025</v>
      </c>
      <c r="E647" s="44" t="s">
        <v>196</v>
      </c>
      <c r="F647" s="44" t="s">
        <v>46</v>
      </c>
      <c r="G647" s="45">
        <v>124000</v>
      </c>
      <c r="H647" s="44">
        <v>11</v>
      </c>
      <c r="I647" s="45">
        <v>1364000</v>
      </c>
      <c r="J647" s="44" t="s">
        <v>195</v>
      </c>
      <c r="K647" s="44" t="str">
        <f>INDEX(CLEANED_MotorPH_Products_List_2!C:C,MATCH(MotorPHSales[[#This Row],[Product]],CLEANED_MotorPH_Products_List_2!$B:$B,0))</f>
        <v>Scooter</v>
      </c>
      <c r="L647" s="44" t="str">
        <f>INDEX(CLEANED_MotorPH_Products_List_2!E:E,MATCH(MotorPHSales[[#This Row],[Product]],CLEANED_MotorPH_Products_List_2!$B:$B,0))</f>
        <v>Single cylinder</v>
      </c>
      <c r="M647" s="44" t="str">
        <f>INDEX(CLEANED_MotorPH_Products_List_2!F:F,MATCH(MotorPHSales[[#This Row],[Product]],CLEANED_MotorPH_Products_List_2!$B:$B,0))</f>
        <v>liquid-cooled</v>
      </c>
      <c r="N647" s="44" t="str">
        <f>INDEX(CLEANED_MotorPH_Products_List_2!G:G,MATCH(MotorPHSales[[#This Row],[Product]],CLEANED_MotorPH_Products_List_2!$B:$B,0))</f>
        <v>155cc</v>
      </c>
      <c r="O647" s="44" t="str">
        <f>INDEX(CLEANED_MotorPH_Products_List_2!K:K,MATCH(MotorPHSales[[#This Row],[Product]],CLEANED_MotorPH_Products_List_2!B:B,0))</f>
        <v>Entry-level</v>
      </c>
      <c r="P647" s="45">
        <f>IF(MotorPHSales[[#This Row],[Segment]]="Entry-level",MotorPHSales[[#This Row],[UnitPrice]]/(1+30%),IF(MotorPHSales[[#This Row],[Segment]]="Mid-range",MotorPHSales[[#This Row],[UnitPrice]]/(1+35%),MotorPHSales[[#This Row],[UnitPrice]]/(1+40%)))*MotorPHSales[[#This Row],[Quantity]]</f>
        <v>1049230.769230769</v>
      </c>
      <c r="Q647" s="44" t="str">
        <f>INDEX(CLEANED_MotorPH_Products_List_2!H:H,MATCH(MotorPHSales[[#This Row],[Product]],CLEANED_MotorPH_Products_List_2!$B:$B,0))</f>
        <v>CVT</v>
      </c>
    </row>
    <row r="648" spans="1:17" ht="15.75" x14ac:dyDescent="0.3">
      <c r="A648" s="43">
        <v>45853</v>
      </c>
      <c r="B648" s="44" t="str">
        <f>TEXT(MotorPHSales[[#This Row],[Date]],"mmmm")</f>
        <v>July</v>
      </c>
      <c r="C648" s="44">
        <f>DAY(MotorPHSales[[#This Row],[Date]])</f>
        <v>15</v>
      </c>
      <c r="D648" s="44">
        <f>YEAR(MotorPHSales[[#This Row],[Date]])</f>
        <v>2025</v>
      </c>
      <c r="E648" s="44" t="s">
        <v>194</v>
      </c>
      <c r="F648" s="44" t="s">
        <v>14</v>
      </c>
      <c r="G648" s="45">
        <v>250000</v>
      </c>
      <c r="H648" s="44">
        <v>23</v>
      </c>
      <c r="I648" s="45">
        <v>5750000</v>
      </c>
      <c r="J648" s="44" t="s">
        <v>197</v>
      </c>
      <c r="K648" s="44" t="str">
        <f>INDEX(CLEANED_MotorPH_Products_List_2!C:C,MATCH(MotorPHSales[[#This Row],[Product]],CLEANED_MotorPH_Products_List_2!$B:$B,0))</f>
        <v>Classic</v>
      </c>
      <c r="L648" s="44" t="str">
        <f>INDEX(CLEANED_MotorPH_Products_List_2!E:E,MATCH(MotorPHSales[[#This Row],[Product]],CLEANED_MotorPH_Products_List_2!$B:$B,0))</f>
        <v>Single cylinder</v>
      </c>
      <c r="M648" s="44" t="str">
        <f>INDEX(CLEANED_MotorPH_Products_List_2!F:F,MATCH(MotorPHSales[[#This Row],[Product]],CLEANED_MotorPH_Products_List_2!$B:$B,0))</f>
        <v>air-cooled</v>
      </c>
      <c r="N648" s="44" t="str">
        <f>INDEX(CLEANED_MotorPH_Products_List_2!G:G,MATCH(MotorPHSales[[#This Row],[Product]],CLEANED_MotorPH_Products_List_2!$B:$B,0))</f>
        <v>349cc</v>
      </c>
      <c r="O648" s="44" t="str">
        <f>INDEX(CLEANED_MotorPH_Products_List_2!K:K,MATCH(MotorPHSales[[#This Row],[Product]],CLEANED_MotorPH_Products_List_2!B:B,0))</f>
        <v>Mid-range</v>
      </c>
      <c r="P648" s="45">
        <f>IF(MotorPHSales[[#This Row],[Segment]]="Entry-level",MotorPHSales[[#This Row],[UnitPrice]]/(1+30%),IF(MotorPHSales[[#This Row],[Segment]]="Mid-range",MotorPHSales[[#This Row],[UnitPrice]]/(1+35%),MotorPHSales[[#This Row],[UnitPrice]]/(1+40%)))*MotorPHSales[[#This Row],[Quantity]]</f>
        <v>4259259.2592592593</v>
      </c>
      <c r="Q648" s="44" t="str">
        <f>INDEX(CLEANED_MotorPH_Products_List_2!H:H,MATCH(MotorPHSales[[#This Row],[Product]],CLEANED_MotorPH_Products_List_2!$B:$B,0))</f>
        <v>5-speed</v>
      </c>
    </row>
    <row r="649" spans="1:17" ht="15.75" x14ac:dyDescent="0.3">
      <c r="A649" s="43">
        <v>45840</v>
      </c>
      <c r="B649" s="44" t="str">
        <f>TEXT(MotorPHSales[[#This Row],[Date]],"mmmm")</f>
        <v>July</v>
      </c>
      <c r="C649" s="44">
        <f>DAY(MotorPHSales[[#This Row],[Date]])</f>
        <v>2</v>
      </c>
      <c r="D649" s="44">
        <f>YEAR(MotorPHSales[[#This Row],[Date]])</f>
        <v>2025</v>
      </c>
      <c r="E649" s="44" t="s">
        <v>196</v>
      </c>
      <c r="F649" s="44" t="s">
        <v>44</v>
      </c>
      <c r="G649" s="45">
        <v>331000</v>
      </c>
      <c r="H649" s="44">
        <v>39</v>
      </c>
      <c r="I649" s="45">
        <v>12909000</v>
      </c>
      <c r="J649" s="44" t="s">
        <v>195</v>
      </c>
      <c r="K649" s="44" t="str">
        <f>INDEX(CLEANED_MotorPH_Products_List_2!C:C,MATCH(MotorPHSales[[#This Row],[Product]],CLEANED_MotorPH_Products_List_2!$B:$B,0))</f>
        <v>Naked bike</v>
      </c>
      <c r="L649" s="44" t="str">
        <f>INDEX(CLEANED_MotorPH_Products_List_2!E:E,MATCH(MotorPHSales[[#This Row],[Product]],CLEANED_MotorPH_Products_List_2!$B:$B,0))</f>
        <v>Parallel-twin</v>
      </c>
      <c r="M649" s="44" t="str">
        <f>INDEX(CLEANED_MotorPH_Products_List_2!F:F,MATCH(MotorPHSales[[#This Row],[Product]],CLEANED_MotorPH_Products_List_2!$B:$B,0))</f>
        <v>liquid-cooled</v>
      </c>
      <c r="N649" s="44" t="str">
        <f>INDEX(CLEANED_MotorPH_Products_List_2!G:G,MATCH(MotorPHSales[[#This Row],[Product]],CLEANED_MotorPH_Products_List_2!$B:$B,0))</f>
        <v>399cc</v>
      </c>
      <c r="O649" s="44" t="str">
        <f>INDEX(CLEANED_MotorPH_Products_List_2!K:K,MATCH(MotorPHSales[[#This Row],[Product]],CLEANED_MotorPH_Products_List_2!B:B,0))</f>
        <v>Mid-range</v>
      </c>
      <c r="P649" s="45">
        <f>IF(MotorPHSales[[#This Row],[Segment]]="Entry-level",MotorPHSales[[#This Row],[UnitPrice]]/(1+30%),IF(MotorPHSales[[#This Row],[Segment]]="Mid-range",MotorPHSales[[#This Row],[UnitPrice]]/(1+35%),MotorPHSales[[#This Row],[UnitPrice]]/(1+40%)))*MotorPHSales[[#This Row],[Quantity]]</f>
        <v>9562222.222222222</v>
      </c>
      <c r="Q649" s="44" t="str">
        <f>INDEX(CLEANED_MotorPH_Products_List_2!H:H,MATCH(MotorPHSales[[#This Row],[Product]],CLEANED_MotorPH_Products_List_2!$B:$B,0))</f>
        <v>6-speed</v>
      </c>
    </row>
    <row r="650" spans="1:17" ht="15.75" x14ac:dyDescent="0.3">
      <c r="A650" s="43">
        <v>45853</v>
      </c>
      <c r="B650" s="44" t="str">
        <f>TEXT(MotorPHSales[[#This Row],[Date]],"mmmm")</f>
        <v>July</v>
      </c>
      <c r="C650" s="44">
        <f>DAY(MotorPHSales[[#This Row],[Date]])</f>
        <v>15</v>
      </c>
      <c r="D650" s="44">
        <f>YEAR(MotorPHSales[[#This Row],[Date]])</f>
        <v>2025</v>
      </c>
      <c r="E650" s="44" t="s">
        <v>194</v>
      </c>
      <c r="F650" s="44" t="s">
        <v>22</v>
      </c>
      <c r="G650" s="45">
        <v>182000</v>
      </c>
      <c r="H650" s="44">
        <v>20</v>
      </c>
      <c r="I650" s="45">
        <v>3640000</v>
      </c>
      <c r="J650" s="44" t="s">
        <v>197</v>
      </c>
      <c r="K650" s="44" t="str">
        <f>INDEX(CLEANED_MotorPH_Products_List_2!C:C,MATCH(MotorPHSales[[#This Row],[Product]],CLEANED_MotorPH_Products_List_2!$B:$B,0))</f>
        <v>Retro</v>
      </c>
      <c r="L650" s="44" t="str">
        <f>INDEX(CLEANED_MotorPH_Products_List_2!E:E,MATCH(MotorPHSales[[#This Row],[Product]],CLEANED_MotorPH_Products_List_2!$B:$B,0))</f>
        <v>Single cylinder</v>
      </c>
      <c r="M650" s="44" t="str">
        <f>INDEX(CLEANED_MotorPH_Products_List_2!F:F,MATCH(MotorPHSales[[#This Row],[Product]],CLEANED_MotorPH_Products_List_2!$B:$B,0))</f>
        <v>liquid-cooled</v>
      </c>
      <c r="N650" s="44" t="str">
        <f>INDEX(CLEANED_MotorPH_Products_List_2!G:G,MATCH(MotorPHSales[[#This Row],[Product]],CLEANED_MotorPH_Products_List_2!$B:$B,0))</f>
        <v>155cc</v>
      </c>
      <c r="O650" s="44" t="str">
        <f>INDEX(CLEANED_MotorPH_Products_List_2!K:K,MATCH(MotorPHSales[[#This Row],[Product]],CLEANED_MotorPH_Products_List_2!B:B,0))</f>
        <v>Entry-level</v>
      </c>
      <c r="P650" s="45">
        <f>IF(MotorPHSales[[#This Row],[Segment]]="Entry-level",MotorPHSales[[#This Row],[UnitPrice]]/(1+30%),IF(MotorPHSales[[#This Row],[Segment]]="Mid-range",MotorPHSales[[#This Row],[UnitPrice]]/(1+35%),MotorPHSales[[#This Row],[UnitPrice]]/(1+40%)))*MotorPHSales[[#This Row],[Quantity]]</f>
        <v>2800000</v>
      </c>
      <c r="Q650" s="44" t="str">
        <f>INDEX(CLEANED_MotorPH_Products_List_2!H:H,MATCH(MotorPHSales[[#This Row],[Product]],CLEANED_MotorPH_Products_List_2!$B:$B,0))</f>
        <v>6-speed</v>
      </c>
    </row>
    <row r="651" spans="1:17" ht="15.75" x14ac:dyDescent="0.3">
      <c r="A651" s="43">
        <v>45869</v>
      </c>
      <c r="B651" s="44" t="str">
        <f>TEXT(MotorPHSales[[#This Row],[Date]],"mmmm")</f>
        <v>July</v>
      </c>
      <c r="C651" s="44">
        <f>DAY(MotorPHSales[[#This Row],[Date]])</f>
        <v>31</v>
      </c>
      <c r="D651" s="44">
        <f>YEAR(MotorPHSales[[#This Row],[Date]])</f>
        <v>2025</v>
      </c>
      <c r="E651" s="44" t="s">
        <v>194</v>
      </c>
      <c r="F651" s="44" t="s">
        <v>70</v>
      </c>
      <c r="G651" s="45">
        <v>219000</v>
      </c>
      <c r="H651" s="44">
        <v>25</v>
      </c>
      <c r="I651" s="45">
        <v>5475000</v>
      </c>
      <c r="J651" s="44" t="s">
        <v>197</v>
      </c>
      <c r="K651" s="44" t="str">
        <f>INDEX(CLEANED_MotorPH_Products_List_2!C:C,MATCH(MotorPHSales[[#This Row],[Product]],CLEANED_MotorPH_Products_List_2!$B:$B,0))</f>
        <v>Scooter</v>
      </c>
      <c r="L651" s="44" t="str">
        <f>INDEX(CLEANED_MotorPH_Products_List_2!E:E,MATCH(MotorPHSales[[#This Row],[Product]],CLEANED_MotorPH_Products_List_2!$B:$B,0))</f>
        <v>Single cylinder</v>
      </c>
      <c r="M651" s="44" t="str">
        <f>INDEX(CLEANED_MotorPH_Products_List_2!F:F,MATCH(MotorPHSales[[#This Row],[Product]],CLEANED_MotorPH_Products_List_2!$B:$B,0))</f>
        <v>liquid-cooled</v>
      </c>
      <c r="N651" s="44" t="str">
        <f>INDEX(CLEANED_MotorPH_Products_List_2!G:G,MATCH(MotorPHSales[[#This Row],[Product]],CLEANED_MotorPH_Products_List_2!$B:$B,0))</f>
        <v>174cc</v>
      </c>
      <c r="O651" s="44" t="str">
        <f>INDEX(CLEANED_MotorPH_Products_List_2!K:K,MATCH(MotorPHSales[[#This Row],[Product]],CLEANED_MotorPH_Products_List_2!B:B,0))</f>
        <v>Entry-level</v>
      </c>
      <c r="P651" s="45">
        <f>IF(MotorPHSales[[#This Row],[Segment]]="Entry-level",MotorPHSales[[#This Row],[UnitPrice]]/(1+30%),IF(MotorPHSales[[#This Row],[Segment]]="Mid-range",MotorPHSales[[#This Row],[UnitPrice]]/(1+35%),MotorPHSales[[#This Row],[UnitPrice]]/(1+40%)))*MotorPHSales[[#This Row],[Quantity]]</f>
        <v>4211538.461538462</v>
      </c>
      <c r="Q651" s="44" t="str">
        <f>INDEX(CLEANED_MotorPH_Products_List_2!H:H,MATCH(MotorPHSales[[#This Row],[Product]],CLEANED_MotorPH_Products_List_2!$B:$B,0))</f>
        <v>CVT</v>
      </c>
    </row>
    <row r="652" spans="1:17" ht="15.75" x14ac:dyDescent="0.3">
      <c r="A652" s="43">
        <v>45855</v>
      </c>
      <c r="B652" s="44" t="str">
        <f>TEXT(MotorPHSales[[#This Row],[Date]],"mmmm")</f>
        <v>July</v>
      </c>
      <c r="C652" s="44">
        <f>DAY(MotorPHSales[[#This Row],[Date]])</f>
        <v>17</v>
      </c>
      <c r="D652" s="44">
        <f>YEAR(MotorPHSales[[#This Row],[Date]])</f>
        <v>2025</v>
      </c>
      <c r="E652" s="44" t="s">
        <v>196</v>
      </c>
      <c r="F652" s="44" t="s">
        <v>38</v>
      </c>
      <c r="G652" s="45">
        <v>295000</v>
      </c>
      <c r="H652" s="44">
        <v>4</v>
      </c>
      <c r="I652" s="45">
        <v>1180000</v>
      </c>
      <c r="J652" s="44" t="s">
        <v>197</v>
      </c>
      <c r="K652" s="44" t="str">
        <f>INDEX(CLEANED_MotorPH_Products_List_2!C:C,MATCH(MotorPHSales[[#This Row],[Product]],CLEANED_MotorPH_Products_List_2!$B:$B,0))</f>
        <v>Scrambler</v>
      </c>
      <c r="L652" s="44" t="str">
        <f>INDEX(CLEANED_MotorPH_Products_List_2!E:E,MATCH(MotorPHSales[[#This Row],[Product]],CLEANED_MotorPH_Products_List_2!$B:$B,0))</f>
        <v>Single cylinder</v>
      </c>
      <c r="M652" s="44" t="str">
        <f>INDEX(CLEANED_MotorPH_Products_List_2!F:F,MATCH(MotorPHSales[[#This Row],[Product]],CLEANED_MotorPH_Products_List_2!$B:$B,0))</f>
        <v>liquid-cooled</v>
      </c>
      <c r="N652" s="44" t="str">
        <f>INDEX(CLEANED_MotorPH_Products_List_2!G:G,MATCH(MotorPHSales[[#This Row],[Product]],CLEANED_MotorPH_Products_List_2!$B:$B,0))</f>
        <v>373cc</v>
      </c>
      <c r="O652" s="44" t="str">
        <f>INDEX(CLEANED_MotorPH_Products_List_2!K:K,MATCH(MotorPHSales[[#This Row],[Product]],CLEANED_MotorPH_Products_List_2!B:B,0))</f>
        <v>Mid-range</v>
      </c>
      <c r="P652" s="45">
        <f>IF(MotorPHSales[[#This Row],[Segment]]="Entry-level",MotorPHSales[[#This Row],[UnitPrice]]/(1+30%),IF(MotorPHSales[[#This Row],[Segment]]="Mid-range",MotorPHSales[[#This Row],[UnitPrice]]/(1+35%),MotorPHSales[[#This Row],[UnitPrice]]/(1+40%)))*MotorPHSales[[#This Row],[Quantity]]</f>
        <v>874074.07407407404</v>
      </c>
      <c r="Q652" s="44" t="str">
        <f>INDEX(CLEANED_MotorPH_Products_List_2!H:H,MATCH(MotorPHSales[[#This Row],[Product]],CLEANED_MotorPH_Products_List_2!$B:$B,0))</f>
        <v>6-speed</v>
      </c>
    </row>
    <row r="653" spans="1:17" ht="15.75" x14ac:dyDescent="0.3">
      <c r="A653" s="43">
        <v>45829</v>
      </c>
      <c r="B653" s="44" t="str">
        <f>TEXT(MotorPHSales[[#This Row],[Date]],"mmmm")</f>
        <v>June</v>
      </c>
      <c r="C653" s="44">
        <f>DAY(MotorPHSales[[#This Row],[Date]])</f>
        <v>21</v>
      </c>
      <c r="D653" s="44">
        <f>YEAR(MotorPHSales[[#This Row],[Date]])</f>
        <v>2025</v>
      </c>
      <c r="E653" s="44" t="s">
        <v>196</v>
      </c>
      <c r="F653" s="44" t="s">
        <v>92</v>
      </c>
      <c r="G653" s="45">
        <v>289000</v>
      </c>
      <c r="H653" s="44">
        <v>10</v>
      </c>
      <c r="I653" s="45">
        <v>2890000</v>
      </c>
      <c r="J653" s="44" t="s">
        <v>197</v>
      </c>
      <c r="K653" s="44" t="str">
        <f>INDEX(CLEANED_MotorPH_Products_List_2!C:C,MATCH(MotorPHSales[[#This Row],[Product]],CLEANED_MotorPH_Products_List_2!$B:$B,0))</f>
        <v>Scooter</v>
      </c>
      <c r="L653" s="44" t="str">
        <f>INDEX(CLEANED_MotorPH_Products_List_2!E:E,MATCH(MotorPHSales[[#This Row],[Product]],CLEANED_MotorPH_Products_List_2!$B:$B,0))</f>
        <v>Single cylinder</v>
      </c>
      <c r="M653" s="44" t="str">
        <f>INDEX(CLEANED_MotorPH_Products_List_2!F:F,MATCH(MotorPHSales[[#This Row],[Product]],CLEANED_MotorPH_Products_List_2!$B:$B,0))</f>
        <v>liquid-cooled</v>
      </c>
      <c r="N653" s="44" t="str">
        <f>INDEX(CLEANED_MotorPH_Products_List_2!G:G,MATCH(MotorPHSales[[#This Row],[Product]],CLEANED_MotorPH_Products_List_2!$B:$B,0))</f>
        <v>181cc</v>
      </c>
      <c r="O653" s="44" t="str">
        <f>INDEX(CLEANED_MotorPH_Products_List_2!K:K,MATCH(MotorPHSales[[#This Row],[Product]],CLEANED_MotorPH_Products_List_2!B:B,0))</f>
        <v>Entry-level</v>
      </c>
      <c r="P653" s="45">
        <f>IF(MotorPHSales[[#This Row],[Segment]]="Entry-level",MotorPHSales[[#This Row],[UnitPrice]]/(1+30%),IF(MotorPHSales[[#This Row],[Segment]]="Mid-range",MotorPHSales[[#This Row],[UnitPrice]]/(1+35%),MotorPHSales[[#This Row],[UnitPrice]]/(1+40%)))*MotorPHSales[[#This Row],[Quantity]]</f>
        <v>2223076.923076923</v>
      </c>
      <c r="Q653" s="44" t="str">
        <f>INDEX(CLEANED_MotorPH_Products_List_2!H:H,MATCH(MotorPHSales[[#This Row],[Product]],CLEANED_MotorPH_Products_List_2!$B:$B,0))</f>
        <v>CVT</v>
      </c>
    </row>
    <row r="654" spans="1:17" ht="15.75" x14ac:dyDescent="0.3">
      <c r="A654" s="43">
        <v>45893</v>
      </c>
      <c r="B654" s="44" t="str">
        <f>TEXT(MotorPHSales[[#This Row],[Date]],"mmmm")</f>
        <v>August</v>
      </c>
      <c r="C654" s="44">
        <f>DAY(MotorPHSales[[#This Row],[Date]])</f>
        <v>24</v>
      </c>
      <c r="D654" s="44">
        <f>YEAR(MotorPHSales[[#This Row],[Date]])</f>
        <v>2025</v>
      </c>
      <c r="E654" s="44" t="s">
        <v>196</v>
      </c>
      <c r="F654" s="44" t="s">
        <v>14</v>
      </c>
      <c r="G654" s="45">
        <v>250000</v>
      </c>
      <c r="H654" s="44">
        <v>35</v>
      </c>
      <c r="I654" s="45">
        <v>8750000</v>
      </c>
      <c r="J654" s="44" t="s">
        <v>195</v>
      </c>
      <c r="K654" s="44" t="str">
        <f>INDEX(CLEANED_MotorPH_Products_List_2!C:C,MATCH(MotorPHSales[[#This Row],[Product]],CLEANED_MotorPH_Products_List_2!$B:$B,0))</f>
        <v>Classic</v>
      </c>
      <c r="L654" s="44" t="str">
        <f>INDEX(CLEANED_MotorPH_Products_List_2!E:E,MATCH(MotorPHSales[[#This Row],[Product]],CLEANED_MotorPH_Products_List_2!$B:$B,0))</f>
        <v>Single cylinder</v>
      </c>
      <c r="M654" s="44" t="str">
        <f>INDEX(CLEANED_MotorPH_Products_List_2!F:F,MATCH(MotorPHSales[[#This Row],[Product]],CLEANED_MotorPH_Products_List_2!$B:$B,0))</f>
        <v>air-cooled</v>
      </c>
      <c r="N654" s="44" t="str">
        <f>INDEX(CLEANED_MotorPH_Products_List_2!G:G,MATCH(MotorPHSales[[#This Row],[Product]],CLEANED_MotorPH_Products_List_2!$B:$B,0))</f>
        <v>349cc</v>
      </c>
      <c r="O654" s="44" t="str">
        <f>INDEX(CLEANED_MotorPH_Products_List_2!K:K,MATCH(MotorPHSales[[#This Row],[Product]],CLEANED_MotorPH_Products_List_2!B:B,0))</f>
        <v>Mid-range</v>
      </c>
      <c r="P654" s="45">
        <f>IF(MotorPHSales[[#This Row],[Segment]]="Entry-level",MotorPHSales[[#This Row],[UnitPrice]]/(1+30%),IF(MotorPHSales[[#This Row],[Segment]]="Mid-range",MotorPHSales[[#This Row],[UnitPrice]]/(1+35%),MotorPHSales[[#This Row],[UnitPrice]]/(1+40%)))*MotorPHSales[[#This Row],[Quantity]]</f>
        <v>6481481.4814814813</v>
      </c>
      <c r="Q654" s="44" t="str">
        <f>INDEX(CLEANED_MotorPH_Products_List_2!H:H,MATCH(MotorPHSales[[#This Row],[Product]],CLEANED_MotorPH_Products_List_2!$B:$B,0))</f>
        <v>5-speed</v>
      </c>
    </row>
    <row r="655" spans="1:17" ht="15.75" x14ac:dyDescent="0.3">
      <c r="A655" s="43">
        <v>45883</v>
      </c>
      <c r="B655" s="44" t="str">
        <f>TEXT(MotorPHSales[[#This Row],[Date]],"mmmm")</f>
        <v>August</v>
      </c>
      <c r="C655" s="44">
        <f>DAY(MotorPHSales[[#This Row],[Date]])</f>
        <v>14</v>
      </c>
      <c r="D655" s="44">
        <f>YEAR(MotorPHSales[[#This Row],[Date]])</f>
        <v>2025</v>
      </c>
      <c r="E655" s="44" t="s">
        <v>196</v>
      </c>
      <c r="F655" s="44" t="s">
        <v>76</v>
      </c>
      <c r="G655" s="45">
        <v>369000</v>
      </c>
      <c r="H655" s="44">
        <v>3</v>
      </c>
      <c r="I655" s="45">
        <v>1107000</v>
      </c>
      <c r="J655" s="44" t="s">
        <v>198</v>
      </c>
      <c r="K655" s="44" t="str">
        <f>INDEX(CLEANED_MotorPH_Products_List_2!C:C,MATCH(MotorPHSales[[#This Row],[Product]],CLEANED_MotorPH_Products_List_2!$B:$B,0))</f>
        <v>Adventure</v>
      </c>
      <c r="L655" s="44" t="str">
        <f>INDEX(CLEANED_MotorPH_Products_List_2!E:E,MATCH(MotorPHSales[[#This Row],[Product]],CLEANED_MotorPH_Products_List_2!$B:$B,0))</f>
        <v>Parallel-twin</v>
      </c>
      <c r="M655" s="44" t="str">
        <f>INDEX(CLEANED_MotorPH_Products_List_2!F:F,MATCH(MotorPHSales[[#This Row],[Product]],CLEANED_MotorPH_Products_List_2!$B:$B,0))</f>
        <v>liquid-cooled</v>
      </c>
      <c r="N655" s="44" t="str">
        <f>INDEX(CLEANED_MotorPH_Products_List_2!G:G,MATCH(MotorPHSales[[#This Row],[Product]],CLEANED_MotorPH_Products_List_2!$B:$B,0))</f>
        <v>649cc</v>
      </c>
      <c r="O655" s="44" t="str">
        <f>INDEX(CLEANED_MotorPH_Products_List_2!K:K,MATCH(MotorPHSales[[#This Row],[Product]],CLEANED_MotorPH_Products_List_2!B:B,0))</f>
        <v>Premium</v>
      </c>
      <c r="P655" s="45">
        <f>IF(MotorPHSales[[#This Row],[Segment]]="Entry-level",MotorPHSales[[#This Row],[UnitPrice]]/(1+30%),IF(MotorPHSales[[#This Row],[Segment]]="Mid-range",MotorPHSales[[#This Row],[UnitPrice]]/(1+35%),MotorPHSales[[#This Row],[UnitPrice]]/(1+40%)))*MotorPHSales[[#This Row],[Quantity]]</f>
        <v>790714.28571428568</v>
      </c>
      <c r="Q655" s="44" t="str">
        <f>INDEX(CLEANED_MotorPH_Products_List_2!H:H,MATCH(MotorPHSales[[#This Row],[Product]],CLEANED_MotorPH_Products_List_2!$B:$B,0))</f>
        <v>6-speed</v>
      </c>
    </row>
    <row r="656" spans="1:17" ht="15.75" x14ac:dyDescent="0.3">
      <c r="A656" s="43">
        <v>45844</v>
      </c>
      <c r="B656" s="44" t="str">
        <f>TEXT(MotorPHSales[[#This Row],[Date]],"mmmm")</f>
        <v>July</v>
      </c>
      <c r="C656" s="44">
        <f>DAY(MotorPHSales[[#This Row],[Date]])</f>
        <v>6</v>
      </c>
      <c r="D656" s="44">
        <f>YEAR(MotorPHSales[[#This Row],[Date]])</f>
        <v>2025</v>
      </c>
      <c r="E656" s="44" t="s">
        <v>194</v>
      </c>
      <c r="F656" s="44" t="s">
        <v>74</v>
      </c>
      <c r="G656" s="45">
        <v>349000</v>
      </c>
      <c r="H656" s="44">
        <v>42</v>
      </c>
      <c r="I656" s="45">
        <v>14658000</v>
      </c>
      <c r="J656" s="44" t="s">
        <v>195</v>
      </c>
      <c r="K656" s="44" t="str">
        <f>INDEX(CLEANED_MotorPH_Products_List_2!C:C,MATCH(MotorPHSales[[#This Row],[Product]],CLEANED_MotorPH_Products_List_2!$B:$B,0))</f>
        <v>Cruiser</v>
      </c>
      <c r="L656" s="44" t="str">
        <f>INDEX(CLEANED_MotorPH_Products_List_2!E:E,MATCH(MotorPHSales[[#This Row],[Product]],CLEANED_MotorPH_Products_List_2!$B:$B,0))</f>
        <v>Parallel-twin</v>
      </c>
      <c r="M656" s="44" t="str">
        <f>INDEX(CLEANED_MotorPH_Products_List_2!F:F,MATCH(MotorPHSales[[#This Row],[Product]],CLEANED_MotorPH_Products_List_2!$B:$B,0))</f>
        <v>liquid-cooled</v>
      </c>
      <c r="N656" s="44" t="str">
        <f>INDEX(CLEANED_MotorPH_Products_List_2!G:G,MATCH(MotorPHSales[[#This Row],[Product]],CLEANED_MotorPH_Products_List_2!$B:$B,0))</f>
        <v>500cc</v>
      </c>
      <c r="O656" s="44" t="str">
        <f>INDEX(CLEANED_MotorPH_Products_List_2!K:K,MATCH(MotorPHSales[[#This Row],[Product]],CLEANED_MotorPH_Products_List_2!B:B,0))</f>
        <v>Mid-range</v>
      </c>
      <c r="P656" s="45">
        <f>IF(MotorPHSales[[#This Row],[Segment]]="Entry-level",MotorPHSales[[#This Row],[UnitPrice]]/(1+30%),IF(MotorPHSales[[#This Row],[Segment]]="Mid-range",MotorPHSales[[#This Row],[UnitPrice]]/(1+35%),MotorPHSales[[#This Row],[UnitPrice]]/(1+40%)))*MotorPHSales[[#This Row],[Quantity]]</f>
        <v>10857777.777777778</v>
      </c>
      <c r="Q656" s="44" t="str">
        <f>INDEX(CLEANED_MotorPH_Products_List_2!H:H,MATCH(MotorPHSales[[#This Row],[Product]],CLEANED_MotorPH_Products_List_2!$B:$B,0))</f>
        <v>6-speed</v>
      </c>
    </row>
    <row r="657" spans="1:17" ht="15.75" x14ac:dyDescent="0.3">
      <c r="A657" s="43">
        <v>45827</v>
      </c>
      <c r="B657" s="44" t="str">
        <f>TEXT(MotorPHSales[[#This Row],[Date]],"mmmm")</f>
        <v>June</v>
      </c>
      <c r="C657" s="44">
        <f>DAY(MotorPHSales[[#This Row],[Date]])</f>
        <v>19</v>
      </c>
      <c r="D657" s="44">
        <f>YEAR(MotorPHSales[[#This Row],[Date]])</f>
        <v>2025</v>
      </c>
      <c r="E657" s="44" t="s">
        <v>196</v>
      </c>
      <c r="F657" s="44" t="s">
        <v>16</v>
      </c>
      <c r="G657" s="45">
        <v>165000</v>
      </c>
      <c r="H657" s="44">
        <v>23</v>
      </c>
      <c r="I657" s="45">
        <v>3795000</v>
      </c>
      <c r="J657" s="44" t="s">
        <v>197</v>
      </c>
      <c r="K657" s="44" t="str">
        <f>INDEX(CLEANED_MotorPH_Products_List_2!C:C,MATCH(MotorPHSales[[#This Row],[Product]],CLEANED_MotorPH_Products_List_2!$B:$B,0))</f>
        <v>Naked bike</v>
      </c>
      <c r="L657" s="44" t="str">
        <f>INDEX(CLEANED_MotorPH_Products_List_2!E:E,MATCH(MotorPHSales[[#This Row],[Product]],CLEANED_MotorPH_Products_List_2!$B:$B,0))</f>
        <v>Single cylinder</v>
      </c>
      <c r="M657" s="44" t="str">
        <f>INDEX(CLEANED_MotorPH_Products_List_2!F:F,MATCH(MotorPHSales[[#This Row],[Product]],CLEANED_MotorPH_Products_List_2!$B:$B,0))</f>
        <v>liquid-cooled</v>
      </c>
      <c r="N657" s="44" t="str">
        <f>INDEX(CLEANED_MotorPH_Products_List_2!G:G,MATCH(MotorPHSales[[#This Row],[Product]],CLEANED_MotorPH_Products_List_2!$B:$B,0))</f>
        <v>292cc</v>
      </c>
      <c r="O657" s="44" t="str">
        <f>INDEX(CLEANED_MotorPH_Products_List_2!K:K,MATCH(MotorPHSales[[#This Row],[Product]],CLEANED_MotorPH_Products_List_2!B:B,0))</f>
        <v>Mid-range</v>
      </c>
      <c r="P657" s="45">
        <f>IF(MotorPHSales[[#This Row],[Segment]]="Entry-level",MotorPHSales[[#This Row],[UnitPrice]]/(1+30%),IF(MotorPHSales[[#This Row],[Segment]]="Mid-range",MotorPHSales[[#This Row],[UnitPrice]]/(1+35%),MotorPHSales[[#This Row],[UnitPrice]]/(1+40%)))*MotorPHSales[[#This Row],[Quantity]]</f>
        <v>2811111.111111111</v>
      </c>
      <c r="Q657" s="44" t="str">
        <f>INDEX(CLEANED_MotorPH_Products_List_2!H:H,MATCH(MotorPHSales[[#This Row],[Product]],CLEANED_MotorPH_Products_List_2!$B:$B,0))</f>
        <v>6-speed</v>
      </c>
    </row>
    <row r="658" spans="1:17" ht="15.75" x14ac:dyDescent="0.3">
      <c r="A658" s="43">
        <v>45873</v>
      </c>
      <c r="B658" s="44" t="str">
        <f>TEXT(MotorPHSales[[#This Row],[Date]],"mmmm")</f>
        <v>August</v>
      </c>
      <c r="C658" s="44">
        <f>DAY(MotorPHSales[[#This Row],[Date]])</f>
        <v>4</v>
      </c>
      <c r="D658" s="44">
        <f>YEAR(MotorPHSales[[#This Row],[Date]])</f>
        <v>2025</v>
      </c>
      <c r="E658" s="44" t="s">
        <v>196</v>
      </c>
      <c r="F658" s="44" t="s">
        <v>57</v>
      </c>
      <c r="G658" s="45">
        <v>125900</v>
      </c>
      <c r="H658" s="44">
        <v>18</v>
      </c>
      <c r="I658" s="45">
        <v>2266200</v>
      </c>
      <c r="J658" s="44" t="s">
        <v>197</v>
      </c>
      <c r="K658" s="44" t="str">
        <f>INDEX(CLEANED_MotorPH_Products_List_2!C:C,MATCH(MotorPHSales[[#This Row],[Product]],CLEANED_MotorPH_Products_List_2!$B:$B,0))</f>
        <v>Underbone</v>
      </c>
      <c r="L658" s="44" t="str">
        <f>INDEX(CLEANED_MotorPH_Products_List_2!E:E,MATCH(MotorPHSales[[#This Row],[Product]],CLEANED_MotorPH_Products_List_2!$B:$B,0))</f>
        <v>Single cylinder</v>
      </c>
      <c r="M658" s="44" t="str">
        <f>INDEX(CLEANED_MotorPH_Products_List_2!F:F,MATCH(MotorPHSales[[#This Row],[Product]],CLEANED_MotorPH_Products_List_2!$B:$B,0))</f>
        <v>liquid-cooled</v>
      </c>
      <c r="N658" s="44" t="str">
        <f>INDEX(CLEANED_MotorPH_Products_List_2!G:G,MATCH(MotorPHSales[[#This Row],[Product]],CLEANED_MotorPH_Products_List_2!$B:$B,0))</f>
        <v>155cc</v>
      </c>
      <c r="O658" s="44" t="str">
        <f>INDEX(CLEANED_MotorPH_Products_List_2!K:K,MATCH(MotorPHSales[[#This Row],[Product]],CLEANED_MotorPH_Products_List_2!B:B,0))</f>
        <v>Entry-level</v>
      </c>
      <c r="P658" s="45">
        <f>IF(MotorPHSales[[#This Row],[Segment]]="Entry-level",MotorPHSales[[#This Row],[UnitPrice]]/(1+30%),IF(MotorPHSales[[#This Row],[Segment]]="Mid-range",MotorPHSales[[#This Row],[UnitPrice]]/(1+35%),MotorPHSales[[#This Row],[UnitPrice]]/(1+40%)))*MotorPHSales[[#This Row],[Quantity]]</f>
        <v>1743230.7692307692</v>
      </c>
      <c r="Q658" s="44" t="str">
        <f>INDEX(CLEANED_MotorPH_Products_List_2!H:H,MATCH(MotorPHSales[[#This Row],[Product]],CLEANED_MotorPH_Products_List_2!$B:$B,0))</f>
        <v>6-speed</v>
      </c>
    </row>
    <row r="659" spans="1:17" ht="15.75" x14ac:dyDescent="0.3">
      <c r="A659" s="43">
        <v>45865</v>
      </c>
      <c r="B659" s="44" t="str">
        <f>TEXT(MotorPHSales[[#This Row],[Date]],"mmmm")</f>
        <v>July</v>
      </c>
      <c r="C659" s="44">
        <f>DAY(MotorPHSales[[#This Row],[Date]])</f>
        <v>27</v>
      </c>
      <c r="D659" s="44">
        <f>YEAR(MotorPHSales[[#This Row],[Date]])</f>
        <v>2025</v>
      </c>
      <c r="E659" s="44" t="s">
        <v>194</v>
      </c>
      <c r="F659" s="44" t="s">
        <v>82</v>
      </c>
      <c r="G659" s="45">
        <v>199000</v>
      </c>
      <c r="H659" s="44">
        <v>1</v>
      </c>
      <c r="I659" s="45">
        <v>199000</v>
      </c>
      <c r="J659" s="44" t="s">
        <v>195</v>
      </c>
      <c r="K659" s="44" t="str">
        <f>INDEX(CLEANED_MotorPH_Products_List_2!C:C,MATCH(MotorPHSales[[#This Row],[Product]],CLEANED_MotorPH_Products_List_2!$B:$B,0))</f>
        <v>Dual-sport</v>
      </c>
      <c r="L659" s="44" t="str">
        <f>INDEX(CLEANED_MotorPH_Products_List_2!E:E,MATCH(MotorPHSales[[#This Row],[Product]],CLEANED_MotorPH_Products_List_2!$B:$B,0))</f>
        <v>Single cylinder</v>
      </c>
      <c r="M659" s="44" t="str">
        <f>INDEX(CLEANED_MotorPH_Products_List_2!F:F,MATCH(MotorPHSales[[#This Row],[Product]],CLEANED_MotorPH_Products_List_2!$B:$B,0))</f>
        <v>air-cooled</v>
      </c>
      <c r="N659" s="44" t="str">
        <f>INDEX(CLEANED_MotorPH_Products_List_2!G:G,MATCH(MotorPHSales[[#This Row],[Product]],CLEANED_MotorPH_Products_List_2!$B:$B,0))</f>
        <v>233cc</v>
      </c>
      <c r="O659" s="44" t="str">
        <f>INDEX(CLEANED_MotorPH_Products_List_2!K:K,MATCH(MotorPHSales[[#This Row],[Product]],CLEANED_MotorPH_Products_List_2!B:B,0))</f>
        <v>Mid-range</v>
      </c>
      <c r="P659" s="45">
        <f>IF(MotorPHSales[[#This Row],[Segment]]="Entry-level",MotorPHSales[[#This Row],[UnitPrice]]/(1+30%),IF(MotorPHSales[[#This Row],[Segment]]="Mid-range",MotorPHSales[[#This Row],[UnitPrice]]/(1+35%),MotorPHSales[[#This Row],[UnitPrice]]/(1+40%)))*MotorPHSales[[#This Row],[Quantity]]</f>
        <v>147407.40740740739</v>
      </c>
      <c r="Q659" s="44" t="str">
        <f>INDEX(CLEANED_MotorPH_Products_List_2!H:H,MATCH(MotorPHSales[[#This Row],[Product]],CLEANED_MotorPH_Products_List_2!$B:$B,0))</f>
        <v>6-speed</v>
      </c>
    </row>
    <row r="660" spans="1:17" ht="15.75" x14ac:dyDescent="0.3">
      <c r="A660" s="43">
        <v>45826</v>
      </c>
      <c r="B660" s="44" t="str">
        <f>TEXT(MotorPHSales[[#This Row],[Date]],"mmmm")</f>
        <v>June</v>
      </c>
      <c r="C660" s="44">
        <f>DAY(MotorPHSales[[#This Row],[Date]])</f>
        <v>18</v>
      </c>
      <c r="D660" s="44">
        <f>YEAR(MotorPHSales[[#This Row],[Date]])</f>
        <v>2025</v>
      </c>
      <c r="E660" s="44" t="s">
        <v>196</v>
      </c>
      <c r="F660" s="44" t="s">
        <v>74</v>
      </c>
      <c r="G660" s="45">
        <v>1047000</v>
      </c>
      <c r="H660" s="44">
        <v>1</v>
      </c>
      <c r="I660" s="45">
        <v>349000</v>
      </c>
      <c r="J660" s="44" t="s">
        <v>198</v>
      </c>
      <c r="K660" s="44" t="str">
        <f>INDEX(CLEANED_MotorPH_Products_List_2!C:C,MATCH(MotorPHSales[[#This Row],[Product]],CLEANED_MotorPH_Products_List_2!$B:$B,0))</f>
        <v>Cruiser</v>
      </c>
      <c r="L660" s="44" t="str">
        <f>INDEX(CLEANED_MotorPH_Products_List_2!E:E,MATCH(MotorPHSales[[#This Row],[Product]],CLEANED_MotorPH_Products_List_2!$B:$B,0))</f>
        <v>Parallel-twin</v>
      </c>
      <c r="M660" s="44" t="str">
        <f>INDEX(CLEANED_MotorPH_Products_List_2!F:F,MATCH(MotorPHSales[[#This Row],[Product]],CLEANED_MotorPH_Products_List_2!$B:$B,0))</f>
        <v>liquid-cooled</v>
      </c>
      <c r="N660" s="44" t="str">
        <f>INDEX(CLEANED_MotorPH_Products_List_2!G:G,MATCH(MotorPHSales[[#This Row],[Product]],CLEANED_MotorPH_Products_List_2!$B:$B,0))</f>
        <v>500cc</v>
      </c>
      <c r="O660" s="44" t="str">
        <f>INDEX(CLEANED_MotorPH_Products_List_2!K:K,MATCH(MotorPHSales[[#This Row],[Product]],CLEANED_MotorPH_Products_List_2!B:B,0))</f>
        <v>Mid-range</v>
      </c>
      <c r="P660" s="45">
        <f>IF(MotorPHSales[[#This Row],[Segment]]="Entry-level",MotorPHSales[[#This Row],[UnitPrice]]/(1+30%),IF(MotorPHSales[[#This Row],[Segment]]="Mid-range",MotorPHSales[[#This Row],[UnitPrice]]/(1+35%),MotorPHSales[[#This Row],[UnitPrice]]/(1+40%)))*MotorPHSales[[#This Row],[Quantity]]</f>
        <v>775555.5555555555</v>
      </c>
      <c r="Q660" s="44" t="str">
        <f>INDEX(CLEANED_MotorPH_Products_List_2!H:H,MATCH(MotorPHSales[[#This Row],[Product]],CLEANED_MotorPH_Products_List_2!$B:$B,0))</f>
        <v>6-speed</v>
      </c>
    </row>
    <row r="661" spans="1:17" ht="15.75" x14ac:dyDescent="0.3">
      <c r="A661" s="43">
        <v>45855</v>
      </c>
      <c r="B661" s="44" t="str">
        <f>TEXT(MotorPHSales[[#This Row],[Date]],"mmmm")</f>
        <v>July</v>
      </c>
      <c r="C661" s="44">
        <f>DAY(MotorPHSales[[#This Row],[Date]])</f>
        <v>17</v>
      </c>
      <c r="D661" s="44">
        <f>YEAR(MotorPHSales[[#This Row],[Date]])</f>
        <v>2025</v>
      </c>
      <c r="E661" s="44" t="s">
        <v>194</v>
      </c>
      <c r="F661" s="44" t="s">
        <v>38</v>
      </c>
      <c r="G661" s="45">
        <v>295000</v>
      </c>
      <c r="H661" s="44">
        <v>6</v>
      </c>
      <c r="I661" s="45">
        <v>1770000</v>
      </c>
      <c r="J661" s="44" t="s">
        <v>197</v>
      </c>
      <c r="K661" s="44" t="str">
        <f>INDEX(CLEANED_MotorPH_Products_List_2!C:C,MATCH(MotorPHSales[[#This Row],[Product]],CLEANED_MotorPH_Products_List_2!$B:$B,0))</f>
        <v>Scrambler</v>
      </c>
      <c r="L661" s="44" t="str">
        <f>INDEX(CLEANED_MotorPH_Products_List_2!E:E,MATCH(MotorPHSales[[#This Row],[Product]],CLEANED_MotorPH_Products_List_2!$B:$B,0))</f>
        <v>Single cylinder</v>
      </c>
      <c r="M661" s="44" t="str">
        <f>INDEX(CLEANED_MotorPH_Products_List_2!F:F,MATCH(MotorPHSales[[#This Row],[Product]],CLEANED_MotorPH_Products_List_2!$B:$B,0))</f>
        <v>liquid-cooled</v>
      </c>
      <c r="N661" s="44" t="str">
        <f>INDEX(CLEANED_MotorPH_Products_List_2!G:G,MATCH(MotorPHSales[[#This Row],[Product]],CLEANED_MotorPH_Products_List_2!$B:$B,0))</f>
        <v>373cc</v>
      </c>
      <c r="O661" s="44" t="str">
        <f>INDEX(CLEANED_MotorPH_Products_List_2!K:K,MATCH(MotorPHSales[[#This Row],[Product]],CLEANED_MotorPH_Products_List_2!B:B,0))</f>
        <v>Mid-range</v>
      </c>
      <c r="P661" s="45">
        <f>IF(MotorPHSales[[#This Row],[Segment]]="Entry-level",MotorPHSales[[#This Row],[UnitPrice]]/(1+30%),IF(MotorPHSales[[#This Row],[Segment]]="Mid-range",MotorPHSales[[#This Row],[UnitPrice]]/(1+35%),MotorPHSales[[#This Row],[UnitPrice]]/(1+40%)))*MotorPHSales[[#This Row],[Quantity]]</f>
        <v>1311111.111111111</v>
      </c>
      <c r="Q661" s="44" t="str">
        <f>INDEX(CLEANED_MotorPH_Products_List_2!H:H,MATCH(MotorPHSales[[#This Row],[Product]],CLEANED_MotorPH_Products_List_2!$B:$B,0))</f>
        <v>6-speed</v>
      </c>
    </row>
    <row r="662" spans="1:17" ht="15.75" x14ac:dyDescent="0.3">
      <c r="A662" s="43">
        <v>45857</v>
      </c>
      <c r="B662" s="44" t="str">
        <f>TEXT(MotorPHSales[[#This Row],[Date]],"mmmm")</f>
        <v>July</v>
      </c>
      <c r="C662" s="44">
        <f>DAY(MotorPHSales[[#This Row],[Date]])</f>
        <v>19</v>
      </c>
      <c r="D662" s="44">
        <f>YEAR(MotorPHSales[[#This Row],[Date]])</f>
        <v>2025</v>
      </c>
      <c r="E662" s="44" t="s">
        <v>196</v>
      </c>
      <c r="F662" s="44" t="s">
        <v>92</v>
      </c>
      <c r="G662" s="45">
        <v>289000</v>
      </c>
      <c r="H662" s="44">
        <v>5</v>
      </c>
      <c r="I662" s="45">
        <v>1445000</v>
      </c>
      <c r="J662" s="44" t="s">
        <v>195</v>
      </c>
      <c r="K662" s="44" t="str">
        <f>INDEX(CLEANED_MotorPH_Products_List_2!C:C,MATCH(MotorPHSales[[#This Row],[Product]],CLEANED_MotorPH_Products_List_2!$B:$B,0))</f>
        <v>Scooter</v>
      </c>
      <c r="L662" s="44" t="str">
        <f>INDEX(CLEANED_MotorPH_Products_List_2!E:E,MATCH(MotorPHSales[[#This Row],[Product]],CLEANED_MotorPH_Products_List_2!$B:$B,0))</f>
        <v>Single cylinder</v>
      </c>
      <c r="M662" s="44" t="str">
        <f>INDEX(CLEANED_MotorPH_Products_List_2!F:F,MATCH(MotorPHSales[[#This Row],[Product]],CLEANED_MotorPH_Products_List_2!$B:$B,0))</f>
        <v>liquid-cooled</v>
      </c>
      <c r="N662" s="44" t="str">
        <f>INDEX(CLEANED_MotorPH_Products_List_2!G:G,MATCH(MotorPHSales[[#This Row],[Product]],CLEANED_MotorPH_Products_List_2!$B:$B,0))</f>
        <v>181cc</v>
      </c>
      <c r="O662" s="44" t="str">
        <f>INDEX(CLEANED_MotorPH_Products_List_2!K:K,MATCH(MotorPHSales[[#This Row],[Product]],CLEANED_MotorPH_Products_List_2!B:B,0))</f>
        <v>Entry-level</v>
      </c>
      <c r="P662" s="45">
        <f>IF(MotorPHSales[[#This Row],[Segment]]="Entry-level",MotorPHSales[[#This Row],[UnitPrice]]/(1+30%),IF(MotorPHSales[[#This Row],[Segment]]="Mid-range",MotorPHSales[[#This Row],[UnitPrice]]/(1+35%),MotorPHSales[[#This Row],[UnitPrice]]/(1+40%)))*MotorPHSales[[#This Row],[Quantity]]</f>
        <v>1111538.4615384615</v>
      </c>
      <c r="Q662" s="44" t="str">
        <f>INDEX(CLEANED_MotorPH_Products_List_2!H:H,MATCH(MotorPHSales[[#This Row],[Product]],CLEANED_MotorPH_Products_List_2!$B:$B,0))</f>
        <v>CVT</v>
      </c>
    </row>
    <row r="663" spans="1:17" ht="15.75" x14ac:dyDescent="0.3">
      <c r="A663" s="43">
        <v>45822</v>
      </c>
      <c r="B663" s="44" t="str">
        <f>TEXT(MotorPHSales[[#This Row],[Date]],"mmmm")</f>
        <v>June</v>
      </c>
      <c r="C663" s="44">
        <f>DAY(MotorPHSales[[#This Row],[Date]])</f>
        <v>14</v>
      </c>
      <c r="D663" s="44">
        <f>YEAR(MotorPHSales[[#This Row],[Date]])</f>
        <v>2025</v>
      </c>
      <c r="E663" s="44" t="s">
        <v>194</v>
      </c>
      <c r="F663" s="44" t="s">
        <v>70</v>
      </c>
      <c r="G663" s="45">
        <v>219000</v>
      </c>
      <c r="H663" s="44">
        <v>22</v>
      </c>
      <c r="I663" s="45">
        <v>4818000</v>
      </c>
      <c r="J663" s="44" t="s">
        <v>195</v>
      </c>
      <c r="K663" s="44" t="str">
        <f>INDEX(CLEANED_MotorPH_Products_List_2!C:C,MATCH(MotorPHSales[[#This Row],[Product]],CLEANED_MotorPH_Products_List_2!$B:$B,0))</f>
        <v>Scooter</v>
      </c>
      <c r="L663" s="44" t="str">
        <f>INDEX(CLEANED_MotorPH_Products_List_2!E:E,MATCH(MotorPHSales[[#This Row],[Product]],CLEANED_MotorPH_Products_List_2!$B:$B,0))</f>
        <v>Single cylinder</v>
      </c>
      <c r="M663" s="44" t="str">
        <f>INDEX(CLEANED_MotorPH_Products_List_2!F:F,MATCH(MotorPHSales[[#This Row],[Product]],CLEANED_MotorPH_Products_List_2!$B:$B,0))</f>
        <v>liquid-cooled</v>
      </c>
      <c r="N663" s="44" t="str">
        <f>INDEX(CLEANED_MotorPH_Products_List_2!G:G,MATCH(MotorPHSales[[#This Row],[Product]],CLEANED_MotorPH_Products_List_2!$B:$B,0))</f>
        <v>174cc</v>
      </c>
      <c r="O663" s="44" t="str">
        <f>INDEX(CLEANED_MotorPH_Products_List_2!K:K,MATCH(MotorPHSales[[#This Row],[Product]],CLEANED_MotorPH_Products_List_2!B:B,0))</f>
        <v>Entry-level</v>
      </c>
      <c r="P663" s="45">
        <f>IF(MotorPHSales[[#This Row],[Segment]]="Entry-level",MotorPHSales[[#This Row],[UnitPrice]]/(1+30%),IF(MotorPHSales[[#This Row],[Segment]]="Mid-range",MotorPHSales[[#This Row],[UnitPrice]]/(1+35%),MotorPHSales[[#This Row],[UnitPrice]]/(1+40%)))*MotorPHSales[[#This Row],[Quantity]]</f>
        <v>3706153.8461538465</v>
      </c>
      <c r="Q663" s="44" t="str">
        <f>INDEX(CLEANED_MotorPH_Products_List_2!H:H,MATCH(MotorPHSales[[#This Row],[Product]],CLEANED_MotorPH_Products_List_2!$B:$B,0))</f>
        <v>CVT</v>
      </c>
    </row>
    <row r="664" spans="1:17" ht="15.75" x14ac:dyDescent="0.3">
      <c r="A664" s="43">
        <v>45823</v>
      </c>
      <c r="B664" s="44" t="str">
        <f>TEXT(MotorPHSales[[#This Row],[Date]],"mmmm")</f>
        <v>June</v>
      </c>
      <c r="C664" s="44">
        <f>DAY(MotorPHSales[[#This Row],[Date]])</f>
        <v>15</v>
      </c>
      <c r="D664" s="44">
        <f>YEAR(MotorPHSales[[#This Row],[Date]])</f>
        <v>2025</v>
      </c>
      <c r="E664" s="44" t="s">
        <v>196</v>
      </c>
      <c r="F664" s="44" t="s">
        <v>24</v>
      </c>
      <c r="G664" s="45">
        <v>199900</v>
      </c>
      <c r="H664" s="44">
        <v>41</v>
      </c>
      <c r="I664" s="45">
        <v>8195900</v>
      </c>
      <c r="J664" s="44" t="s">
        <v>195</v>
      </c>
      <c r="K664" s="44" t="str">
        <f>INDEX(CLEANED_MotorPH_Products_List_2!C:C,MATCH(MotorPHSales[[#This Row],[Product]],CLEANED_MotorPH_Products_List_2!$B:$B,0))</f>
        <v>Sport touring</v>
      </c>
      <c r="L664" s="44" t="str">
        <f>INDEX(CLEANED_MotorPH_Products_List_2!E:E,MATCH(MotorPHSales[[#This Row],[Product]],CLEANED_MotorPH_Products_List_2!$B:$B,0))</f>
        <v>Single cylinder</v>
      </c>
      <c r="M664" s="44" t="str">
        <f>INDEX(CLEANED_MotorPH_Products_List_2!F:F,MATCH(MotorPHSales[[#This Row],[Product]],CLEANED_MotorPH_Products_List_2!$B:$B,0))</f>
        <v>liquid-cooled</v>
      </c>
      <c r="N664" s="44" t="str">
        <f>INDEX(CLEANED_MotorPH_Products_List_2!G:G,MATCH(MotorPHSales[[#This Row],[Product]],CLEANED_MotorPH_Products_List_2!$B:$B,0))</f>
        <v>373cc</v>
      </c>
      <c r="O664" s="44" t="str">
        <f>INDEX(CLEANED_MotorPH_Products_List_2!K:K,MATCH(MotorPHSales[[#This Row],[Product]],CLEANED_MotorPH_Products_List_2!B:B,0))</f>
        <v>Mid-range</v>
      </c>
      <c r="P664" s="45">
        <f>IF(MotorPHSales[[#This Row],[Segment]]="Entry-level",MotorPHSales[[#This Row],[UnitPrice]]/(1+30%),IF(MotorPHSales[[#This Row],[Segment]]="Mid-range",MotorPHSales[[#This Row],[UnitPrice]]/(1+35%),MotorPHSales[[#This Row],[UnitPrice]]/(1+40%)))*MotorPHSales[[#This Row],[Quantity]]</f>
        <v>6071037.0370370373</v>
      </c>
      <c r="Q664" s="44" t="str">
        <f>INDEX(CLEANED_MotorPH_Products_List_2!H:H,MATCH(MotorPHSales[[#This Row],[Product]],CLEANED_MotorPH_Products_List_2!$B:$B,0))</f>
        <v>6-speed</v>
      </c>
    </row>
    <row r="665" spans="1:17" ht="15.75" x14ac:dyDescent="0.3">
      <c r="A665" s="43">
        <v>45839</v>
      </c>
      <c r="B665" s="44" t="str">
        <f>TEXT(MotorPHSales[[#This Row],[Date]],"mmmm")</f>
        <v>July</v>
      </c>
      <c r="C665" s="44">
        <f>DAY(MotorPHSales[[#This Row],[Date]])</f>
        <v>1</v>
      </c>
      <c r="D665" s="44">
        <f>YEAR(MotorPHSales[[#This Row],[Date]])</f>
        <v>2025</v>
      </c>
      <c r="E665" s="44" t="s">
        <v>194</v>
      </c>
      <c r="F665" s="44" t="s">
        <v>6</v>
      </c>
      <c r="G665" s="45">
        <v>389000</v>
      </c>
      <c r="H665" s="44">
        <v>19</v>
      </c>
      <c r="I665" s="45">
        <v>7391000</v>
      </c>
      <c r="J665" s="44" t="s">
        <v>197</v>
      </c>
      <c r="K665" s="44" t="str">
        <f>INDEX(CLEANED_MotorPH_Products_List_2!C:C,MATCH(MotorPHSales[[#This Row],[Product]],CLEANED_MotorPH_Products_List_2!$B:$B,0))</f>
        <v>Sport</v>
      </c>
      <c r="L665" s="44" t="str">
        <f>INDEX(CLEANED_MotorPH_Products_List_2!E:E,MATCH(MotorPHSales[[#This Row],[Product]],CLEANED_MotorPH_Products_List_2!$B:$B,0))</f>
        <v>Parallel-twin</v>
      </c>
      <c r="M665" s="44" t="str">
        <f>INDEX(CLEANED_MotorPH_Products_List_2!F:F,MATCH(MotorPHSales[[#This Row],[Product]],CLEANED_MotorPH_Products_List_2!$B:$B,0))</f>
        <v>liquid-cooled</v>
      </c>
      <c r="N665" s="44" t="str">
        <f>INDEX(CLEANED_MotorPH_Products_List_2!G:G,MATCH(MotorPHSales[[#This Row],[Product]],CLEANED_MotorPH_Products_List_2!$B:$B,0))</f>
        <v>471cc</v>
      </c>
      <c r="O665" s="44" t="str">
        <f>INDEX(CLEANED_MotorPH_Products_List_2!K:K,MATCH(MotorPHSales[[#This Row],[Product]],CLEANED_MotorPH_Products_List_2!B:B,0))</f>
        <v>Mid-range</v>
      </c>
      <c r="P665" s="45">
        <f>IF(MotorPHSales[[#This Row],[Segment]]="Entry-level",MotorPHSales[[#This Row],[UnitPrice]]/(1+30%),IF(MotorPHSales[[#This Row],[Segment]]="Mid-range",MotorPHSales[[#This Row],[UnitPrice]]/(1+35%),MotorPHSales[[#This Row],[UnitPrice]]/(1+40%)))*MotorPHSales[[#This Row],[Quantity]]</f>
        <v>5474814.8148148144</v>
      </c>
      <c r="Q665" s="44" t="str">
        <f>INDEX(CLEANED_MotorPH_Products_List_2!H:H,MATCH(MotorPHSales[[#This Row],[Product]],CLEANED_MotorPH_Products_List_2!$B:$B,0))</f>
        <v>6-speed</v>
      </c>
    </row>
    <row r="666" spans="1:17" ht="15.75" x14ac:dyDescent="0.3">
      <c r="A666" s="43">
        <v>45809</v>
      </c>
      <c r="B666" s="44" t="str">
        <f>TEXT(MotorPHSales[[#This Row],[Date]],"mmmm")</f>
        <v>June</v>
      </c>
      <c r="C666" s="44">
        <f>DAY(MotorPHSales[[#This Row],[Date]])</f>
        <v>1</v>
      </c>
      <c r="D666" s="44">
        <f>YEAR(MotorPHSales[[#This Row],[Date]])</f>
        <v>2025</v>
      </c>
      <c r="E666" s="44" t="s">
        <v>194</v>
      </c>
      <c r="F666" s="44" t="s">
        <v>70</v>
      </c>
      <c r="G666" s="45">
        <v>219000</v>
      </c>
      <c r="H666" s="44">
        <v>10</v>
      </c>
      <c r="I666" s="45">
        <v>2190000</v>
      </c>
      <c r="J666" s="44" t="s">
        <v>195</v>
      </c>
      <c r="K666" s="44" t="str">
        <f>INDEX(CLEANED_MotorPH_Products_List_2!C:C,MATCH(MotorPHSales[[#This Row],[Product]],CLEANED_MotorPH_Products_List_2!$B:$B,0))</f>
        <v>Scooter</v>
      </c>
      <c r="L666" s="44" t="str">
        <f>INDEX(CLEANED_MotorPH_Products_List_2!E:E,MATCH(MotorPHSales[[#This Row],[Product]],CLEANED_MotorPH_Products_List_2!$B:$B,0))</f>
        <v>Single cylinder</v>
      </c>
      <c r="M666" s="44" t="str">
        <f>INDEX(CLEANED_MotorPH_Products_List_2!F:F,MATCH(MotorPHSales[[#This Row],[Product]],CLEANED_MotorPH_Products_List_2!$B:$B,0))</f>
        <v>liquid-cooled</v>
      </c>
      <c r="N666" s="44" t="str">
        <f>INDEX(CLEANED_MotorPH_Products_List_2!G:G,MATCH(MotorPHSales[[#This Row],[Product]],CLEANED_MotorPH_Products_List_2!$B:$B,0))</f>
        <v>174cc</v>
      </c>
      <c r="O666" s="44" t="str">
        <f>INDEX(CLEANED_MotorPH_Products_List_2!K:K,MATCH(MotorPHSales[[#This Row],[Product]],CLEANED_MotorPH_Products_List_2!B:B,0))</f>
        <v>Entry-level</v>
      </c>
      <c r="P666" s="45">
        <f>IF(MotorPHSales[[#This Row],[Segment]]="Entry-level",MotorPHSales[[#This Row],[UnitPrice]]/(1+30%),IF(MotorPHSales[[#This Row],[Segment]]="Mid-range",MotorPHSales[[#This Row],[UnitPrice]]/(1+35%),MotorPHSales[[#This Row],[UnitPrice]]/(1+40%)))*MotorPHSales[[#This Row],[Quantity]]</f>
        <v>1684615.3846153847</v>
      </c>
      <c r="Q666" s="44" t="str">
        <f>INDEX(CLEANED_MotorPH_Products_List_2!H:H,MATCH(MotorPHSales[[#This Row],[Product]],CLEANED_MotorPH_Products_List_2!$B:$B,0))</f>
        <v>CVT</v>
      </c>
    </row>
    <row r="667" spans="1:17" ht="15.75" x14ac:dyDescent="0.3">
      <c r="A667" s="43">
        <v>45862</v>
      </c>
      <c r="B667" s="44" t="str">
        <f>TEXT(MotorPHSales[[#This Row],[Date]],"mmmm")</f>
        <v>July</v>
      </c>
      <c r="C667" s="44">
        <f>DAY(MotorPHSales[[#This Row],[Date]])</f>
        <v>24</v>
      </c>
      <c r="D667" s="44">
        <f>YEAR(MotorPHSales[[#This Row],[Date]])</f>
        <v>2025</v>
      </c>
      <c r="E667" s="44" t="s">
        <v>194</v>
      </c>
      <c r="F667" s="44" t="s">
        <v>92</v>
      </c>
      <c r="G667" s="45">
        <v>289000</v>
      </c>
      <c r="H667" s="44">
        <v>20</v>
      </c>
      <c r="I667" s="45">
        <v>5780000</v>
      </c>
      <c r="J667" s="44" t="s">
        <v>197</v>
      </c>
      <c r="K667" s="44" t="str">
        <f>INDEX(CLEANED_MotorPH_Products_List_2!C:C,MATCH(MotorPHSales[[#This Row],[Product]],CLEANED_MotorPH_Products_List_2!$B:$B,0))</f>
        <v>Scooter</v>
      </c>
      <c r="L667" s="44" t="str">
        <f>INDEX(CLEANED_MotorPH_Products_List_2!E:E,MATCH(MotorPHSales[[#This Row],[Product]],CLEANED_MotorPH_Products_List_2!$B:$B,0))</f>
        <v>Single cylinder</v>
      </c>
      <c r="M667" s="44" t="str">
        <f>INDEX(CLEANED_MotorPH_Products_List_2!F:F,MATCH(MotorPHSales[[#This Row],[Product]],CLEANED_MotorPH_Products_List_2!$B:$B,0))</f>
        <v>liquid-cooled</v>
      </c>
      <c r="N667" s="44" t="str">
        <f>INDEX(CLEANED_MotorPH_Products_List_2!G:G,MATCH(MotorPHSales[[#This Row],[Product]],CLEANED_MotorPH_Products_List_2!$B:$B,0))</f>
        <v>181cc</v>
      </c>
      <c r="O667" s="44" t="str">
        <f>INDEX(CLEANED_MotorPH_Products_List_2!K:K,MATCH(MotorPHSales[[#This Row],[Product]],CLEANED_MotorPH_Products_List_2!B:B,0))</f>
        <v>Entry-level</v>
      </c>
      <c r="P667" s="45">
        <f>IF(MotorPHSales[[#This Row],[Segment]]="Entry-level",MotorPHSales[[#This Row],[UnitPrice]]/(1+30%),IF(MotorPHSales[[#This Row],[Segment]]="Mid-range",MotorPHSales[[#This Row],[UnitPrice]]/(1+35%),MotorPHSales[[#This Row],[UnitPrice]]/(1+40%)))*MotorPHSales[[#This Row],[Quantity]]</f>
        <v>4446153.846153846</v>
      </c>
      <c r="Q667" s="44" t="str">
        <f>INDEX(CLEANED_MotorPH_Products_List_2!H:H,MATCH(MotorPHSales[[#This Row],[Product]],CLEANED_MotorPH_Products_List_2!$B:$B,0))</f>
        <v>CVT</v>
      </c>
    </row>
    <row r="668" spans="1:17" ht="15.75" x14ac:dyDescent="0.3">
      <c r="A668" s="43">
        <v>45811</v>
      </c>
      <c r="B668" s="44" t="str">
        <f>TEXT(MotorPHSales[[#This Row],[Date]],"mmmm")</f>
        <v>June</v>
      </c>
      <c r="C668" s="44">
        <f>DAY(MotorPHSales[[#This Row],[Date]])</f>
        <v>3</v>
      </c>
      <c r="D668" s="44">
        <f>YEAR(MotorPHSales[[#This Row],[Date]])</f>
        <v>2025</v>
      </c>
      <c r="E668" s="44" t="s">
        <v>196</v>
      </c>
      <c r="F668" s="44" t="s">
        <v>92</v>
      </c>
      <c r="G668" s="45">
        <v>289000</v>
      </c>
      <c r="H668" s="44">
        <v>49</v>
      </c>
      <c r="I668" s="45">
        <v>14161000</v>
      </c>
      <c r="J668" s="44" t="s">
        <v>198</v>
      </c>
      <c r="K668" s="44" t="str">
        <f>INDEX(CLEANED_MotorPH_Products_List_2!C:C,MATCH(MotorPHSales[[#This Row],[Product]],CLEANED_MotorPH_Products_List_2!$B:$B,0))</f>
        <v>Scooter</v>
      </c>
      <c r="L668" s="44" t="str">
        <f>INDEX(CLEANED_MotorPH_Products_List_2!E:E,MATCH(MotorPHSales[[#This Row],[Product]],CLEANED_MotorPH_Products_List_2!$B:$B,0))</f>
        <v>Single cylinder</v>
      </c>
      <c r="M668" s="44" t="str">
        <f>INDEX(CLEANED_MotorPH_Products_List_2!F:F,MATCH(MotorPHSales[[#This Row],[Product]],CLEANED_MotorPH_Products_List_2!$B:$B,0))</f>
        <v>liquid-cooled</v>
      </c>
      <c r="N668" s="44" t="str">
        <f>INDEX(CLEANED_MotorPH_Products_List_2!G:G,MATCH(MotorPHSales[[#This Row],[Product]],CLEANED_MotorPH_Products_List_2!$B:$B,0))</f>
        <v>181cc</v>
      </c>
      <c r="O668" s="44" t="str">
        <f>INDEX(CLEANED_MotorPH_Products_List_2!K:K,MATCH(MotorPHSales[[#This Row],[Product]],CLEANED_MotorPH_Products_List_2!B:B,0))</f>
        <v>Entry-level</v>
      </c>
      <c r="P668" s="45">
        <f>IF(MotorPHSales[[#This Row],[Segment]]="Entry-level",MotorPHSales[[#This Row],[UnitPrice]]/(1+30%),IF(MotorPHSales[[#This Row],[Segment]]="Mid-range",MotorPHSales[[#This Row],[UnitPrice]]/(1+35%),MotorPHSales[[#This Row],[UnitPrice]]/(1+40%)))*MotorPHSales[[#This Row],[Quantity]]</f>
        <v>10893076.923076924</v>
      </c>
      <c r="Q668" s="44" t="str">
        <f>INDEX(CLEANED_MotorPH_Products_List_2!H:H,MATCH(MotorPHSales[[#This Row],[Product]],CLEANED_MotorPH_Products_List_2!$B:$B,0))</f>
        <v>CVT</v>
      </c>
    </row>
    <row r="669" spans="1:17" ht="15.75" x14ac:dyDescent="0.3">
      <c r="A669" s="43">
        <v>45824</v>
      </c>
      <c r="B669" s="44" t="str">
        <f>TEXT(MotorPHSales[[#This Row],[Date]],"mmmm")</f>
        <v>June</v>
      </c>
      <c r="C669" s="44">
        <f>DAY(MotorPHSales[[#This Row],[Date]])</f>
        <v>16</v>
      </c>
      <c r="D669" s="44">
        <f>YEAR(MotorPHSales[[#This Row],[Date]])</f>
        <v>2025</v>
      </c>
      <c r="E669" s="44" t="s">
        <v>194</v>
      </c>
      <c r="F669" s="44" t="s">
        <v>101</v>
      </c>
      <c r="G669" s="45">
        <v>72900</v>
      </c>
      <c r="H669" s="44">
        <v>19</v>
      </c>
      <c r="I669" s="45">
        <v>1385100</v>
      </c>
      <c r="J669" s="44" t="s">
        <v>197</v>
      </c>
      <c r="K669" s="44" t="str">
        <f>INDEX(CLEANED_MotorPH_Products_List_2!C:C,MATCH(MotorPHSales[[#This Row],[Product]],CLEANED_MotorPH_Products_List_2!$B:$B,0))</f>
        <v>Underbone</v>
      </c>
      <c r="L669" s="44" t="str">
        <f>INDEX(CLEANED_MotorPH_Products_List_2!E:E,MATCH(MotorPHSales[[#This Row],[Product]],CLEANED_MotorPH_Products_List_2!$B:$B,0))</f>
        <v>Single cylinder</v>
      </c>
      <c r="M669" s="44" t="str">
        <f>INDEX(CLEANED_MotorPH_Products_List_2!F:F,MATCH(MotorPHSales[[#This Row],[Product]],CLEANED_MotorPH_Products_List_2!$B:$B,0))</f>
        <v>air-cooled</v>
      </c>
      <c r="N669" s="44" t="str">
        <f>INDEX(CLEANED_MotorPH_Products_List_2!G:G,MATCH(MotorPHSales[[#This Row],[Product]],CLEANED_MotorPH_Products_List_2!$B:$B,0))</f>
        <v>150cc</v>
      </c>
      <c r="O669" s="44" t="str">
        <f>INDEX(CLEANED_MotorPH_Products_List_2!K:K,MATCH(MotorPHSales[[#This Row],[Product]],CLEANED_MotorPH_Products_List_2!B:B,0))</f>
        <v>Entry-level</v>
      </c>
      <c r="P669" s="45">
        <f>IF(MotorPHSales[[#This Row],[Segment]]="Entry-level",MotorPHSales[[#This Row],[UnitPrice]]/(1+30%),IF(MotorPHSales[[#This Row],[Segment]]="Mid-range",MotorPHSales[[#This Row],[UnitPrice]]/(1+35%),MotorPHSales[[#This Row],[UnitPrice]]/(1+40%)))*MotorPHSales[[#This Row],[Quantity]]</f>
        <v>1065461.5384615385</v>
      </c>
      <c r="Q669" s="44" t="str">
        <f>INDEX(CLEANED_MotorPH_Products_List_2!H:H,MATCH(MotorPHSales[[#This Row],[Product]],CLEANED_MotorPH_Products_List_2!$B:$B,0))</f>
        <v>CVT</v>
      </c>
    </row>
    <row r="670" spans="1:17" ht="15.75" x14ac:dyDescent="0.3">
      <c r="A670" s="43">
        <v>45895</v>
      </c>
      <c r="B670" s="44" t="str">
        <f>TEXT(MotorPHSales[[#This Row],[Date]],"mmmm")</f>
        <v>August</v>
      </c>
      <c r="C670" s="44">
        <f>DAY(MotorPHSales[[#This Row],[Date]])</f>
        <v>26</v>
      </c>
      <c r="D670" s="44">
        <f>YEAR(MotorPHSales[[#This Row],[Date]])</f>
        <v>2025</v>
      </c>
      <c r="E670" s="44" t="s">
        <v>194</v>
      </c>
      <c r="F670" s="44" t="s">
        <v>68</v>
      </c>
      <c r="G670" s="45">
        <v>248000</v>
      </c>
      <c r="H670" s="44">
        <v>43</v>
      </c>
      <c r="I670" s="45">
        <v>10664000</v>
      </c>
      <c r="J670" s="44" t="s">
        <v>198</v>
      </c>
      <c r="K670" s="44" t="str">
        <f>INDEX(CLEANED_MotorPH_Products_List_2!C:C,MATCH(MotorPHSales[[#This Row],[Product]],CLEANED_MotorPH_Products_List_2!$B:$B,0))</f>
        <v>Adventure</v>
      </c>
      <c r="L670" s="44" t="str">
        <f>INDEX(CLEANED_MotorPH_Products_List_2!E:E,MATCH(MotorPHSales[[#This Row],[Product]],CLEANED_MotorPH_Products_List_2!$B:$B,0))</f>
        <v>Single cylinder</v>
      </c>
      <c r="M670" s="44" t="str">
        <f>INDEX(CLEANED_MotorPH_Products_List_2!F:F,MATCH(MotorPHSales[[#This Row],[Product]],CLEANED_MotorPH_Products_List_2!$B:$B,0))</f>
        <v>liquid-cooled</v>
      </c>
      <c r="N670" s="44" t="str">
        <f>INDEX(CLEANED_MotorPH_Products_List_2!G:G,MATCH(MotorPHSales[[#This Row],[Product]],CLEANED_MotorPH_Products_List_2!$B:$B,0))</f>
        <v>312cc</v>
      </c>
      <c r="O670" s="44" t="str">
        <f>INDEX(CLEANED_MotorPH_Products_List_2!K:K,MATCH(MotorPHSales[[#This Row],[Product]],CLEANED_MotorPH_Products_List_2!B:B,0))</f>
        <v>Mid-range</v>
      </c>
      <c r="P670" s="45">
        <f>IF(MotorPHSales[[#This Row],[Segment]]="Entry-level",MotorPHSales[[#This Row],[UnitPrice]]/(1+30%),IF(MotorPHSales[[#This Row],[Segment]]="Mid-range",MotorPHSales[[#This Row],[UnitPrice]]/(1+35%),MotorPHSales[[#This Row],[UnitPrice]]/(1+40%)))*MotorPHSales[[#This Row],[Quantity]]</f>
        <v>7899259.2592592584</v>
      </c>
      <c r="Q670" s="44" t="str">
        <f>INDEX(CLEANED_MotorPH_Products_List_2!H:H,MATCH(MotorPHSales[[#This Row],[Product]],CLEANED_MotorPH_Products_List_2!$B:$B,0))</f>
        <v>6-speed</v>
      </c>
    </row>
    <row r="671" spans="1:17" ht="15.75" x14ac:dyDescent="0.3">
      <c r="A671" s="43">
        <v>45865</v>
      </c>
      <c r="B671" s="44" t="str">
        <f>TEXT(MotorPHSales[[#This Row],[Date]],"mmmm")</f>
        <v>July</v>
      </c>
      <c r="C671" s="44">
        <f>DAY(MotorPHSales[[#This Row],[Date]])</f>
        <v>27</v>
      </c>
      <c r="D671" s="44">
        <f>YEAR(MotorPHSales[[#This Row],[Date]])</f>
        <v>2025</v>
      </c>
      <c r="E671" s="44" t="s">
        <v>194</v>
      </c>
      <c r="F671" s="44" t="s">
        <v>38</v>
      </c>
      <c r="G671" s="45">
        <v>295000</v>
      </c>
      <c r="H671" s="44">
        <v>34</v>
      </c>
      <c r="I671" s="45">
        <v>10030000</v>
      </c>
      <c r="J671" s="44" t="s">
        <v>197</v>
      </c>
      <c r="K671" s="44" t="str">
        <f>INDEX(CLEANED_MotorPH_Products_List_2!C:C,MATCH(MotorPHSales[[#This Row],[Product]],CLEANED_MotorPH_Products_List_2!$B:$B,0))</f>
        <v>Scrambler</v>
      </c>
      <c r="L671" s="44" t="str">
        <f>INDEX(CLEANED_MotorPH_Products_List_2!E:E,MATCH(MotorPHSales[[#This Row],[Product]],CLEANED_MotorPH_Products_List_2!$B:$B,0))</f>
        <v>Single cylinder</v>
      </c>
      <c r="M671" s="44" t="str">
        <f>INDEX(CLEANED_MotorPH_Products_List_2!F:F,MATCH(MotorPHSales[[#This Row],[Product]],CLEANED_MotorPH_Products_List_2!$B:$B,0))</f>
        <v>liquid-cooled</v>
      </c>
      <c r="N671" s="44" t="str">
        <f>INDEX(CLEANED_MotorPH_Products_List_2!G:G,MATCH(MotorPHSales[[#This Row],[Product]],CLEANED_MotorPH_Products_List_2!$B:$B,0))</f>
        <v>373cc</v>
      </c>
      <c r="O671" s="44" t="str">
        <f>INDEX(CLEANED_MotorPH_Products_List_2!K:K,MATCH(MotorPHSales[[#This Row],[Product]],CLEANED_MotorPH_Products_List_2!B:B,0))</f>
        <v>Mid-range</v>
      </c>
      <c r="P671" s="45">
        <f>IF(MotorPHSales[[#This Row],[Segment]]="Entry-level",MotorPHSales[[#This Row],[UnitPrice]]/(1+30%),IF(MotorPHSales[[#This Row],[Segment]]="Mid-range",MotorPHSales[[#This Row],[UnitPrice]]/(1+35%),MotorPHSales[[#This Row],[UnitPrice]]/(1+40%)))*MotorPHSales[[#This Row],[Quantity]]</f>
        <v>7429629.6296296297</v>
      </c>
      <c r="Q671" s="44" t="str">
        <f>INDEX(CLEANED_MotorPH_Products_List_2!H:H,MATCH(MotorPHSales[[#This Row],[Product]],CLEANED_MotorPH_Products_List_2!$B:$B,0))</f>
        <v>6-speed</v>
      </c>
    </row>
    <row r="672" spans="1:17" ht="15.75" x14ac:dyDescent="0.3">
      <c r="A672" s="43">
        <v>45883</v>
      </c>
      <c r="B672" s="44" t="str">
        <f>TEXT(MotorPHSales[[#This Row],[Date]],"mmmm")</f>
        <v>August</v>
      </c>
      <c r="C672" s="44">
        <f>DAY(MotorPHSales[[#This Row],[Date]])</f>
        <v>14</v>
      </c>
      <c r="D672" s="44">
        <f>YEAR(MotorPHSales[[#This Row],[Date]])</f>
        <v>2025</v>
      </c>
      <c r="E672" s="44" t="s">
        <v>196</v>
      </c>
      <c r="F672" s="44" t="s">
        <v>96</v>
      </c>
      <c r="G672" s="45">
        <v>80900</v>
      </c>
      <c r="H672" s="44">
        <v>17</v>
      </c>
      <c r="I672" s="45">
        <v>1375300</v>
      </c>
      <c r="J672" s="44" t="s">
        <v>197</v>
      </c>
      <c r="K672" s="44" t="str">
        <f>INDEX(CLEANED_MotorPH_Products_List_2!C:C,MATCH(MotorPHSales[[#This Row],[Product]],CLEANED_MotorPH_Products_List_2!$B:$B,0))</f>
        <v>Scooter</v>
      </c>
      <c r="L672" s="44" t="str">
        <f>INDEX(CLEANED_MotorPH_Products_List_2!E:E,MATCH(MotorPHSales[[#This Row],[Product]],CLEANED_MotorPH_Products_List_2!$B:$B,0))</f>
        <v>Single cylinder</v>
      </c>
      <c r="M672" s="44" t="str">
        <f>INDEX(CLEANED_MotorPH_Products_List_2!F:F,MATCH(MotorPHSales[[#This Row],[Product]],CLEANED_MotorPH_Products_List_2!$B:$B,0))</f>
        <v>air-cooled</v>
      </c>
      <c r="N672" s="44" t="str">
        <f>INDEX(CLEANED_MotorPH_Products_List_2!G:G,MATCH(MotorPHSales[[#This Row],[Product]],CLEANED_MotorPH_Products_List_2!$B:$B,0))</f>
        <v>124cc</v>
      </c>
      <c r="O672" s="44" t="str">
        <f>INDEX(CLEANED_MotorPH_Products_List_2!K:K,MATCH(MotorPHSales[[#This Row],[Product]],CLEANED_MotorPH_Products_List_2!B:B,0))</f>
        <v>Entry-level</v>
      </c>
      <c r="P672" s="45">
        <f>IF(MotorPHSales[[#This Row],[Segment]]="Entry-level",MotorPHSales[[#This Row],[UnitPrice]]/(1+30%),IF(MotorPHSales[[#This Row],[Segment]]="Mid-range",MotorPHSales[[#This Row],[UnitPrice]]/(1+35%),MotorPHSales[[#This Row],[UnitPrice]]/(1+40%)))*MotorPHSales[[#This Row],[Quantity]]</f>
        <v>1057923.0769230768</v>
      </c>
      <c r="Q672" s="44" t="str">
        <f>INDEX(CLEANED_MotorPH_Products_List_2!H:H,MATCH(MotorPHSales[[#This Row],[Product]],CLEANED_MotorPH_Products_List_2!$B:$B,0))</f>
        <v>CVT</v>
      </c>
    </row>
    <row r="673" spans="1:17" ht="15.75" x14ac:dyDescent="0.3">
      <c r="A673" s="43">
        <v>45820</v>
      </c>
      <c r="B673" s="44" t="str">
        <f>TEXT(MotorPHSales[[#This Row],[Date]],"mmmm")</f>
        <v>June</v>
      </c>
      <c r="C673" s="44">
        <f>DAY(MotorPHSales[[#This Row],[Date]])</f>
        <v>12</v>
      </c>
      <c r="D673" s="44">
        <f>YEAR(MotorPHSales[[#This Row],[Date]])</f>
        <v>2025</v>
      </c>
      <c r="E673" s="44" t="s">
        <v>196</v>
      </c>
      <c r="F673" s="44" t="s">
        <v>6</v>
      </c>
      <c r="G673" s="45">
        <v>389000</v>
      </c>
      <c r="H673" s="44">
        <v>3</v>
      </c>
      <c r="I673" s="45">
        <v>1167000</v>
      </c>
      <c r="J673" s="44" t="s">
        <v>197</v>
      </c>
      <c r="K673" s="44" t="str">
        <f>INDEX(CLEANED_MotorPH_Products_List_2!C:C,MATCH(MotorPHSales[[#This Row],[Product]],CLEANED_MotorPH_Products_List_2!$B:$B,0))</f>
        <v>Sport</v>
      </c>
      <c r="L673" s="44" t="str">
        <f>INDEX(CLEANED_MotorPH_Products_List_2!E:E,MATCH(MotorPHSales[[#This Row],[Product]],CLEANED_MotorPH_Products_List_2!$B:$B,0))</f>
        <v>Parallel-twin</v>
      </c>
      <c r="M673" s="44" t="str">
        <f>INDEX(CLEANED_MotorPH_Products_List_2!F:F,MATCH(MotorPHSales[[#This Row],[Product]],CLEANED_MotorPH_Products_List_2!$B:$B,0))</f>
        <v>liquid-cooled</v>
      </c>
      <c r="N673" s="44" t="str">
        <f>INDEX(CLEANED_MotorPH_Products_List_2!G:G,MATCH(MotorPHSales[[#This Row],[Product]],CLEANED_MotorPH_Products_List_2!$B:$B,0))</f>
        <v>471cc</v>
      </c>
      <c r="O673" s="44" t="str">
        <f>INDEX(CLEANED_MotorPH_Products_List_2!K:K,MATCH(MotorPHSales[[#This Row],[Product]],CLEANED_MotorPH_Products_List_2!B:B,0))</f>
        <v>Mid-range</v>
      </c>
      <c r="P673" s="45">
        <f>IF(MotorPHSales[[#This Row],[Segment]]="Entry-level",MotorPHSales[[#This Row],[UnitPrice]]/(1+30%),IF(MotorPHSales[[#This Row],[Segment]]="Mid-range",MotorPHSales[[#This Row],[UnitPrice]]/(1+35%),MotorPHSales[[#This Row],[UnitPrice]]/(1+40%)))*MotorPHSales[[#This Row],[Quantity]]</f>
        <v>864444.4444444445</v>
      </c>
      <c r="Q673" s="44" t="str">
        <f>INDEX(CLEANED_MotorPH_Products_List_2!H:H,MATCH(MotorPHSales[[#This Row],[Product]],CLEANED_MotorPH_Products_List_2!$B:$B,0))</f>
        <v>6-speed</v>
      </c>
    </row>
    <row r="674" spans="1:17" ht="15.75" x14ac:dyDescent="0.3">
      <c r="A674" s="43">
        <v>45882</v>
      </c>
      <c r="B674" s="44" t="str">
        <f>TEXT(MotorPHSales[[#This Row],[Date]],"mmmm")</f>
        <v>August</v>
      </c>
      <c r="C674" s="44">
        <f>DAY(MotorPHSales[[#This Row],[Date]])</f>
        <v>13</v>
      </c>
      <c r="D674" s="44">
        <f>YEAR(MotorPHSales[[#This Row],[Date]])</f>
        <v>2025</v>
      </c>
      <c r="E674" s="44" t="s">
        <v>194</v>
      </c>
      <c r="F674" s="44" t="s">
        <v>74</v>
      </c>
      <c r="G674" s="45">
        <v>349000</v>
      </c>
      <c r="H674" s="44">
        <v>9</v>
      </c>
      <c r="I674" s="45">
        <v>3141000</v>
      </c>
      <c r="J674" s="44" t="s">
        <v>195</v>
      </c>
      <c r="K674" s="44" t="str">
        <f>INDEX(CLEANED_MotorPH_Products_List_2!C:C,MATCH(MotorPHSales[[#This Row],[Product]],CLEANED_MotorPH_Products_List_2!$B:$B,0))</f>
        <v>Cruiser</v>
      </c>
      <c r="L674" s="44" t="str">
        <f>INDEX(CLEANED_MotorPH_Products_List_2!E:E,MATCH(MotorPHSales[[#This Row],[Product]],CLEANED_MotorPH_Products_List_2!$B:$B,0))</f>
        <v>Parallel-twin</v>
      </c>
      <c r="M674" s="44" t="str">
        <f>INDEX(CLEANED_MotorPH_Products_List_2!F:F,MATCH(MotorPHSales[[#This Row],[Product]],CLEANED_MotorPH_Products_List_2!$B:$B,0))</f>
        <v>liquid-cooled</v>
      </c>
      <c r="N674" s="44" t="str">
        <f>INDEX(CLEANED_MotorPH_Products_List_2!G:G,MATCH(MotorPHSales[[#This Row],[Product]],CLEANED_MotorPH_Products_List_2!$B:$B,0))</f>
        <v>500cc</v>
      </c>
      <c r="O674" s="44" t="str">
        <f>INDEX(CLEANED_MotorPH_Products_List_2!K:K,MATCH(MotorPHSales[[#This Row],[Product]],CLEANED_MotorPH_Products_List_2!B:B,0))</f>
        <v>Mid-range</v>
      </c>
      <c r="P674" s="45">
        <f>IF(MotorPHSales[[#This Row],[Segment]]="Entry-level",MotorPHSales[[#This Row],[UnitPrice]]/(1+30%),IF(MotorPHSales[[#This Row],[Segment]]="Mid-range",MotorPHSales[[#This Row],[UnitPrice]]/(1+35%),MotorPHSales[[#This Row],[UnitPrice]]/(1+40%)))*MotorPHSales[[#This Row],[Quantity]]</f>
        <v>2326666.6666666665</v>
      </c>
      <c r="Q674" s="44" t="str">
        <f>INDEX(CLEANED_MotorPH_Products_List_2!H:H,MATCH(MotorPHSales[[#This Row],[Product]],CLEANED_MotorPH_Products_List_2!$B:$B,0))</f>
        <v>6-speed</v>
      </c>
    </row>
    <row r="675" spans="1:17" ht="15.75" x14ac:dyDescent="0.3">
      <c r="A675" s="43">
        <v>45824</v>
      </c>
      <c r="B675" s="44" t="str">
        <f>TEXT(MotorPHSales[[#This Row],[Date]],"mmmm")</f>
        <v>June</v>
      </c>
      <c r="C675" s="44">
        <f>DAY(MotorPHSales[[#This Row],[Date]])</f>
        <v>16</v>
      </c>
      <c r="D675" s="44">
        <f>YEAR(MotorPHSales[[#This Row],[Date]])</f>
        <v>2025</v>
      </c>
      <c r="E675" s="44" t="s">
        <v>196</v>
      </c>
      <c r="F675" s="44" t="s">
        <v>32</v>
      </c>
      <c r="G675" s="45">
        <v>198000</v>
      </c>
      <c r="H675" s="44">
        <v>37</v>
      </c>
      <c r="I675" s="45">
        <v>7326000</v>
      </c>
      <c r="J675" s="44" t="s">
        <v>197</v>
      </c>
      <c r="K675" s="44" t="str">
        <f>INDEX(CLEANED_MotorPH_Products_List_2!C:C,MATCH(MotorPHSales[[#This Row],[Product]],CLEANED_MotorPH_Products_List_2!$B:$B,0))</f>
        <v>Sport</v>
      </c>
      <c r="L675" s="44" t="str">
        <f>INDEX(CLEANED_MotorPH_Products_List_2!E:E,MATCH(MotorPHSales[[#This Row],[Product]],CLEANED_MotorPH_Products_List_2!$B:$B,0))</f>
        <v>Single cylinder</v>
      </c>
      <c r="M675" s="44" t="str">
        <f>INDEX(CLEANED_MotorPH_Products_List_2!F:F,MATCH(MotorPHSales[[#This Row],[Product]],CLEANED_MotorPH_Products_List_2!$B:$B,0))</f>
        <v>liquid-cooled</v>
      </c>
      <c r="N675" s="44" t="str">
        <f>INDEX(CLEANED_MotorPH_Products_List_2!G:G,MATCH(MotorPHSales[[#This Row],[Product]],CLEANED_MotorPH_Products_List_2!$B:$B,0))</f>
        <v>199cc</v>
      </c>
      <c r="O675" s="44" t="str">
        <f>INDEX(CLEANED_MotorPH_Products_List_2!K:K,MATCH(MotorPHSales[[#This Row],[Product]],CLEANED_MotorPH_Products_List_2!B:B,0))</f>
        <v>Entry-level</v>
      </c>
      <c r="P675" s="45">
        <f>IF(MotorPHSales[[#This Row],[Segment]]="Entry-level",MotorPHSales[[#This Row],[UnitPrice]]/(1+30%),IF(MotorPHSales[[#This Row],[Segment]]="Mid-range",MotorPHSales[[#This Row],[UnitPrice]]/(1+35%),MotorPHSales[[#This Row],[UnitPrice]]/(1+40%)))*MotorPHSales[[#This Row],[Quantity]]</f>
        <v>5635384.615384616</v>
      </c>
      <c r="Q675" s="44" t="str">
        <f>INDEX(CLEANED_MotorPH_Products_List_2!H:H,MATCH(MotorPHSales[[#This Row],[Product]],CLEANED_MotorPH_Products_List_2!$B:$B,0))</f>
        <v>6-speed</v>
      </c>
    </row>
    <row r="676" spans="1:17" ht="15.75" x14ac:dyDescent="0.3">
      <c r="A676" s="43">
        <v>45880</v>
      </c>
      <c r="B676" s="44" t="str">
        <f>TEXT(MotorPHSales[[#This Row],[Date]],"mmmm")</f>
        <v>August</v>
      </c>
      <c r="C676" s="44">
        <f>DAY(MotorPHSales[[#This Row],[Date]])</f>
        <v>11</v>
      </c>
      <c r="D676" s="44">
        <f>YEAR(MotorPHSales[[#This Row],[Date]])</f>
        <v>2025</v>
      </c>
      <c r="E676" s="44" t="s">
        <v>196</v>
      </c>
      <c r="F676" s="44" t="s">
        <v>47</v>
      </c>
      <c r="G676" s="45">
        <v>398000</v>
      </c>
      <c r="H676" s="44">
        <v>26</v>
      </c>
      <c r="I676" s="45">
        <v>10348000</v>
      </c>
      <c r="J676" s="44" t="s">
        <v>195</v>
      </c>
      <c r="K676" s="44" t="str">
        <f>INDEX(CLEANED_MotorPH_Products_List_2!C:C,MATCH(MotorPHSales[[#This Row],[Product]],CLEANED_MotorPH_Products_List_2!$B:$B,0))</f>
        <v>Cruiser</v>
      </c>
      <c r="L676" s="44" t="str">
        <f>INDEX(CLEANED_MotorPH_Products_List_2!E:E,MATCH(MotorPHSales[[#This Row],[Product]],CLEANED_MotorPH_Products_List_2!$B:$B,0))</f>
        <v>Parallel-twin</v>
      </c>
      <c r="M676" s="44" t="str">
        <f>INDEX(CLEANED_MotorPH_Products_List_2!F:F,MATCH(MotorPHSales[[#This Row],[Product]],CLEANED_MotorPH_Products_List_2!$B:$B,0))</f>
        <v>liquid-cooled</v>
      </c>
      <c r="N676" s="44" t="str">
        <f>INDEX(CLEANED_MotorPH_Products_List_2!G:G,MATCH(MotorPHSales[[#This Row],[Product]],CLEANED_MotorPH_Products_List_2!$B:$B,0))</f>
        <v>649cc</v>
      </c>
      <c r="O676" s="44" t="str">
        <f>INDEX(CLEANED_MotorPH_Products_List_2!K:K,MATCH(MotorPHSales[[#This Row],[Product]],CLEANED_MotorPH_Products_List_2!B:B,0))</f>
        <v>Premium</v>
      </c>
      <c r="P676" s="45">
        <f>IF(MotorPHSales[[#This Row],[Segment]]="Entry-level",MotorPHSales[[#This Row],[UnitPrice]]/(1+30%),IF(MotorPHSales[[#This Row],[Segment]]="Mid-range",MotorPHSales[[#This Row],[UnitPrice]]/(1+35%),MotorPHSales[[#This Row],[UnitPrice]]/(1+40%)))*MotorPHSales[[#This Row],[Quantity]]</f>
        <v>7391428.5714285728</v>
      </c>
      <c r="Q676" s="44" t="str">
        <f>INDEX(CLEANED_MotorPH_Products_List_2!H:H,MATCH(MotorPHSales[[#This Row],[Product]],CLEANED_MotorPH_Products_List_2!$B:$B,0))</f>
        <v>6-speed</v>
      </c>
    </row>
    <row r="677" spans="1:17" ht="15.75" x14ac:dyDescent="0.3">
      <c r="A677" s="43">
        <v>45884</v>
      </c>
      <c r="B677" s="44" t="str">
        <f>TEXT(MotorPHSales[[#This Row],[Date]],"mmmm")</f>
        <v>August</v>
      </c>
      <c r="C677" s="44">
        <f>DAY(MotorPHSales[[#This Row],[Date]])</f>
        <v>15</v>
      </c>
      <c r="D677" s="44">
        <f>YEAR(MotorPHSales[[#This Row],[Date]])</f>
        <v>2025</v>
      </c>
      <c r="E677" s="44" t="s">
        <v>194</v>
      </c>
      <c r="F677" s="44" t="s">
        <v>6</v>
      </c>
      <c r="G677" s="45">
        <v>389000</v>
      </c>
      <c r="H677" s="44">
        <v>8</v>
      </c>
      <c r="I677" s="45">
        <v>3112000</v>
      </c>
      <c r="J677" s="44" t="s">
        <v>195</v>
      </c>
      <c r="K677" s="44" t="str">
        <f>INDEX(CLEANED_MotorPH_Products_List_2!C:C,MATCH(MotorPHSales[[#This Row],[Product]],CLEANED_MotorPH_Products_List_2!$B:$B,0))</f>
        <v>Sport</v>
      </c>
      <c r="L677" s="44" t="str">
        <f>INDEX(CLEANED_MotorPH_Products_List_2!E:E,MATCH(MotorPHSales[[#This Row],[Product]],CLEANED_MotorPH_Products_List_2!$B:$B,0))</f>
        <v>Parallel-twin</v>
      </c>
      <c r="M677" s="44" t="str">
        <f>INDEX(CLEANED_MotorPH_Products_List_2!F:F,MATCH(MotorPHSales[[#This Row],[Product]],CLEANED_MotorPH_Products_List_2!$B:$B,0))</f>
        <v>liquid-cooled</v>
      </c>
      <c r="N677" s="44" t="str">
        <f>INDEX(CLEANED_MotorPH_Products_List_2!G:G,MATCH(MotorPHSales[[#This Row],[Product]],CLEANED_MotorPH_Products_List_2!$B:$B,0))</f>
        <v>471cc</v>
      </c>
      <c r="O677" s="44" t="str">
        <f>INDEX(CLEANED_MotorPH_Products_List_2!K:K,MATCH(MotorPHSales[[#This Row],[Product]],CLEANED_MotorPH_Products_List_2!B:B,0))</f>
        <v>Mid-range</v>
      </c>
      <c r="P677" s="45">
        <f>IF(MotorPHSales[[#This Row],[Segment]]="Entry-level",MotorPHSales[[#This Row],[UnitPrice]]/(1+30%),IF(MotorPHSales[[#This Row],[Segment]]="Mid-range",MotorPHSales[[#This Row],[UnitPrice]]/(1+35%),MotorPHSales[[#This Row],[UnitPrice]]/(1+40%)))*MotorPHSales[[#This Row],[Quantity]]</f>
        <v>2305185.1851851852</v>
      </c>
      <c r="Q677" s="44" t="str">
        <f>INDEX(CLEANED_MotorPH_Products_List_2!H:H,MATCH(MotorPHSales[[#This Row],[Product]],CLEANED_MotorPH_Products_List_2!$B:$B,0))</f>
        <v>6-speed</v>
      </c>
    </row>
    <row r="678" spans="1:17" ht="15.75" x14ac:dyDescent="0.3">
      <c r="A678" s="43">
        <v>45832</v>
      </c>
      <c r="B678" s="44" t="str">
        <f>TEXT(MotorPHSales[[#This Row],[Date]],"mmmm")</f>
        <v>June</v>
      </c>
      <c r="C678" s="44">
        <f>DAY(MotorPHSales[[#This Row],[Date]])</f>
        <v>24</v>
      </c>
      <c r="D678" s="44">
        <f>YEAR(MotorPHSales[[#This Row],[Date]])</f>
        <v>2025</v>
      </c>
      <c r="E678" s="44" t="s">
        <v>194</v>
      </c>
      <c r="F678" s="44" t="s">
        <v>61</v>
      </c>
      <c r="G678" s="45">
        <v>284900</v>
      </c>
      <c r="H678" s="44">
        <v>12</v>
      </c>
      <c r="I678" s="45">
        <v>3418800</v>
      </c>
      <c r="J678" s="44" t="s">
        <v>198</v>
      </c>
      <c r="K678" s="44" t="str">
        <f>INDEX(CLEANED_MotorPH_Products_List_2!C:C,MATCH(MotorPHSales[[#This Row],[Product]],CLEANED_MotorPH_Products_List_2!$B:$B,0))</f>
        <v>Dual-sport</v>
      </c>
      <c r="L678" s="44" t="str">
        <f>INDEX(CLEANED_MotorPH_Products_List_2!E:E,MATCH(MotorPHSales[[#This Row],[Product]],CLEANED_MotorPH_Products_List_2!$B:$B,0))</f>
        <v>Single cylinder</v>
      </c>
      <c r="M678" s="44" t="str">
        <f>INDEX(CLEANED_MotorPH_Products_List_2!F:F,MATCH(MotorPHSales[[#This Row],[Product]],CLEANED_MotorPH_Products_List_2!$B:$B,0))</f>
        <v>liquid-cooled</v>
      </c>
      <c r="N678" s="44" t="str">
        <f>INDEX(CLEANED_MotorPH_Products_List_2!G:G,MATCH(MotorPHSales[[#This Row],[Product]],CLEANED_MotorPH_Products_List_2!$B:$B,0))</f>
        <v>286cc</v>
      </c>
      <c r="O678" s="44" t="str">
        <f>INDEX(CLEANED_MotorPH_Products_List_2!K:K,MATCH(MotorPHSales[[#This Row],[Product]],CLEANED_MotorPH_Products_List_2!B:B,0))</f>
        <v>Mid-range</v>
      </c>
      <c r="P678" s="45">
        <f>IF(MotorPHSales[[#This Row],[Segment]]="Entry-level",MotorPHSales[[#This Row],[UnitPrice]]/(1+30%),IF(MotorPHSales[[#This Row],[Segment]]="Mid-range",MotorPHSales[[#This Row],[UnitPrice]]/(1+35%),MotorPHSales[[#This Row],[UnitPrice]]/(1+40%)))*MotorPHSales[[#This Row],[Quantity]]</f>
        <v>2532444.444444444</v>
      </c>
      <c r="Q678" s="44" t="str">
        <f>INDEX(CLEANED_MotorPH_Products_List_2!H:H,MATCH(MotorPHSales[[#This Row],[Product]],CLEANED_MotorPH_Products_List_2!$B:$B,0))</f>
        <v>6-speed</v>
      </c>
    </row>
    <row r="679" spans="1:17" ht="15.75" x14ac:dyDescent="0.3">
      <c r="A679" s="43">
        <v>45836</v>
      </c>
      <c r="B679" s="44" t="str">
        <f>TEXT(MotorPHSales[[#This Row],[Date]],"mmmm")</f>
        <v>June</v>
      </c>
      <c r="C679" s="44">
        <f>DAY(MotorPHSales[[#This Row],[Date]])</f>
        <v>28</v>
      </c>
      <c r="D679" s="44">
        <f>YEAR(MotorPHSales[[#This Row],[Date]])</f>
        <v>2025</v>
      </c>
      <c r="E679" s="44" t="s">
        <v>196</v>
      </c>
      <c r="F679" s="44" t="s">
        <v>18</v>
      </c>
      <c r="G679" s="45">
        <v>328000</v>
      </c>
      <c r="H679" s="44">
        <v>1</v>
      </c>
      <c r="I679" s="45">
        <v>328000</v>
      </c>
      <c r="J679" s="44" t="s">
        <v>198</v>
      </c>
      <c r="K679" s="44" t="str">
        <f>INDEX(CLEANED_MotorPH_Products_List_2!C:C,MATCH(MotorPHSales[[#This Row],[Product]],CLEANED_MotorPH_Products_List_2!$B:$B,0))</f>
        <v>Cafe racer</v>
      </c>
      <c r="L679" s="44" t="str">
        <f>INDEX(CLEANED_MotorPH_Products_List_2!E:E,MATCH(MotorPHSales[[#This Row],[Product]],CLEANED_MotorPH_Products_List_2!$B:$B,0))</f>
        <v>Twin cylinder</v>
      </c>
      <c r="M679" s="44" t="str">
        <f>INDEX(CLEANED_MotorPH_Products_List_2!F:F,MATCH(MotorPHSales[[#This Row],[Product]],CLEANED_MotorPH_Products_List_2!$B:$B,0))</f>
        <v>air-cooled</v>
      </c>
      <c r="N679" s="44" t="str">
        <f>INDEX(CLEANED_MotorPH_Products_List_2!G:G,MATCH(MotorPHSales[[#This Row],[Product]],CLEANED_MotorPH_Products_List_2!$B:$B,0))</f>
        <v>471cc</v>
      </c>
      <c r="O679" s="44" t="str">
        <f>INDEX(CLEANED_MotorPH_Products_List_2!K:K,MATCH(MotorPHSales[[#This Row],[Product]],CLEANED_MotorPH_Products_List_2!B:B,0))</f>
        <v>Mid-range</v>
      </c>
      <c r="P679" s="45">
        <f>IF(MotorPHSales[[#This Row],[Segment]]="Entry-level",MotorPHSales[[#This Row],[UnitPrice]]/(1+30%),IF(MotorPHSales[[#This Row],[Segment]]="Mid-range",MotorPHSales[[#This Row],[UnitPrice]]/(1+35%),MotorPHSales[[#This Row],[UnitPrice]]/(1+40%)))*MotorPHSales[[#This Row],[Quantity]]</f>
        <v>242962.96296296295</v>
      </c>
      <c r="Q679" s="44" t="str">
        <f>INDEX(CLEANED_MotorPH_Products_List_2!H:H,MATCH(MotorPHSales[[#This Row],[Product]],CLEANED_MotorPH_Products_List_2!$B:$B,0))</f>
        <v>6-speed</v>
      </c>
    </row>
    <row r="680" spans="1:17" ht="15.75" x14ac:dyDescent="0.3">
      <c r="A680" s="43">
        <v>45816</v>
      </c>
      <c r="B680" s="44" t="str">
        <f>TEXT(MotorPHSales[[#This Row],[Date]],"mmmm")</f>
        <v>June</v>
      </c>
      <c r="C680" s="44">
        <f>DAY(MotorPHSales[[#This Row],[Date]])</f>
        <v>8</v>
      </c>
      <c r="D680" s="44">
        <f>YEAR(MotorPHSales[[#This Row],[Date]])</f>
        <v>2025</v>
      </c>
      <c r="E680" s="44" t="s">
        <v>194</v>
      </c>
      <c r="F680" s="44" t="s">
        <v>74</v>
      </c>
      <c r="G680" s="45">
        <v>349000</v>
      </c>
      <c r="H680" s="44">
        <v>19</v>
      </c>
      <c r="I680" s="45">
        <v>6631000</v>
      </c>
      <c r="J680" s="44" t="s">
        <v>198</v>
      </c>
      <c r="K680" s="44" t="str">
        <f>INDEX(CLEANED_MotorPH_Products_List_2!C:C,MATCH(MotorPHSales[[#This Row],[Product]],CLEANED_MotorPH_Products_List_2!$B:$B,0))</f>
        <v>Cruiser</v>
      </c>
      <c r="L680" s="44" t="str">
        <f>INDEX(CLEANED_MotorPH_Products_List_2!E:E,MATCH(MotorPHSales[[#This Row],[Product]],CLEANED_MotorPH_Products_List_2!$B:$B,0))</f>
        <v>Parallel-twin</v>
      </c>
      <c r="M680" s="44" t="str">
        <f>INDEX(CLEANED_MotorPH_Products_List_2!F:F,MATCH(MotorPHSales[[#This Row],[Product]],CLEANED_MotorPH_Products_List_2!$B:$B,0))</f>
        <v>liquid-cooled</v>
      </c>
      <c r="N680" s="44" t="str">
        <f>INDEX(CLEANED_MotorPH_Products_List_2!G:G,MATCH(MotorPHSales[[#This Row],[Product]],CLEANED_MotorPH_Products_List_2!$B:$B,0))</f>
        <v>500cc</v>
      </c>
      <c r="O680" s="44" t="str">
        <f>INDEX(CLEANED_MotorPH_Products_List_2!K:K,MATCH(MotorPHSales[[#This Row],[Product]],CLEANED_MotorPH_Products_List_2!B:B,0))</f>
        <v>Mid-range</v>
      </c>
      <c r="P680" s="45">
        <f>IF(MotorPHSales[[#This Row],[Segment]]="Entry-level",MotorPHSales[[#This Row],[UnitPrice]]/(1+30%),IF(MotorPHSales[[#This Row],[Segment]]="Mid-range",MotorPHSales[[#This Row],[UnitPrice]]/(1+35%),MotorPHSales[[#This Row],[UnitPrice]]/(1+40%)))*MotorPHSales[[#This Row],[Quantity]]</f>
        <v>4911851.8518518517</v>
      </c>
      <c r="Q680" s="44" t="str">
        <f>INDEX(CLEANED_MotorPH_Products_List_2!H:H,MATCH(MotorPHSales[[#This Row],[Product]],CLEANED_MotorPH_Products_List_2!$B:$B,0))</f>
        <v>6-speed</v>
      </c>
    </row>
    <row r="681" spans="1:17" ht="15.75" x14ac:dyDescent="0.3">
      <c r="A681" s="43">
        <v>45900</v>
      </c>
      <c r="B681" s="44" t="str">
        <f>TEXT(MotorPHSales[[#This Row],[Date]],"mmmm")</f>
        <v>August</v>
      </c>
      <c r="C681" s="44">
        <f>DAY(MotorPHSales[[#This Row],[Date]])</f>
        <v>31</v>
      </c>
      <c r="D681" s="44">
        <f>YEAR(MotorPHSales[[#This Row],[Date]])</f>
        <v>2025</v>
      </c>
      <c r="E681" s="44" t="s">
        <v>194</v>
      </c>
      <c r="F681" s="44" t="s">
        <v>22</v>
      </c>
      <c r="G681" s="45">
        <v>182000</v>
      </c>
      <c r="H681" s="44">
        <v>19</v>
      </c>
      <c r="I681" s="45">
        <v>3458000</v>
      </c>
      <c r="J681" s="44" t="s">
        <v>198</v>
      </c>
      <c r="K681" s="44" t="str">
        <f>INDEX(CLEANED_MotorPH_Products_List_2!C:C,MATCH(MotorPHSales[[#This Row],[Product]],CLEANED_MotorPH_Products_List_2!$B:$B,0))</f>
        <v>Retro</v>
      </c>
      <c r="L681" s="44" t="str">
        <f>INDEX(CLEANED_MotorPH_Products_List_2!E:E,MATCH(MotorPHSales[[#This Row],[Product]],CLEANED_MotorPH_Products_List_2!$B:$B,0))</f>
        <v>Single cylinder</v>
      </c>
      <c r="M681" s="44" t="str">
        <f>INDEX(CLEANED_MotorPH_Products_List_2!F:F,MATCH(MotorPHSales[[#This Row],[Product]],CLEANED_MotorPH_Products_List_2!$B:$B,0))</f>
        <v>liquid-cooled</v>
      </c>
      <c r="N681" s="44" t="str">
        <f>INDEX(CLEANED_MotorPH_Products_List_2!G:G,MATCH(MotorPHSales[[#This Row],[Product]],CLEANED_MotorPH_Products_List_2!$B:$B,0))</f>
        <v>155cc</v>
      </c>
      <c r="O681" s="44" t="str">
        <f>INDEX(CLEANED_MotorPH_Products_List_2!K:K,MATCH(MotorPHSales[[#This Row],[Product]],CLEANED_MotorPH_Products_List_2!B:B,0))</f>
        <v>Entry-level</v>
      </c>
      <c r="P681" s="45">
        <f>IF(MotorPHSales[[#This Row],[Segment]]="Entry-level",MotorPHSales[[#This Row],[UnitPrice]]/(1+30%),IF(MotorPHSales[[#This Row],[Segment]]="Mid-range",MotorPHSales[[#This Row],[UnitPrice]]/(1+35%),MotorPHSales[[#This Row],[UnitPrice]]/(1+40%)))*MotorPHSales[[#This Row],[Quantity]]</f>
        <v>2660000</v>
      </c>
      <c r="Q681" s="44" t="str">
        <f>INDEX(CLEANED_MotorPH_Products_List_2!H:H,MATCH(MotorPHSales[[#This Row],[Product]],CLEANED_MotorPH_Products_List_2!$B:$B,0))</f>
        <v>6-speed</v>
      </c>
    </row>
    <row r="682" spans="1:17" ht="15.75" x14ac:dyDescent="0.3">
      <c r="A682" s="43">
        <v>45844</v>
      </c>
      <c r="B682" s="44" t="str">
        <f>TEXT(MotorPHSales[[#This Row],[Date]],"mmmm")</f>
        <v>July</v>
      </c>
      <c r="C682" s="44">
        <f>DAY(MotorPHSales[[#This Row],[Date]])</f>
        <v>6</v>
      </c>
      <c r="D682" s="44">
        <f>YEAR(MotorPHSales[[#This Row],[Date]])</f>
        <v>2025</v>
      </c>
      <c r="E682" s="44" t="s">
        <v>196</v>
      </c>
      <c r="F682" s="44" t="s">
        <v>53</v>
      </c>
      <c r="G682" s="45">
        <v>345000</v>
      </c>
      <c r="H682" s="44">
        <v>13</v>
      </c>
      <c r="I682" s="45">
        <v>4485000</v>
      </c>
      <c r="J682" s="44" t="s">
        <v>198</v>
      </c>
      <c r="K682" s="44" t="str">
        <f>INDEX(CLEANED_MotorPH_Products_List_2!C:C,MATCH(MotorPHSales[[#This Row],[Product]],CLEANED_MotorPH_Products_List_2!$B:$B,0))</f>
        <v>Touring</v>
      </c>
      <c r="L682" s="44" t="str">
        <f>INDEX(CLEANED_MotorPH_Products_List_2!E:E,MATCH(MotorPHSales[[#This Row],[Product]],CLEANED_MotorPH_Products_List_2!$B:$B,0))</f>
        <v>Parallel-twin</v>
      </c>
      <c r="M682" s="44" t="str">
        <f>INDEX(CLEANED_MotorPH_Products_List_2!F:F,MATCH(MotorPHSales[[#This Row],[Product]],CLEANED_MotorPH_Products_List_2!$B:$B,0))</f>
        <v>liquid-cooled</v>
      </c>
      <c r="N682" s="44" t="str">
        <f>INDEX(CLEANED_MotorPH_Products_List_2!G:G,MATCH(MotorPHSales[[#This Row],[Product]],CLEANED_MotorPH_Products_List_2!$B:$B,0))</f>
        <v>649cc</v>
      </c>
      <c r="O682" s="44" t="str">
        <f>INDEX(CLEANED_MotorPH_Products_List_2!K:K,MATCH(MotorPHSales[[#This Row],[Product]],CLEANED_MotorPH_Products_List_2!B:B,0))</f>
        <v>Premium</v>
      </c>
      <c r="P682" s="45">
        <f>IF(MotorPHSales[[#This Row],[Segment]]="Entry-level",MotorPHSales[[#This Row],[UnitPrice]]/(1+30%),IF(MotorPHSales[[#This Row],[Segment]]="Mid-range",MotorPHSales[[#This Row],[UnitPrice]]/(1+35%),MotorPHSales[[#This Row],[UnitPrice]]/(1+40%)))*MotorPHSales[[#This Row],[Quantity]]</f>
        <v>3203571.4285714286</v>
      </c>
      <c r="Q682" s="44" t="str">
        <f>INDEX(CLEANED_MotorPH_Products_List_2!H:H,MATCH(MotorPHSales[[#This Row],[Product]],CLEANED_MotorPH_Products_List_2!$B:$B,0))</f>
        <v>6-speed</v>
      </c>
    </row>
    <row r="683" spans="1:17" ht="15.75" x14ac:dyDescent="0.3">
      <c r="A683" s="43">
        <v>45898</v>
      </c>
      <c r="B683" s="44" t="str">
        <f>TEXT(MotorPHSales[[#This Row],[Date]],"mmmm")</f>
        <v>August</v>
      </c>
      <c r="C683" s="44">
        <f>DAY(MotorPHSales[[#This Row],[Date]])</f>
        <v>29</v>
      </c>
      <c r="D683" s="44">
        <f>YEAR(MotorPHSales[[#This Row],[Date]])</f>
        <v>2025</v>
      </c>
      <c r="E683" s="44" t="s">
        <v>196</v>
      </c>
      <c r="F683" s="44" t="s">
        <v>32</v>
      </c>
      <c r="G683" s="45">
        <v>198000</v>
      </c>
      <c r="H683" s="44">
        <v>2</v>
      </c>
      <c r="I683" s="45">
        <v>396000</v>
      </c>
      <c r="J683" s="44" t="s">
        <v>197</v>
      </c>
      <c r="K683" s="44" t="str">
        <f>INDEX(CLEANED_MotorPH_Products_List_2!C:C,MATCH(MotorPHSales[[#This Row],[Product]],CLEANED_MotorPH_Products_List_2!$B:$B,0))</f>
        <v>Sport</v>
      </c>
      <c r="L683" s="44" t="str">
        <f>INDEX(CLEANED_MotorPH_Products_List_2!E:E,MATCH(MotorPHSales[[#This Row],[Product]],CLEANED_MotorPH_Products_List_2!$B:$B,0))</f>
        <v>Single cylinder</v>
      </c>
      <c r="M683" s="44" t="str">
        <f>INDEX(CLEANED_MotorPH_Products_List_2!F:F,MATCH(MotorPHSales[[#This Row],[Product]],CLEANED_MotorPH_Products_List_2!$B:$B,0))</f>
        <v>liquid-cooled</v>
      </c>
      <c r="N683" s="44" t="str">
        <f>INDEX(CLEANED_MotorPH_Products_List_2!G:G,MATCH(MotorPHSales[[#This Row],[Product]],CLEANED_MotorPH_Products_List_2!$B:$B,0))</f>
        <v>199cc</v>
      </c>
      <c r="O683" s="44" t="str">
        <f>INDEX(CLEANED_MotorPH_Products_List_2!K:K,MATCH(MotorPHSales[[#This Row],[Product]],CLEANED_MotorPH_Products_List_2!B:B,0))</f>
        <v>Entry-level</v>
      </c>
      <c r="P683" s="45">
        <f>IF(MotorPHSales[[#This Row],[Segment]]="Entry-level",MotorPHSales[[#This Row],[UnitPrice]]/(1+30%),IF(MotorPHSales[[#This Row],[Segment]]="Mid-range",MotorPHSales[[#This Row],[UnitPrice]]/(1+35%),MotorPHSales[[#This Row],[UnitPrice]]/(1+40%)))*MotorPHSales[[#This Row],[Quantity]]</f>
        <v>304615.38461538462</v>
      </c>
      <c r="Q683" s="44" t="str">
        <f>INDEX(CLEANED_MotorPH_Products_List_2!H:H,MATCH(MotorPHSales[[#This Row],[Product]],CLEANED_MotorPH_Products_List_2!$B:$B,0))</f>
        <v>6-speed</v>
      </c>
    </row>
    <row r="684" spans="1:17" ht="15.75" x14ac:dyDescent="0.3">
      <c r="A684" s="43">
        <v>45816</v>
      </c>
      <c r="B684" s="44" t="str">
        <f>TEXT(MotorPHSales[[#This Row],[Date]],"mmmm")</f>
        <v>June</v>
      </c>
      <c r="C684" s="44">
        <f>DAY(MotorPHSales[[#This Row],[Date]])</f>
        <v>8</v>
      </c>
      <c r="D684" s="44">
        <f>YEAR(MotorPHSales[[#This Row],[Date]])</f>
        <v>2025</v>
      </c>
      <c r="E684" s="44" t="s">
        <v>196</v>
      </c>
      <c r="F684" s="44" t="s">
        <v>86</v>
      </c>
      <c r="G684" s="45">
        <v>650000</v>
      </c>
      <c r="H684" s="44">
        <v>5</v>
      </c>
      <c r="I684" s="45">
        <v>3250000</v>
      </c>
      <c r="J684" s="44" t="s">
        <v>197</v>
      </c>
      <c r="K684" s="44" t="str">
        <f>INDEX(CLEANED_MotorPH_Products_List_2!C:C,MATCH(MotorPHSales[[#This Row],[Product]],CLEANED_MotorPH_Products_List_2!$B:$B,0))</f>
        <v>Cruiser</v>
      </c>
      <c r="L684" s="44" t="str">
        <f>INDEX(CLEANED_MotorPH_Products_List_2!E:E,MATCH(MotorPHSales[[#This Row],[Product]],CLEANED_MotorPH_Products_List_2!$B:$B,0))</f>
        <v>Parallel-twin</v>
      </c>
      <c r="M684" s="44" t="str">
        <f>INDEX(CLEANED_MotorPH_Products_List_2!F:F,MATCH(MotorPHSales[[#This Row],[Product]],CLEANED_MotorPH_Products_List_2!$B:$B,0))</f>
        <v>liquid-cooled</v>
      </c>
      <c r="N684" s="44" t="str">
        <f>INDEX(CLEANED_MotorPH_Products_List_2!G:G,MATCH(MotorPHSales[[#This Row],[Product]],CLEANED_MotorPH_Products_List_2!$B:$B,0))</f>
        <v>1084cc</v>
      </c>
      <c r="O684" s="44" t="str">
        <f>INDEX(CLEANED_MotorPH_Products_List_2!K:K,MATCH(MotorPHSales[[#This Row],[Product]],CLEANED_MotorPH_Products_List_2!B:B,0))</f>
        <v>Premium</v>
      </c>
      <c r="P684" s="45">
        <f>IF(MotorPHSales[[#This Row],[Segment]]="Entry-level",MotorPHSales[[#This Row],[UnitPrice]]/(1+30%),IF(MotorPHSales[[#This Row],[Segment]]="Mid-range",MotorPHSales[[#This Row],[UnitPrice]]/(1+35%),MotorPHSales[[#This Row],[UnitPrice]]/(1+40%)))*MotorPHSales[[#This Row],[Quantity]]</f>
        <v>2321428.5714285718</v>
      </c>
      <c r="Q684" s="44" t="str">
        <f>INDEX(CLEANED_MotorPH_Products_List_2!H:H,MATCH(MotorPHSales[[#This Row],[Product]],CLEANED_MotorPH_Products_List_2!$B:$B,0))</f>
        <v>6-speed</v>
      </c>
    </row>
    <row r="685" spans="1:17" ht="15.75" x14ac:dyDescent="0.3">
      <c r="A685" s="43">
        <v>45866</v>
      </c>
      <c r="B685" s="44" t="str">
        <f>TEXT(MotorPHSales[[#This Row],[Date]],"mmmm")</f>
        <v>July</v>
      </c>
      <c r="C685" s="44">
        <f>DAY(MotorPHSales[[#This Row],[Date]])</f>
        <v>28</v>
      </c>
      <c r="D685" s="44">
        <f>YEAR(MotorPHSales[[#This Row],[Date]])</f>
        <v>2025</v>
      </c>
      <c r="E685" s="44" t="s">
        <v>194</v>
      </c>
      <c r="F685" s="44" t="s">
        <v>101</v>
      </c>
      <c r="G685" s="45">
        <v>72900</v>
      </c>
      <c r="H685" s="44">
        <v>2</v>
      </c>
      <c r="I685" s="45">
        <v>145800</v>
      </c>
      <c r="J685" s="44" t="s">
        <v>197</v>
      </c>
      <c r="K685" s="44" t="str">
        <f>INDEX(CLEANED_MotorPH_Products_List_2!C:C,MATCH(MotorPHSales[[#This Row],[Product]],CLEANED_MotorPH_Products_List_2!$B:$B,0))</f>
        <v>Underbone</v>
      </c>
      <c r="L685" s="44" t="str">
        <f>INDEX(CLEANED_MotorPH_Products_List_2!E:E,MATCH(MotorPHSales[[#This Row],[Product]],CLEANED_MotorPH_Products_List_2!$B:$B,0))</f>
        <v>Single cylinder</v>
      </c>
      <c r="M685" s="44" t="str">
        <f>INDEX(CLEANED_MotorPH_Products_List_2!F:F,MATCH(MotorPHSales[[#This Row],[Product]],CLEANED_MotorPH_Products_List_2!$B:$B,0))</f>
        <v>air-cooled</v>
      </c>
      <c r="N685" s="44" t="str">
        <f>INDEX(CLEANED_MotorPH_Products_List_2!G:G,MATCH(MotorPHSales[[#This Row],[Product]],CLEANED_MotorPH_Products_List_2!$B:$B,0))</f>
        <v>150cc</v>
      </c>
      <c r="O685" s="44" t="str">
        <f>INDEX(CLEANED_MotorPH_Products_List_2!K:K,MATCH(MotorPHSales[[#This Row],[Product]],CLEANED_MotorPH_Products_List_2!B:B,0))</f>
        <v>Entry-level</v>
      </c>
      <c r="P685" s="45">
        <f>IF(MotorPHSales[[#This Row],[Segment]]="Entry-level",MotorPHSales[[#This Row],[UnitPrice]]/(1+30%),IF(MotorPHSales[[#This Row],[Segment]]="Mid-range",MotorPHSales[[#This Row],[UnitPrice]]/(1+35%),MotorPHSales[[#This Row],[UnitPrice]]/(1+40%)))*MotorPHSales[[#This Row],[Quantity]]</f>
        <v>112153.84615384616</v>
      </c>
      <c r="Q685" s="44" t="str">
        <f>INDEX(CLEANED_MotorPH_Products_List_2!H:H,MATCH(MotorPHSales[[#This Row],[Product]],CLEANED_MotorPH_Products_List_2!$B:$B,0))</f>
        <v>CVT</v>
      </c>
    </row>
    <row r="686" spans="1:17" ht="15.75" x14ac:dyDescent="0.3">
      <c r="A686" s="43">
        <v>45868</v>
      </c>
      <c r="B686" s="44" t="str">
        <f>TEXT(MotorPHSales[[#This Row],[Date]],"mmmm")</f>
        <v>July</v>
      </c>
      <c r="C686" s="44">
        <f>DAY(MotorPHSales[[#This Row],[Date]])</f>
        <v>30</v>
      </c>
      <c r="D686" s="44">
        <f>YEAR(MotorPHSales[[#This Row],[Date]])</f>
        <v>2025</v>
      </c>
      <c r="E686" s="44" t="s">
        <v>196</v>
      </c>
      <c r="F686" s="44" t="s">
        <v>44</v>
      </c>
      <c r="G686" s="45">
        <v>331000</v>
      </c>
      <c r="H686" s="44">
        <v>49</v>
      </c>
      <c r="I686" s="45">
        <v>16219000</v>
      </c>
      <c r="J686" s="44" t="s">
        <v>195</v>
      </c>
      <c r="K686" s="44" t="str">
        <f>INDEX(CLEANED_MotorPH_Products_List_2!C:C,MATCH(MotorPHSales[[#This Row],[Product]],CLEANED_MotorPH_Products_List_2!$B:$B,0))</f>
        <v>Naked bike</v>
      </c>
      <c r="L686" s="44" t="str">
        <f>INDEX(CLEANED_MotorPH_Products_List_2!E:E,MATCH(MotorPHSales[[#This Row],[Product]],CLEANED_MotorPH_Products_List_2!$B:$B,0))</f>
        <v>Parallel-twin</v>
      </c>
      <c r="M686" s="44" t="str">
        <f>INDEX(CLEANED_MotorPH_Products_List_2!F:F,MATCH(MotorPHSales[[#This Row],[Product]],CLEANED_MotorPH_Products_List_2!$B:$B,0))</f>
        <v>liquid-cooled</v>
      </c>
      <c r="N686" s="44" t="str">
        <f>INDEX(CLEANED_MotorPH_Products_List_2!G:G,MATCH(MotorPHSales[[#This Row],[Product]],CLEANED_MotorPH_Products_List_2!$B:$B,0))</f>
        <v>399cc</v>
      </c>
      <c r="O686" s="44" t="str">
        <f>INDEX(CLEANED_MotorPH_Products_List_2!K:K,MATCH(MotorPHSales[[#This Row],[Product]],CLEANED_MotorPH_Products_List_2!B:B,0))</f>
        <v>Mid-range</v>
      </c>
      <c r="P686" s="45">
        <f>IF(MotorPHSales[[#This Row],[Segment]]="Entry-level",MotorPHSales[[#This Row],[UnitPrice]]/(1+30%),IF(MotorPHSales[[#This Row],[Segment]]="Mid-range",MotorPHSales[[#This Row],[UnitPrice]]/(1+35%),MotorPHSales[[#This Row],[UnitPrice]]/(1+40%)))*MotorPHSales[[#This Row],[Quantity]]</f>
        <v>12014074.074074073</v>
      </c>
      <c r="Q686" s="44" t="str">
        <f>INDEX(CLEANED_MotorPH_Products_List_2!H:H,MATCH(MotorPHSales[[#This Row],[Product]],CLEANED_MotorPH_Products_List_2!$B:$B,0))</f>
        <v>6-speed</v>
      </c>
    </row>
    <row r="687" spans="1:17" ht="15.75" x14ac:dyDescent="0.3">
      <c r="A687" s="43">
        <v>45858</v>
      </c>
      <c r="B687" s="44" t="str">
        <f>TEXT(MotorPHSales[[#This Row],[Date]],"mmmm")</f>
        <v>July</v>
      </c>
      <c r="C687" s="44">
        <f>DAY(MotorPHSales[[#This Row],[Date]])</f>
        <v>20</v>
      </c>
      <c r="D687" s="44">
        <f>YEAR(MotorPHSales[[#This Row],[Date]])</f>
        <v>2025</v>
      </c>
      <c r="E687" s="44" t="s">
        <v>194</v>
      </c>
      <c r="F687" s="44" t="s">
        <v>46</v>
      </c>
      <c r="G687" s="45">
        <v>124000</v>
      </c>
      <c r="H687" s="44">
        <v>28</v>
      </c>
      <c r="I687" s="45">
        <v>3472000</v>
      </c>
      <c r="J687" s="44" t="s">
        <v>195</v>
      </c>
      <c r="K687" s="44" t="str">
        <f>INDEX(CLEANED_MotorPH_Products_List_2!C:C,MATCH(MotorPHSales[[#This Row],[Product]],CLEANED_MotorPH_Products_List_2!$B:$B,0))</f>
        <v>Scooter</v>
      </c>
      <c r="L687" s="44" t="str">
        <f>INDEX(CLEANED_MotorPH_Products_List_2!E:E,MATCH(MotorPHSales[[#This Row],[Product]],CLEANED_MotorPH_Products_List_2!$B:$B,0))</f>
        <v>Single cylinder</v>
      </c>
      <c r="M687" s="44" t="str">
        <f>INDEX(CLEANED_MotorPH_Products_List_2!F:F,MATCH(MotorPHSales[[#This Row],[Product]],CLEANED_MotorPH_Products_List_2!$B:$B,0))</f>
        <v>liquid-cooled</v>
      </c>
      <c r="N687" s="44" t="str">
        <f>INDEX(CLEANED_MotorPH_Products_List_2!G:G,MATCH(MotorPHSales[[#This Row],[Product]],CLEANED_MotorPH_Products_List_2!$B:$B,0))</f>
        <v>155cc</v>
      </c>
      <c r="O687" s="44" t="str">
        <f>INDEX(CLEANED_MotorPH_Products_List_2!K:K,MATCH(MotorPHSales[[#This Row],[Product]],CLEANED_MotorPH_Products_List_2!B:B,0))</f>
        <v>Entry-level</v>
      </c>
      <c r="P687" s="45">
        <f>IF(MotorPHSales[[#This Row],[Segment]]="Entry-level",MotorPHSales[[#This Row],[UnitPrice]]/(1+30%),IF(MotorPHSales[[#This Row],[Segment]]="Mid-range",MotorPHSales[[#This Row],[UnitPrice]]/(1+35%),MotorPHSales[[#This Row],[UnitPrice]]/(1+40%)))*MotorPHSales[[#This Row],[Quantity]]</f>
        <v>2670769.2307692305</v>
      </c>
      <c r="Q687" s="44" t="str">
        <f>INDEX(CLEANED_MotorPH_Products_List_2!H:H,MATCH(MotorPHSales[[#This Row],[Product]],CLEANED_MotorPH_Products_List_2!$B:$B,0))</f>
        <v>CVT</v>
      </c>
    </row>
    <row r="688" spans="1:17" ht="15.75" x14ac:dyDescent="0.3">
      <c r="A688" s="43">
        <v>45836</v>
      </c>
      <c r="B688" s="44" t="str">
        <f>TEXT(MotorPHSales[[#This Row],[Date]],"mmmm")</f>
        <v>June</v>
      </c>
      <c r="C688" s="44">
        <f>DAY(MotorPHSales[[#This Row],[Date]])</f>
        <v>28</v>
      </c>
      <c r="D688" s="44">
        <f>YEAR(MotorPHSales[[#This Row],[Date]])</f>
        <v>2025</v>
      </c>
      <c r="E688" s="44" t="s">
        <v>196</v>
      </c>
      <c r="F688" s="44" t="s">
        <v>94</v>
      </c>
      <c r="G688" s="45">
        <v>299000</v>
      </c>
      <c r="H688" s="44">
        <v>26</v>
      </c>
      <c r="I688" s="45">
        <v>7774000</v>
      </c>
      <c r="J688" s="44" t="s">
        <v>198</v>
      </c>
      <c r="K688" s="44" t="str">
        <f>INDEX(CLEANED_MotorPH_Products_List_2!C:C,MATCH(MotorPHSales[[#This Row],[Product]],CLEANED_MotorPH_Products_List_2!$B:$B,0))</f>
        <v>Dual-sport</v>
      </c>
      <c r="L688" s="44" t="str">
        <f>INDEX(CLEANED_MotorPH_Products_List_2!E:E,MATCH(MotorPHSales[[#This Row],[Product]],CLEANED_MotorPH_Products_List_2!$B:$B,0))</f>
        <v>Single cylinder</v>
      </c>
      <c r="M688" s="44" t="str">
        <f>INDEX(CLEANED_MotorPH_Products_List_2!F:F,MATCH(MotorPHSales[[#This Row],[Product]],CLEANED_MotorPH_Products_List_2!$B:$B,0))</f>
        <v>air-cooled</v>
      </c>
      <c r="N688" s="44" t="str">
        <f>INDEX(CLEANED_MotorPH_Products_List_2!G:G,MATCH(MotorPHSales[[#This Row],[Product]],CLEANED_MotorPH_Products_List_2!$B:$B,0))</f>
        <v>249cc</v>
      </c>
      <c r="O688" s="44" t="str">
        <f>INDEX(CLEANED_MotorPH_Products_List_2!K:K,MATCH(MotorPHSales[[#This Row],[Product]],CLEANED_MotorPH_Products_List_2!B:B,0))</f>
        <v>Mid-range</v>
      </c>
      <c r="P688" s="45">
        <f>IF(MotorPHSales[[#This Row],[Segment]]="Entry-level",MotorPHSales[[#This Row],[UnitPrice]]/(1+30%),IF(MotorPHSales[[#This Row],[Segment]]="Mid-range",MotorPHSales[[#This Row],[UnitPrice]]/(1+35%),MotorPHSales[[#This Row],[UnitPrice]]/(1+40%)))*MotorPHSales[[#This Row],[Quantity]]</f>
        <v>5758518.5185185177</v>
      </c>
      <c r="Q688" s="44" t="str">
        <f>INDEX(CLEANED_MotorPH_Products_List_2!H:H,MATCH(MotorPHSales[[#This Row],[Product]],CLEANED_MotorPH_Products_List_2!$B:$B,0))</f>
        <v>5-speed</v>
      </c>
    </row>
    <row r="689" spans="1:17" ht="15.75" x14ac:dyDescent="0.3">
      <c r="A689" s="43">
        <v>45900</v>
      </c>
      <c r="B689" s="44" t="str">
        <f>TEXT(MotorPHSales[[#This Row],[Date]],"mmmm")</f>
        <v>August</v>
      </c>
      <c r="C689" s="44">
        <f>DAY(MotorPHSales[[#This Row],[Date]])</f>
        <v>31</v>
      </c>
      <c r="D689" s="44">
        <f>YEAR(MotorPHSales[[#This Row],[Date]])</f>
        <v>2025</v>
      </c>
      <c r="E689" s="44" t="s">
        <v>196</v>
      </c>
      <c r="F689" s="44" t="s">
        <v>28</v>
      </c>
      <c r="G689" s="45">
        <v>164900</v>
      </c>
      <c r="H689" s="44">
        <v>35</v>
      </c>
      <c r="I689" s="45">
        <v>5771500</v>
      </c>
      <c r="J689" s="44" t="s">
        <v>198</v>
      </c>
      <c r="K689" s="44" t="str">
        <f>INDEX(CLEANED_MotorPH_Products_List_2!C:C,MATCH(MotorPHSales[[#This Row],[Product]],CLEANED_MotorPH_Products_List_2!$B:$B,0))</f>
        <v>Scooter</v>
      </c>
      <c r="L689" s="44" t="str">
        <f>INDEX(CLEANED_MotorPH_Products_List_2!E:E,MATCH(MotorPHSales[[#This Row],[Product]],CLEANED_MotorPH_Products_List_2!$B:$B,0))</f>
        <v>Single cylinder</v>
      </c>
      <c r="M689" s="44" t="str">
        <f>INDEX(CLEANED_MotorPH_Products_List_2!F:F,MATCH(MotorPHSales[[#This Row],[Product]],CLEANED_MotorPH_Products_List_2!$B:$B,0))</f>
        <v>liquid-cooled</v>
      </c>
      <c r="N689" s="44" t="str">
        <f>INDEX(CLEANED_MotorPH_Products_List_2!G:G,MATCH(MotorPHSales[[#This Row],[Product]],CLEANED_MotorPH_Products_List_2!$B:$B,0))</f>
        <v>157cc</v>
      </c>
      <c r="O689" s="44" t="str">
        <f>INDEX(CLEANED_MotorPH_Products_List_2!K:K,MATCH(MotorPHSales[[#This Row],[Product]],CLEANED_MotorPH_Products_List_2!B:B,0))</f>
        <v>Entry-level</v>
      </c>
      <c r="P689" s="45">
        <f>IF(MotorPHSales[[#This Row],[Segment]]="Entry-level",MotorPHSales[[#This Row],[UnitPrice]]/(1+30%),IF(MotorPHSales[[#This Row],[Segment]]="Mid-range",MotorPHSales[[#This Row],[UnitPrice]]/(1+35%),MotorPHSales[[#This Row],[UnitPrice]]/(1+40%)))*MotorPHSales[[#This Row],[Quantity]]</f>
        <v>4439615.384615385</v>
      </c>
      <c r="Q689" s="44" t="str">
        <f>INDEX(CLEANED_MotorPH_Products_List_2!H:H,MATCH(MotorPHSales[[#This Row],[Product]],CLEANED_MotorPH_Products_List_2!$B:$B,0))</f>
        <v>CVT</v>
      </c>
    </row>
    <row r="690" spans="1:17" ht="15.75" x14ac:dyDescent="0.3">
      <c r="A690" s="43">
        <v>45849</v>
      </c>
      <c r="B690" s="44" t="str">
        <f>TEXT(MotorPHSales[[#This Row],[Date]],"mmmm")</f>
        <v>July</v>
      </c>
      <c r="C690" s="44">
        <f>DAY(MotorPHSales[[#This Row],[Date]])</f>
        <v>11</v>
      </c>
      <c r="D690" s="44">
        <f>YEAR(MotorPHSales[[#This Row],[Date]])</f>
        <v>2025</v>
      </c>
      <c r="E690" s="44" t="s">
        <v>196</v>
      </c>
      <c r="F690" s="44" t="s">
        <v>66</v>
      </c>
      <c r="G690" s="45">
        <v>499000</v>
      </c>
      <c r="H690" s="44">
        <v>30</v>
      </c>
      <c r="I690" s="45">
        <v>14970000</v>
      </c>
      <c r="J690" s="44" t="s">
        <v>195</v>
      </c>
      <c r="K690" s="44" t="str">
        <f>INDEX(CLEANED_MotorPH_Products_List_2!C:C,MATCH(MotorPHSales[[#This Row],[Product]],CLEANED_MotorPH_Products_List_2!$B:$B,0))</f>
        <v>Cruiser</v>
      </c>
      <c r="L690" s="44" t="str">
        <f>INDEX(CLEANED_MotorPH_Products_List_2!E:E,MATCH(MotorPHSales[[#This Row],[Product]],CLEANED_MotorPH_Products_List_2!$B:$B,0))</f>
        <v>V-twin</v>
      </c>
      <c r="M690" s="44" t="str">
        <f>INDEX(CLEANED_MotorPH_Products_List_2!F:F,MATCH(MotorPHSales[[#This Row],[Product]],CLEANED_MotorPH_Products_List_2!$B:$B,0))</f>
        <v>liquid-cooled</v>
      </c>
      <c r="N690" s="44" t="str">
        <f>INDEX(CLEANED_MotorPH_Products_List_2!G:G,MATCH(MotorPHSales[[#This Row],[Product]],CLEANED_MotorPH_Products_List_2!$B:$B,0))</f>
        <v>749cc</v>
      </c>
      <c r="O690" s="44" t="str">
        <f>INDEX(CLEANED_MotorPH_Products_List_2!K:K,MATCH(MotorPHSales[[#This Row],[Product]],CLEANED_MotorPH_Products_List_2!B:B,0))</f>
        <v>Premium</v>
      </c>
      <c r="P690" s="45">
        <f>IF(MotorPHSales[[#This Row],[Segment]]="Entry-level",MotorPHSales[[#This Row],[UnitPrice]]/(1+30%),IF(MotorPHSales[[#This Row],[Segment]]="Mid-range",MotorPHSales[[#This Row],[UnitPrice]]/(1+35%),MotorPHSales[[#This Row],[UnitPrice]]/(1+40%)))*MotorPHSales[[#This Row],[Quantity]]</f>
        <v>10692857.142857144</v>
      </c>
      <c r="Q690" s="44" t="str">
        <f>INDEX(CLEANED_MotorPH_Products_List_2!H:H,MATCH(MotorPHSales[[#This Row],[Product]],CLEANED_MotorPH_Products_List_2!$B:$B,0))</f>
        <v>6-speed</v>
      </c>
    </row>
    <row r="691" spans="1:17" ht="15.75" x14ac:dyDescent="0.3">
      <c r="A691" s="43">
        <v>45872</v>
      </c>
      <c r="B691" s="44" t="str">
        <f>TEXT(MotorPHSales[[#This Row],[Date]],"mmmm")</f>
        <v>August</v>
      </c>
      <c r="C691" s="44">
        <f>DAY(MotorPHSales[[#This Row],[Date]])</f>
        <v>3</v>
      </c>
      <c r="D691" s="44">
        <f>YEAR(MotorPHSales[[#This Row],[Date]])</f>
        <v>2025</v>
      </c>
      <c r="E691" s="44" t="s">
        <v>196</v>
      </c>
      <c r="F691" s="44" t="s">
        <v>61</v>
      </c>
      <c r="G691" s="45">
        <v>284900</v>
      </c>
      <c r="H691" s="44">
        <v>28</v>
      </c>
      <c r="I691" s="45">
        <v>7977200</v>
      </c>
      <c r="J691" s="44" t="s">
        <v>198</v>
      </c>
      <c r="K691" s="44" t="str">
        <f>INDEX(CLEANED_MotorPH_Products_List_2!C:C,MATCH(MotorPHSales[[#This Row],[Product]],CLEANED_MotorPH_Products_List_2!$B:$B,0))</f>
        <v>Dual-sport</v>
      </c>
      <c r="L691" s="44" t="str">
        <f>INDEX(CLEANED_MotorPH_Products_List_2!E:E,MATCH(MotorPHSales[[#This Row],[Product]],CLEANED_MotorPH_Products_List_2!$B:$B,0))</f>
        <v>Single cylinder</v>
      </c>
      <c r="M691" s="44" t="str">
        <f>INDEX(CLEANED_MotorPH_Products_List_2!F:F,MATCH(MotorPHSales[[#This Row],[Product]],CLEANED_MotorPH_Products_List_2!$B:$B,0))</f>
        <v>liquid-cooled</v>
      </c>
      <c r="N691" s="44" t="str">
        <f>INDEX(CLEANED_MotorPH_Products_List_2!G:G,MATCH(MotorPHSales[[#This Row],[Product]],CLEANED_MotorPH_Products_List_2!$B:$B,0))</f>
        <v>286cc</v>
      </c>
      <c r="O691" s="44" t="str">
        <f>INDEX(CLEANED_MotorPH_Products_List_2!K:K,MATCH(MotorPHSales[[#This Row],[Product]],CLEANED_MotorPH_Products_List_2!B:B,0))</f>
        <v>Mid-range</v>
      </c>
      <c r="P691" s="45">
        <f>IF(MotorPHSales[[#This Row],[Segment]]="Entry-level",MotorPHSales[[#This Row],[UnitPrice]]/(1+30%),IF(MotorPHSales[[#This Row],[Segment]]="Mid-range",MotorPHSales[[#This Row],[UnitPrice]]/(1+35%),MotorPHSales[[#This Row],[UnitPrice]]/(1+40%)))*MotorPHSales[[#This Row],[Quantity]]</f>
        <v>5909037.0370370364</v>
      </c>
      <c r="Q691" s="44" t="str">
        <f>INDEX(CLEANED_MotorPH_Products_List_2!H:H,MATCH(MotorPHSales[[#This Row],[Product]],CLEANED_MotorPH_Products_List_2!$B:$B,0))</f>
        <v>6-speed</v>
      </c>
    </row>
    <row r="692" spans="1:17" ht="15.75" x14ac:dyDescent="0.3">
      <c r="A692" s="43">
        <v>45835</v>
      </c>
      <c r="B692" s="44" t="str">
        <f>TEXT(MotorPHSales[[#This Row],[Date]],"mmmm")</f>
        <v>June</v>
      </c>
      <c r="C692" s="44">
        <f>DAY(MotorPHSales[[#This Row],[Date]])</f>
        <v>27</v>
      </c>
      <c r="D692" s="44">
        <f>YEAR(MotorPHSales[[#This Row],[Date]])</f>
        <v>2025</v>
      </c>
      <c r="E692" s="44" t="s">
        <v>196</v>
      </c>
      <c r="F692" s="44" t="s">
        <v>74</v>
      </c>
      <c r="G692" s="45">
        <v>349000</v>
      </c>
      <c r="H692" s="44">
        <v>46</v>
      </c>
      <c r="I692" s="45">
        <v>16054000</v>
      </c>
      <c r="J692" s="44" t="s">
        <v>197</v>
      </c>
      <c r="K692" s="44" t="str">
        <f>INDEX(CLEANED_MotorPH_Products_List_2!C:C,MATCH(MotorPHSales[[#This Row],[Product]],CLEANED_MotorPH_Products_List_2!$B:$B,0))</f>
        <v>Cruiser</v>
      </c>
      <c r="L692" s="44" t="str">
        <f>INDEX(CLEANED_MotorPH_Products_List_2!E:E,MATCH(MotorPHSales[[#This Row],[Product]],CLEANED_MotorPH_Products_List_2!$B:$B,0))</f>
        <v>Parallel-twin</v>
      </c>
      <c r="M692" s="44" t="str">
        <f>INDEX(CLEANED_MotorPH_Products_List_2!F:F,MATCH(MotorPHSales[[#This Row],[Product]],CLEANED_MotorPH_Products_List_2!$B:$B,0))</f>
        <v>liquid-cooled</v>
      </c>
      <c r="N692" s="44" t="str">
        <f>INDEX(CLEANED_MotorPH_Products_List_2!G:G,MATCH(MotorPHSales[[#This Row],[Product]],CLEANED_MotorPH_Products_List_2!$B:$B,0))</f>
        <v>500cc</v>
      </c>
      <c r="O692" s="44" t="str">
        <f>INDEX(CLEANED_MotorPH_Products_List_2!K:K,MATCH(MotorPHSales[[#This Row],[Product]],CLEANED_MotorPH_Products_List_2!B:B,0))</f>
        <v>Mid-range</v>
      </c>
      <c r="P692" s="45">
        <f>IF(MotorPHSales[[#This Row],[Segment]]="Entry-level",MotorPHSales[[#This Row],[UnitPrice]]/(1+30%),IF(MotorPHSales[[#This Row],[Segment]]="Mid-range",MotorPHSales[[#This Row],[UnitPrice]]/(1+35%),MotorPHSales[[#This Row],[UnitPrice]]/(1+40%)))*MotorPHSales[[#This Row],[Quantity]]</f>
        <v>11891851.851851851</v>
      </c>
      <c r="Q692" s="44" t="str">
        <f>INDEX(CLEANED_MotorPH_Products_List_2!H:H,MATCH(MotorPHSales[[#This Row],[Product]],CLEANED_MotorPH_Products_List_2!$B:$B,0))</f>
        <v>6-speed</v>
      </c>
    </row>
    <row r="693" spans="1:17" ht="15.75" x14ac:dyDescent="0.3">
      <c r="A693" s="43">
        <v>45871</v>
      </c>
      <c r="B693" s="44" t="str">
        <f>TEXT(MotorPHSales[[#This Row],[Date]],"mmmm")</f>
        <v>August</v>
      </c>
      <c r="C693" s="44">
        <f>DAY(MotorPHSales[[#This Row],[Date]])</f>
        <v>2</v>
      </c>
      <c r="D693" s="44">
        <f>YEAR(MotorPHSales[[#This Row],[Date]])</f>
        <v>2025</v>
      </c>
      <c r="E693" s="44" t="s">
        <v>194</v>
      </c>
      <c r="F693" s="44" t="s">
        <v>57</v>
      </c>
      <c r="G693" s="45">
        <v>125900</v>
      </c>
      <c r="H693" s="44">
        <v>6</v>
      </c>
      <c r="I693" s="45">
        <v>755400</v>
      </c>
      <c r="J693" s="44" t="s">
        <v>197</v>
      </c>
      <c r="K693" s="44" t="str">
        <f>INDEX(CLEANED_MotorPH_Products_List_2!C:C,MATCH(MotorPHSales[[#This Row],[Product]],CLEANED_MotorPH_Products_List_2!$B:$B,0))</f>
        <v>Underbone</v>
      </c>
      <c r="L693" s="44" t="str">
        <f>INDEX(CLEANED_MotorPH_Products_List_2!E:E,MATCH(MotorPHSales[[#This Row],[Product]],CLEANED_MotorPH_Products_List_2!$B:$B,0))</f>
        <v>Single cylinder</v>
      </c>
      <c r="M693" s="44" t="str">
        <f>INDEX(CLEANED_MotorPH_Products_List_2!F:F,MATCH(MotorPHSales[[#This Row],[Product]],CLEANED_MotorPH_Products_List_2!$B:$B,0))</f>
        <v>liquid-cooled</v>
      </c>
      <c r="N693" s="44" t="str">
        <f>INDEX(CLEANED_MotorPH_Products_List_2!G:G,MATCH(MotorPHSales[[#This Row],[Product]],CLEANED_MotorPH_Products_List_2!$B:$B,0))</f>
        <v>155cc</v>
      </c>
      <c r="O693" s="44" t="str">
        <f>INDEX(CLEANED_MotorPH_Products_List_2!K:K,MATCH(MotorPHSales[[#This Row],[Product]],CLEANED_MotorPH_Products_List_2!B:B,0))</f>
        <v>Entry-level</v>
      </c>
      <c r="P693" s="45">
        <f>IF(MotorPHSales[[#This Row],[Segment]]="Entry-level",MotorPHSales[[#This Row],[UnitPrice]]/(1+30%),IF(MotorPHSales[[#This Row],[Segment]]="Mid-range",MotorPHSales[[#This Row],[UnitPrice]]/(1+35%),MotorPHSales[[#This Row],[UnitPrice]]/(1+40%)))*MotorPHSales[[#This Row],[Quantity]]</f>
        <v>581076.92307692301</v>
      </c>
      <c r="Q693" s="44" t="str">
        <f>INDEX(CLEANED_MotorPH_Products_List_2!H:H,MATCH(MotorPHSales[[#This Row],[Product]],CLEANED_MotorPH_Products_List_2!$B:$B,0))</f>
        <v>6-speed</v>
      </c>
    </row>
    <row r="694" spans="1:17" ht="15.75" x14ac:dyDescent="0.3">
      <c r="A694" s="43">
        <v>45825</v>
      </c>
      <c r="B694" s="44" t="str">
        <f>TEXT(MotorPHSales[[#This Row],[Date]],"mmmm")</f>
        <v>June</v>
      </c>
      <c r="C694" s="44">
        <f>DAY(MotorPHSales[[#This Row],[Date]])</f>
        <v>17</v>
      </c>
      <c r="D694" s="44">
        <f>YEAR(MotorPHSales[[#This Row],[Date]])</f>
        <v>2025</v>
      </c>
      <c r="E694" s="44" t="s">
        <v>194</v>
      </c>
      <c r="F694" s="44" t="s">
        <v>32</v>
      </c>
      <c r="G694" s="45">
        <v>198000</v>
      </c>
      <c r="H694" s="44">
        <v>15</v>
      </c>
      <c r="I694" s="45">
        <v>2970000</v>
      </c>
      <c r="J694" s="44" t="s">
        <v>198</v>
      </c>
      <c r="K694" s="44" t="str">
        <f>INDEX(CLEANED_MotorPH_Products_List_2!C:C,MATCH(MotorPHSales[[#This Row],[Product]],CLEANED_MotorPH_Products_List_2!$B:$B,0))</f>
        <v>Sport</v>
      </c>
      <c r="L694" s="44" t="str">
        <f>INDEX(CLEANED_MotorPH_Products_List_2!E:E,MATCH(MotorPHSales[[#This Row],[Product]],CLEANED_MotorPH_Products_List_2!$B:$B,0))</f>
        <v>Single cylinder</v>
      </c>
      <c r="M694" s="44" t="str">
        <f>INDEX(CLEANED_MotorPH_Products_List_2!F:F,MATCH(MotorPHSales[[#This Row],[Product]],CLEANED_MotorPH_Products_List_2!$B:$B,0))</f>
        <v>liquid-cooled</v>
      </c>
      <c r="N694" s="44" t="str">
        <f>INDEX(CLEANED_MotorPH_Products_List_2!G:G,MATCH(MotorPHSales[[#This Row],[Product]],CLEANED_MotorPH_Products_List_2!$B:$B,0))</f>
        <v>199cc</v>
      </c>
      <c r="O694" s="44" t="str">
        <f>INDEX(CLEANED_MotorPH_Products_List_2!K:K,MATCH(MotorPHSales[[#This Row],[Product]],CLEANED_MotorPH_Products_List_2!B:B,0))</f>
        <v>Entry-level</v>
      </c>
      <c r="P694" s="45">
        <f>IF(MotorPHSales[[#This Row],[Segment]]="Entry-level",MotorPHSales[[#This Row],[UnitPrice]]/(1+30%),IF(MotorPHSales[[#This Row],[Segment]]="Mid-range",MotorPHSales[[#This Row],[UnitPrice]]/(1+35%),MotorPHSales[[#This Row],[UnitPrice]]/(1+40%)))*MotorPHSales[[#This Row],[Quantity]]</f>
        <v>2284615.3846153845</v>
      </c>
      <c r="Q694" s="44" t="str">
        <f>INDEX(CLEANED_MotorPH_Products_List_2!H:H,MATCH(MotorPHSales[[#This Row],[Product]],CLEANED_MotorPH_Products_List_2!$B:$B,0))</f>
        <v>6-speed</v>
      </c>
    </row>
    <row r="695" spans="1:17" ht="15.75" x14ac:dyDescent="0.3">
      <c r="A695" s="43">
        <v>45881</v>
      </c>
      <c r="B695" s="44" t="str">
        <f>TEXT(MotorPHSales[[#This Row],[Date]],"mmmm")</f>
        <v>August</v>
      </c>
      <c r="C695" s="44">
        <f>DAY(MotorPHSales[[#This Row],[Date]])</f>
        <v>12</v>
      </c>
      <c r="D695" s="44">
        <f>YEAR(MotorPHSales[[#This Row],[Date]])</f>
        <v>2025</v>
      </c>
      <c r="E695" s="44" t="s">
        <v>194</v>
      </c>
      <c r="F695" s="44" t="s">
        <v>44</v>
      </c>
      <c r="G695" s="45">
        <v>331000</v>
      </c>
      <c r="H695" s="44">
        <v>17</v>
      </c>
      <c r="I695" s="45">
        <v>5627000</v>
      </c>
      <c r="J695" s="44" t="s">
        <v>195</v>
      </c>
      <c r="K695" s="44" t="str">
        <f>INDEX(CLEANED_MotorPH_Products_List_2!C:C,MATCH(MotorPHSales[[#This Row],[Product]],CLEANED_MotorPH_Products_List_2!$B:$B,0))</f>
        <v>Naked bike</v>
      </c>
      <c r="L695" s="44" t="str">
        <f>INDEX(CLEANED_MotorPH_Products_List_2!E:E,MATCH(MotorPHSales[[#This Row],[Product]],CLEANED_MotorPH_Products_List_2!$B:$B,0))</f>
        <v>Parallel-twin</v>
      </c>
      <c r="M695" s="44" t="str">
        <f>INDEX(CLEANED_MotorPH_Products_List_2!F:F,MATCH(MotorPHSales[[#This Row],[Product]],CLEANED_MotorPH_Products_List_2!$B:$B,0))</f>
        <v>liquid-cooled</v>
      </c>
      <c r="N695" s="44" t="str">
        <f>INDEX(CLEANED_MotorPH_Products_List_2!G:G,MATCH(MotorPHSales[[#This Row],[Product]],CLEANED_MotorPH_Products_List_2!$B:$B,0))</f>
        <v>399cc</v>
      </c>
      <c r="O695" s="44" t="str">
        <f>INDEX(CLEANED_MotorPH_Products_List_2!K:K,MATCH(MotorPHSales[[#This Row],[Product]],CLEANED_MotorPH_Products_List_2!B:B,0))</f>
        <v>Mid-range</v>
      </c>
      <c r="P695" s="45">
        <f>IF(MotorPHSales[[#This Row],[Segment]]="Entry-level",MotorPHSales[[#This Row],[UnitPrice]]/(1+30%),IF(MotorPHSales[[#This Row],[Segment]]="Mid-range",MotorPHSales[[#This Row],[UnitPrice]]/(1+35%),MotorPHSales[[#This Row],[UnitPrice]]/(1+40%)))*MotorPHSales[[#This Row],[Quantity]]</f>
        <v>4168148.1481481479</v>
      </c>
      <c r="Q695" s="44" t="str">
        <f>INDEX(CLEANED_MotorPH_Products_List_2!H:H,MATCH(MotorPHSales[[#This Row],[Product]],CLEANED_MotorPH_Products_List_2!$B:$B,0))</f>
        <v>6-speed</v>
      </c>
    </row>
    <row r="696" spans="1:17" ht="15.75" x14ac:dyDescent="0.3">
      <c r="A696" s="43">
        <v>45841</v>
      </c>
      <c r="B696" s="44" t="str">
        <f>TEXT(MotorPHSales[[#This Row],[Date]],"mmmm")</f>
        <v>July</v>
      </c>
      <c r="C696" s="44">
        <f>DAY(MotorPHSales[[#This Row],[Date]])</f>
        <v>3</v>
      </c>
      <c r="D696" s="44">
        <f>YEAR(MotorPHSales[[#This Row],[Date]])</f>
        <v>2025</v>
      </c>
      <c r="E696" s="44" t="s">
        <v>194</v>
      </c>
      <c r="F696" s="44" t="s">
        <v>24</v>
      </c>
      <c r="G696" s="45">
        <v>199900</v>
      </c>
      <c r="H696" s="44">
        <v>50</v>
      </c>
      <c r="I696" s="45">
        <v>9995000</v>
      </c>
      <c r="J696" s="44" t="s">
        <v>195</v>
      </c>
      <c r="K696" s="44" t="str">
        <f>INDEX(CLEANED_MotorPH_Products_List_2!C:C,MATCH(MotorPHSales[[#This Row],[Product]],CLEANED_MotorPH_Products_List_2!$B:$B,0))</f>
        <v>Sport touring</v>
      </c>
      <c r="L696" s="44" t="str">
        <f>INDEX(CLEANED_MotorPH_Products_List_2!E:E,MATCH(MotorPHSales[[#This Row],[Product]],CLEANED_MotorPH_Products_List_2!$B:$B,0))</f>
        <v>Single cylinder</v>
      </c>
      <c r="M696" s="44" t="str">
        <f>INDEX(CLEANED_MotorPH_Products_List_2!F:F,MATCH(MotorPHSales[[#This Row],[Product]],CLEANED_MotorPH_Products_List_2!$B:$B,0))</f>
        <v>liquid-cooled</v>
      </c>
      <c r="N696" s="44" t="str">
        <f>INDEX(CLEANED_MotorPH_Products_List_2!G:G,MATCH(MotorPHSales[[#This Row],[Product]],CLEANED_MotorPH_Products_List_2!$B:$B,0))</f>
        <v>373cc</v>
      </c>
      <c r="O696" s="44" t="str">
        <f>INDEX(CLEANED_MotorPH_Products_List_2!K:K,MATCH(MotorPHSales[[#This Row],[Product]],CLEANED_MotorPH_Products_List_2!B:B,0))</f>
        <v>Mid-range</v>
      </c>
      <c r="P696" s="45">
        <f>IF(MotorPHSales[[#This Row],[Segment]]="Entry-level",MotorPHSales[[#This Row],[UnitPrice]]/(1+30%),IF(MotorPHSales[[#This Row],[Segment]]="Mid-range",MotorPHSales[[#This Row],[UnitPrice]]/(1+35%),MotorPHSales[[#This Row],[UnitPrice]]/(1+40%)))*MotorPHSales[[#This Row],[Quantity]]</f>
        <v>7403703.7037037034</v>
      </c>
      <c r="Q696" s="44" t="str">
        <f>INDEX(CLEANED_MotorPH_Products_List_2!H:H,MATCH(MotorPHSales[[#This Row],[Product]],CLEANED_MotorPH_Products_List_2!$B:$B,0))</f>
        <v>6-speed</v>
      </c>
    </row>
    <row r="697" spans="1:17" ht="15.75" x14ac:dyDescent="0.3">
      <c r="A697" s="43">
        <v>45892</v>
      </c>
      <c r="B697" s="44" t="str">
        <f>TEXT(MotorPHSales[[#This Row],[Date]],"mmmm")</f>
        <v>August</v>
      </c>
      <c r="C697" s="44">
        <f>DAY(MotorPHSales[[#This Row],[Date]])</f>
        <v>23</v>
      </c>
      <c r="D697" s="44">
        <f>YEAR(MotorPHSales[[#This Row],[Date]])</f>
        <v>2025</v>
      </c>
      <c r="E697" s="44" t="s">
        <v>196</v>
      </c>
      <c r="F697" s="44" t="s">
        <v>90</v>
      </c>
      <c r="G697" s="45">
        <v>165000</v>
      </c>
      <c r="H697" s="44">
        <v>39</v>
      </c>
      <c r="I697" s="45">
        <v>6435000</v>
      </c>
      <c r="J697" s="44" t="s">
        <v>195</v>
      </c>
      <c r="K697" s="44" t="str">
        <f>INDEX(CLEANED_MotorPH_Products_List_2!C:C,MATCH(MotorPHSales[[#This Row],[Product]],CLEANED_MotorPH_Products_List_2!$B:$B,0))</f>
        <v>Sport</v>
      </c>
      <c r="L697" s="44" t="str">
        <f>INDEX(CLEANED_MotorPH_Products_List_2!E:E,MATCH(MotorPHSales[[#This Row],[Product]],CLEANED_MotorPH_Products_List_2!$B:$B,0))</f>
        <v>Single cylinder</v>
      </c>
      <c r="M697" s="44" t="str">
        <f>INDEX(CLEANED_MotorPH_Products_List_2!F:F,MATCH(MotorPHSales[[#This Row],[Product]],CLEANED_MotorPH_Products_List_2!$B:$B,0))</f>
        <v>liquid-cooled</v>
      </c>
      <c r="N697" s="44" t="str">
        <f>INDEX(CLEANED_MotorPH_Products_List_2!G:G,MATCH(MotorPHSales[[#This Row],[Product]],CLEANED_MotorPH_Products_List_2!$B:$B,0))</f>
        <v>292cc</v>
      </c>
      <c r="O697" s="44" t="str">
        <f>INDEX(CLEANED_MotorPH_Products_List_2!K:K,MATCH(MotorPHSales[[#This Row],[Product]],CLEANED_MotorPH_Products_List_2!B:B,0))</f>
        <v>Mid-range</v>
      </c>
      <c r="P697" s="45">
        <f>IF(MotorPHSales[[#This Row],[Segment]]="Entry-level",MotorPHSales[[#This Row],[UnitPrice]]/(1+30%),IF(MotorPHSales[[#This Row],[Segment]]="Mid-range",MotorPHSales[[#This Row],[UnitPrice]]/(1+35%),MotorPHSales[[#This Row],[UnitPrice]]/(1+40%)))*MotorPHSales[[#This Row],[Quantity]]</f>
        <v>4766666.666666667</v>
      </c>
      <c r="Q697" s="44" t="str">
        <f>INDEX(CLEANED_MotorPH_Products_List_2!H:H,MATCH(MotorPHSales[[#This Row],[Product]],CLEANED_MotorPH_Products_List_2!$B:$B,0))</f>
        <v>6-speed</v>
      </c>
    </row>
    <row r="698" spans="1:17" ht="15.75" x14ac:dyDescent="0.3">
      <c r="A698" s="43">
        <v>45879</v>
      </c>
      <c r="B698" s="44" t="str">
        <f>TEXT(MotorPHSales[[#This Row],[Date]],"mmmm")</f>
        <v>August</v>
      </c>
      <c r="C698" s="44">
        <f>DAY(MotorPHSales[[#This Row],[Date]])</f>
        <v>10</v>
      </c>
      <c r="D698" s="44">
        <f>YEAR(MotorPHSales[[#This Row],[Date]])</f>
        <v>2025</v>
      </c>
      <c r="E698" s="44" t="s">
        <v>196</v>
      </c>
      <c r="F698" s="44" t="s">
        <v>24</v>
      </c>
      <c r="G698" s="45">
        <v>199900</v>
      </c>
      <c r="H698" s="44">
        <v>46</v>
      </c>
      <c r="I698" s="45">
        <v>9195400</v>
      </c>
      <c r="J698" s="44" t="s">
        <v>195</v>
      </c>
      <c r="K698" s="44" t="str">
        <f>INDEX(CLEANED_MotorPH_Products_List_2!C:C,MATCH(MotorPHSales[[#This Row],[Product]],CLEANED_MotorPH_Products_List_2!$B:$B,0))</f>
        <v>Sport touring</v>
      </c>
      <c r="L698" s="44" t="str">
        <f>INDEX(CLEANED_MotorPH_Products_List_2!E:E,MATCH(MotorPHSales[[#This Row],[Product]],CLEANED_MotorPH_Products_List_2!$B:$B,0))</f>
        <v>Single cylinder</v>
      </c>
      <c r="M698" s="44" t="str">
        <f>INDEX(CLEANED_MotorPH_Products_List_2!F:F,MATCH(MotorPHSales[[#This Row],[Product]],CLEANED_MotorPH_Products_List_2!$B:$B,0))</f>
        <v>liquid-cooled</v>
      </c>
      <c r="N698" s="44" t="str">
        <f>INDEX(CLEANED_MotorPH_Products_List_2!G:G,MATCH(MotorPHSales[[#This Row],[Product]],CLEANED_MotorPH_Products_List_2!$B:$B,0))</f>
        <v>373cc</v>
      </c>
      <c r="O698" s="44" t="str">
        <f>INDEX(CLEANED_MotorPH_Products_List_2!K:K,MATCH(MotorPHSales[[#This Row],[Product]],CLEANED_MotorPH_Products_List_2!B:B,0))</f>
        <v>Mid-range</v>
      </c>
      <c r="P698" s="45">
        <f>IF(MotorPHSales[[#This Row],[Segment]]="Entry-level",MotorPHSales[[#This Row],[UnitPrice]]/(1+30%),IF(MotorPHSales[[#This Row],[Segment]]="Mid-range",MotorPHSales[[#This Row],[UnitPrice]]/(1+35%),MotorPHSales[[#This Row],[UnitPrice]]/(1+40%)))*MotorPHSales[[#This Row],[Quantity]]</f>
        <v>6811407.4074074076</v>
      </c>
      <c r="Q698" s="44" t="str">
        <f>INDEX(CLEANED_MotorPH_Products_List_2!H:H,MATCH(MotorPHSales[[#This Row],[Product]],CLEANED_MotorPH_Products_List_2!$B:$B,0))</f>
        <v>6-speed</v>
      </c>
    </row>
    <row r="699" spans="1:17" ht="15.75" x14ac:dyDescent="0.3">
      <c r="A699" s="43">
        <v>45900</v>
      </c>
      <c r="B699" s="44" t="str">
        <f>TEXT(MotorPHSales[[#This Row],[Date]],"mmmm")</f>
        <v>August</v>
      </c>
      <c r="C699" s="44">
        <f>DAY(MotorPHSales[[#This Row],[Date]])</f>
        <v>31</v>
      </c>
      <c r="D699" s="44">
        <f>YEAR(MotorPHSales[[#This Row],[Date]])</f>
        <v>2025</v>
      </c>
      <c r="E699" s="44" t="s">
        <v>194</v>
      </c>
      <c r="F699" s="44" t="s">
        <v>59</v>
      </c>
      <c r="G699" s="45">
        <v>67900</v>
      </c>
      <c r="H699" s="44">
        <v>22</v>
      </c>
      <c r="I699" s="45">
        <v>1493800</v>
      </c>
      <c r="J699" s="44" t="s">
        <v>195</v>
      </c>
      <c r="K699" s="44" t="str">
        <f>INDEX(CLEANED_MotorPH_Products_List_2!C:C,MATCH(MotorPHSales[[#This Row],[Product]],CLEANED_MotorPH_Products_List_2!$B:$B,0))</f>
        <v>Commuter</v>
      </c>
      <c r="L699" s="44" t="str">
        <f>INDEX(CLEANED_MotorPH_Products_List_2!E:E,MATCH(MotorPHSales[[#This Row],[Product]],CLEANED_MotorPH_Products_List_2!$B:$B,0))</f>
        <v>Single cylinder</v>
      </c>
      <c r="M699" s="44" t="str">
        <f>INDEX(CLEANED_MotorPH_Products_List_2!F:F,MATCH(MotorPHSales[[#This Row],[Product]],CLEANED_MotorPH_Products_List_2!$B:$B,0))</f>
        <v>air-cooled</v>
      </c>
      <c r="N699" s="44" t="str">
        <f>INDEX(CLEANED_MotorPH_Products_List_2!G:G,MATCH(MotorPHSales[[#This Row],[Product]],CLEANED_MotorPH_Products_List_2!$B:$B,0))</f>
        <v>125cc</v>
      </c>
      <c r="O699" s="44" t="str">
        <f>INDEX(CLEANED_MotorPH_Products_List_2!K:K,MATCH(MotorPHSales[[#This Row],[Product]],CLEANED_MotorPH_Products_List_2!B:B,0))</f>
        <v>Entry-level</v>
      </c>
      <c r="P699" s="45">
        <f>IF(MotorPHSales[[#This Row],[Segment]]="Entry-level",MotorPHSales[[#This Row],[UnitPrice]]/(1+30%),IF(MotorPHSales[[#This Row],[Segment]]="Mid-range",MotorPHSales[[#This Row],[UnitPrice]]/(1+35%),MotorPHSales[[#This Row],[UnitPrice]]/(1+40%)))*MotorPHSales[[#This Row],[Quantity]]</f>
        <v>1149076.923076923</v>
      </c>
      <c r="Q699" s="44" t="str">
        <f>INDEX(CLEANED_MotorPH_Products_List_2!H:H,MATCH(MotorPHSales[[#This Row],[Product]],CLEANED_MotorPH_Products_List_2!$B:$B,0))</f>
        <v>4-speed</v>
      </c>
    </row>
    <row r="700" spans="1:17" ht="15.75" x14ac:dyDescent="0.3">
      <c r="A700" s="43">
        <v>45837</v>
      </c>
      <c r="B700" s="44" t="str">
        <f>TEXT(MotorPHSales[[#This Row],[Date]],"mmmm")</f>
        <v>June</v>
      </c>
      <c r="C700" s="44">
        <f>DAY(MotorPHSales[[#This Row],[Date]])</f>
        <v>29</v>
      </c>
      <c r="D700" s="44">
        <f>YEAR(MotorPHSales[[#This Row],[Date]])</f>
        <v>2025</v>
      </c>
      <c r="E700" s="44" t="s">
        <v>196</v>
      </c>
      <c r="F700" s="44" t="s">
        <v>90</v>
      </c>
      <c r="G700" s="45">
        <v>165000</v>
      </c>
      <c r="H700" s="44">
        <v>37</v>
      </c>
      <c r="I700" s="45">
        <v>6105000</v>
      </c>
      <c r="J700" s="44" t="s">
        <v>197</v>
      </c>
      <c r="K700" s="44" t="str">
        <f>INDEX(CLEANED_MotorPH_Products_List_2!C:C,MATCH(MotorPHSales[[#This Row],[Product]],CLEANED_MotorPH_Products_List_2!$B:$B,0))</f>
        <v>Sport</v>
      </c>
      <c r="L700" s="44" t="str">
        <f>INDEX(CLEANED_MotorPH_Products_List_2!E:E,MATCH(MotorPHSales[[#This Row],[Product]],CLEANED_MotorPH_Products_List_2!$B:$B,0))</f>
        <v>Single cylinder</v>
      </c>
      <c r="M700" s="44" t="str">
        <f>INDEX(CLEANED_MotorPH_Products_List_2!F:F,MATCH(MotorPHSales[[#This Row],[Product]],CLEANED_MotorPH_Products_List_2!$B:$B,0))</f>
        <v>liquid-cooled</v>
      </c>
      <c r="N700" s="44" t="str">
        <f>INDEX(CLEANED_MotorPH_Products_List_2!G:G,MATCH(MotorPHSales[[#This Row],[Product]],CLEANED_MotorPH_Products_List_2!$B:$B,0))</f>
        <v>292cc</v>
      </c>
      <c r="O700" s="44" t="str">
        <f>INDEX(CLEANED_MotorPH_Products_List_2!K:K,MATCH(MotorPHSales[[#This Row],[Product]],CLEANED_MotorPH_Products_List_2!B:B,0))</f>
        <v>Mid-range</v>
      </c>
      <c r="P700" s="45">
        <f>IF(MotorPHSales[[#This Row],[Segment]]="Entry-level",MotorPHSales[[#This Row],[UnitPrice]]/(1+30%),IF(MotorPHSales[[#This Row],[Segment]]="Mid-range",MotorPHSales[[#This Row],[UnitPrice]]/(1+35%),MotorPHSales[[#This Row],[UnitPrice]]/(1+40%)))*MotorPHSales[[#This Row],[Quantity]]</f>
        <v>4522222.222222222</v>
      </c>
      <c r="Q700" s="44" t="str">
        <f>INDEX(CLEANED_MotorPH_Products_List_2!H:H,MATCH(MotorPHSales[[#This Row],[Product]],CLEANED_MotorPH_Products_List_2!$B:$B,0))</f>
        <v>6-speed</v>
      </c>
    </row>
    <row r="701" spans="1:17" ht="15.75" x14ac:dyDescent="0.3">
      <c r="A701" s="43">
        <v>45821</v>
      </c>
      <c r="B701" s="44" t="str">
        <f>TEXT(MotorPHSales[[#This Row],[Date]],"mmmm")</f>
        <v>June</v>
      </c>
      <c r="C701" s="44">
        <f>DAY(MotorPHSales[[#This Row],[Date]])</f>
        <v>13</v>
      </c>
      <c r="D701" s="44">
        <f>YEAR(MotorPHSales[[#This Row],[Date]])</f>
        <v>2025</v>
      </c>
      <c r="E701" s="44" t="s">
        <v>194</v>
      </c>
      <c r="F701" s="44" t="s">
        <v>46</v>
      </c>
      <c r="G701" s="45">
        <v>124000</v>
      </c>
      <c r="H701" s="44">
        <v>15</v>
      </c>
      <c r="I701" s="45">
        <v>1860000</v>
      </c>
      <c r="J701" s="44" t="s">
        <v>197</v>
      </c>
      <c r="K701" s="44" t="str">
        <f>INDEX(CLEANED_MotorPH_Products_List_2!C:C,MATCH(MotorPHSales[[#This Row],[Product]],CLEANED_MotorPH_Products_List_2!$B:$B,0))</f>
        <v>Scooter</v>
      </c>
      <c r="L701" s="44" t="str">
        <f>INDEX(CLEANED_MotorPH_Products_List_2!E:E,MATCH(MotorPHSales[[#This Row],[Product]],CLEANED_MotorPH_Products_List_2!$B:$B,0))</f>
        <v>Single cylinder</v>
      </c>
      <c r="M701" s="44" t="str">
        <f>INDEX(CLEANED_MotorPH_Products_List_2!F:F,MATCH(MotorPHSales[[#This Row],[Product]],CLEANED_MotorPH_Products_List_2!$B:$B,0))</f>
        <v>liquid-cooled</v>
      </c>
      <c r="N701" s="44" t="str">
        <f>INDEX(CLEANED_MotorPH_Products_List_2!G:G,MATCH(MotorPHSales[[#This Row],[Product]],CLEANED_MotorPH_Products_List_2!$B:$B,0))</f>
        <v>155cc</v>
      </c>
      <c r="O701" s="44" t="str">
        <f>INDEX(CLEANED_MotorPH_Products_List_2!K:K,MATCH(MotorPHSales[[#This Row],[Product]],CLEANED_MotorPH_Products_List_2!B:B,0))</f>
        <v>Entry-level</v>
      </c>
      <c r="P701" s="45">
        <f>IF(MotorPHSales[[#This Row],[Segment]]="Entry-level",MotorPHSales[[#This Row],[UnitPrice]]/(1+30%),IF(MotorPHSales[[#This Row],[Segment]]="Mid-range",MotorPHSales[[#This Row],[UnitPrice]]/(1+35%),MotorPHSales[[#This Row],[UnitPrice]]/(1+40%)))*MotorPHSales[[#This Row],[Quantity]]</f>
        <v>1430769.2307692305</v>
      </c>
      <c r="Q701" s="44" t="str">
        <f>INDEX(CLEANED_MotorPH_Products_List_2!H:H,MATCH(MotorPHSales[[#This Row],[Product]],CLEANED_MotorPH_Products_List_2!$B:$B,0))</f>
        <v>CVT</v>
      </c>
    </row>
    <row r="702" spans="1:17" ht="15.75" x14ac:dyDescent="0.3">
      <c r="A702" s="43">
        <v>45854</v>
      </c>
      <c r="B702" s="44" t="str">
        <f>TEXT(MotorPHSales[[#This Row],[Date]],"mmmm")</f>
        <v>July</v>
      </c>
      <c r="C702" s="44">
        <f>DAY(MotorPHSales[[#This Row],[Date]])</f>
        <v>16</v>
      </c>
      <c r="D702" s="44">
        <f>YEAR(MotorPHSales[[#This Row],[Date]])</f>
        <v>2025</v>
      </c>
      <c r="E702" s="44" t="s">
        <v>196</v>
      </c>
      <c r="F702" s="44" t="s">
        <v>96</v>
      </c>
      <c r="G702" s="45">
        <v>80900</v>
      </c>
      <c r="H702" s="44">
        <v>16</v>
      </c>
      <c r="I702" s="45">
        <v>1294400</v>
      </c>
      <c r="J702" s="44" t="s">
        <v>195</v>
      </c>
      <c r="K702" s="44" t="str">
        <f>INDEX(CLEANED_MotorPH_Products_List_2!C:C,MATCH(MotorPHSales[[#This Row],[Product]],CLEANED_MotorPH_Products_List_2!$B:$B,0))</f>
        <v>Scooter</v>
      </c>
      <c r="L702" s="44" t="str">
        <f>INDEX(CLEANED_MotorPH_Products_List_2!E:E,MATCH(MotorPHSales[[#This Row],[Product]],CLEANED_MotorPH_Products_List_2!$B:$B,0))</f>
        <v>Single cylinder</v>
      </c>
      <c r="M702" s="44" t="str">
        <f>INDEX(CLEANED_MotorPH_Products_List_2!F:F,MATCH(MotorPHSales[[#This Row],[Product]],CLEANED_MotorPH_Products_List_2!$B:$B,0))</f>
        <v>air-cooled</v>
      </c>
      <c r="N702" s="44" t="str">
        <f>INDEX(CLEANED_MotorPH_Products_List_2!G:G,MATCH(MotorPHSales[[#This Row],[Product]],CLEANED_MotorPH_Products_List_2!$B:$B,0))</f>
        <v>124cc</v>
      </c>
      <c r="O702" s="44" t="str">
        <f>INDEX(CLEANED_MotorPH_Products_List_2!K:K,MATCH(MotorPHSales[[#This Row],[Product]],CLEANED_MotorPH_Products_List_2!B:B,0))</f>
        <v>Entry-level</v>
      </c>
      <c r="P702" s="45">
        <f>IF(MotorPHSales[[#This Row],[Segment]]="Entry-level",MotorPHSales[[#This Row],[UnitPrice]]/(1+30%),IF(MotorPHSales[[#This Row],[Segment]]="Mid-range",MotorPHSales[[#This Row],[UnitPrice]]/(1+35%),MotorPHSales[[#This Row],[UnitPrice]]/(1+40%)))*MotorPHSales[[#This Row],[Quantity]]</f>
        <v>995692.30769230763</v>
      </c>
      <c r="Q702" s="44" t="str">
        <f>INDEX(CLEANED_MotorPH_Products_List_2!H:H,MATCH(MotorPHSales[[#This Row],[Product]],CLEANED_MotorPH_Products_List_2!$B:$B,0))</f>
        <v>CVT</v>
      </c>
    </row>
    <row r="703" spans="1:17" ht="15.75" x14ac:dyDescent="0.3">
      <c r="A703" s="43">
        <v>45843</v>
      </c>
      <c r="B703" s="44" t="str">
        <f>TEXT(MotorPHSales[[#This Row],[Date]],"mmmm")</f>
        <v>July</v>
      </c>
      <c r="C703" s="44">
        <f>DAY(MotorPHSales[[#This Row],[Date]])</f>
        <v>5</v>
      </c>
      <c r="D703" s="44">
        <f>YEAR(MotorPHSales[[#This Row],[Date]])</f>
        <v>2025</v>
      </c>
      <c r="E703" s="44" t="s">
        <v>194</v>
      </c>
      <c r="F703" s="44" t="s">
        <v>12</v>
      </c>
      <c r="G703" s="45">
        <v>119900</v>
      </c>
      <c r="H703" s="44">
        <v>7</v>
      </c>
      <c r="I703" s="45">
        <v>839300</v>
      </c>
      <c r="J703" s="44" t="s">
        <v>195</v>
      </c>
      <c r="K703" s="44" t="str">
        <f>INDEX(CLEANED_MotorPH_Products_List_2!C:C,MATCH(MotorPHSales[[#This Row],[Product]],CLEANED_MotorPH_Products_List_2!$B:$B,0))</f>
        <v>Underbone</v>
      </c>
      <c r="L703" s="44" t="str">
        <f>INDEX(CLEANED_MotorPH_Products_List_2!E:E,MATCH(MotorPHSales[[#This Row],[Product]],CLEANED_MotorPH_Products_List_2!$B:$B,0))</f>
        <v>Single cylinder</v>
      </c>
      <c r="M703" s="44" t="str">
        <f>INDEX(CLEANED_MotorPH_Products_List_2!F:F,MATCH(MotorPHSales[[#This Row],[Product]],CLEANED_MotorPH_Products_List_2!$B:$B,0))</f>
        <v>liquid-cooled</v>
      </c>
      <c r="N703" s="44" t="str">
        <f>INDEX(CLEANED_MotorPH_Products_List_2!G:G,MATCH(MotorPHSales[[#This Row],[Product]],CLEANED_MotorPH_Products_List_2!$B:$B,0))</f>
        <v>150cc</v>
      </c>
      <c r="O703" s="44" t="str">
        <f>INDEX(CLEANED_MotorPH_Products_List_2!K:K,MATCH(MotorPHSales[[#This Row],[Product]],CLEANED_MotorPH_Products_List_2!B:B,0))</f>
        <v>Entry-level</v>
      </c>
      <c r="P703" s="45">
        <f>IF(MotorPHSales[[#This Row],[Segment]]="Entry-level",MotorPHSales[[#This Row],[UnitPrice]]/(1+30%),IF(MotorPHSales[[#This Row],[Segment]]="Mid-range",MotorPHSales[[#This Row],[UnitPrice]]/(1+35%),MotorPHSales[[#This Row],[UnitPrice]]/(1+40%)))*MotorPHSales[[#This Row],[Quantity]]</f>
        <v>645615.38461538462</v>
      </c>
      <c r="Q703" s="44" t="str">
        <f>INDEX(CLEANED_MotorPH_Products_List_2!H:H,MATCH(MotorPHSales[[#This Row],[Product]],CLEANED_MotorPH_Products_List_2!$B:$B,0))</f>
        <v>6-speed</v>
      </c>
    </row>
    <row r="704" spans="1:17" ht="15.75" x14ac:dyDescent="0.3">
      <c r="A704" s="43">
        <v>45814</v>
      </c>
      <c r="B704" s="44" t="str">
        <f>TEXT(MotorPHSales[[#This Row],[Date]],"mmmm")</f>
        <v>June</v>
      </c>
      <c r="C704" s="44">
        <f>DAY(MotorPHSales[[#This Row],[Date]])</f>
        <v>6</v>
      </c>
      <c r="D704" s="44">
        <f>YEAR(MotorPHSales[[#This Row],[Date]])</f>
        <v>2025</v>
      </c>
      <c r="E704" s="44" t="s">
        <v>196</v>
      </c>
      <c r="F704" s="44" t="s">
        <v>12</v>
      </c>
      <c r="G704" s="45">
        <v>119900</v>
      </c>
      <c r="H704" s="44">
        <v>5</v>
      </c>
      <c r="I704" s="45">
        <v>599500</v>
      </c>
      <c r="J704" s="44" t="s">
        <v>198</v>
      </c>
      <c r="K704" s="44" t="str">
        <f>INDEX(CLEANED_MotorPH_Products_List_2!C:C,MATCH(MotorPHSales[[#This Row],[Product]],CLEANED_MotorPH_Products_List_2!$B:$B,0))</f>
        <v>Underbone</v>
      </c>
      <c r="L704" s="44" t="str">
        <f>INDEX(CLEANED_MotorPH_Products_List_2!E:E,MATCH(MotorPHSales[[#This Row],[Product]],CLEANED_MotorPH_Products_List_2!$B:$B,0))</f>
        <v>Single cylinder</v>
      </c>
      <c r="M704" s="44" t="str">
        <f>INDEX(CLEANED_MotorPH_Products_List_2!F:F,MATCH(MotorPHSales[[#This Row],[Product]],CLEANED_MotorPH_Products_List_2!$B:$B,0))</f>
        <v>liquid-cooled</v>
      </c>
      <c r="N704" s="44" t="str">
        <f>INDEX(CLEANED_MotorPH_Products_List_2!G:G,MATCH(MotorPHSales[[#This Row],[Product]],CLEANED_MotorPH_Products_List_2!$B:$B,0))</f>
        <v>150cc</v>
      </c>
      <c r="O704" s="44" t="str">
        <f>INDEX(CLEANED_MotorPH_Products_List_2!K:K,MATCH(MotorPHSales[[#This Row],[Product]],CLEANED_MotorPH_Products_List_2!B:B,0))</f>
        <v>Entry-level</v>
      </c>
      <c r="P704" s="45">
        <f>IF(MotorPHSales[[#This Row],[Segment]]="Entry-level",MotorPHSales[[#This Row],[UnitPrice]]/(1+30%),IF(MotorPHSales[[#This Row],[Segment]]="Mid-range",MotorPHSales[[#This Row],[UnitPrice]]/(1+35%),MotorPHSales[[#This Row],[UnitPrice]]/(1+40%)))*MotorPHSales[[#This Row],[Quantity]]</f>
        <v>461153.84615384619</v>
      </c>
      <c r="Q704" s="44" t="str">
        <f>INDEX(CLEANED_MotorPH_Products_List_2!H:H,MATCH(MotorPHSales[[#This Row],[Product]],CLEANED_MotorPH_Products_List_2!$B:$B,0))</f>
        <v>6-speed</v>
      </c>
    </row>
    <row r="705" spans="1:17" ht="15.75" x14ac:dyDescent="0.3">
      <c r="A705" s="43">
        <v>45890</v>
      </c>
      <c r="B705" s="44" t="str">
        <f>TEXT(MotorPHSales[[#This Row],[Date]],"mmmm")</f>
        <v>August</v>
      </c>
      <c r="C705" s="44">
        <f>DAY(MotorPHSales[[#This Row],[Date]])</f>
        <v>21</v>
      </c>
      <c r="D705" s="44">
        <f>YEAR(MotorPHSales[[#This Row],[Date]])</f>
        <v>2025</v>
      </c>
      <c r="E705" s="44" t="s">
        <v>196</v>
      </c>
      <c r="F705" s="44" t="s">
        <v>84</v>
      </c>
      <c r="G705" s="45">
        <v>995000</v>
      </c>
      <c r="H705" s="44">
        <v>5</v>
      </c>
      <c r="I705" s="45">
        <v>4975000</v>
      </c>
      <c r="J705" s="44" t="s">
        <v>195</v>
      </c>
      <c r="K705" s="44" t="str">
        <f>INDEX(CLEANED_MotorPH_Products_List_2!C:C,MATCH(MotorPHSales[[#This Row],[Product]],CLEANED_MotorPH_Products_List_2!$B:$B,0))</f>
        <v>Heritage</v>
      </c>
      <c r="L705" s="44" t="str">
        <f>INDEX(CLEANED_MotorPH_Products_List_2!E:E,MATCH(MotorPHSales[[#This Row],[Product]],CLEANED_MotorPH_Products_List_2!$B:$B,0))</f>
        <v>Flat twin</v>
      </c>
      <c r="M705" s="44" t="str">
        <f>INDEX(CLEANED_MotorPH_Products_List_2!F:F,MATCH(MotorPHSales[[#This Row],[Product]],CLEANED_MotorPH_Products_List_2!$B:$B,0))</f>
        <v>air</v>
      </c>
      <c r="N705" s="44">
        <f>INDEX(CLEANED_MotorPH_Products_List_2!G:G,MATCH(MotorPHSales[[#This Row],[Product]],CLEANED_MotorPH_Products_List_2!$B:$B,0))</f>
        <v>0</v>
      </c>
      <c r="O705" s="44" t="str">
        <f>INDEX(CLEANED_MotorPH_Products_List_2!K:K,MATCH(MotorPHSales[[#This Row],[Product]],CLEANED_MotorPH_Products_List_2!B:B,0))</f>
        <v>Premium</v>
      </c>
      <c r="P705" s="45">
        <f>IF(MotorPHSales[[#This Row],[Segment]]="Entry-level",MotorPHSales[[#This Row],[UnitPrice]]/(1+30%),IF(MotorPHSales[[#This Row],[Segment]]="Mid-range",MotorPHSales[[#This Row],[UnitPrice]]/(1+35%),MotorPHSales[[#This Row],[UnitPrice]]/(1+40%)))*MotorPHSales[[#This Row],[Quantity]]</f>
        <v>3553571.4285714291</v>
      </c>
      <c r="Q705" s="44">
        <f>INDEX(CLEANED_MotorPH_Products_List_2!H:H,MATCH(MotorPHSales[[#This Row],[Product]],CLEANED_MotorPH_Products_List_2!$B:$B,0))</f>
        <v>0</v>
      </c>
    </row>
    <row r="706" spans="1:17" ht="15.75" x14ac:dyDescent="0.3">
      <c r="A706" s="43">
        <v>45877</v>
      </c>
      <c r="B706" s="44" t="str">
        <f>TEXT(MotorPHSales[[#This Row],[Date]],"mmmm")</f>
        <v>August</v>
      </c>
      <c r="C706" s="44">
        <f>DAY(MotorPHSales[[#This Row],[Date]])</f>
        <v>8</v>
      </c>
      <c r="D706" s="44">
        <f>YEAR(MotorPHSales[[#This Row],[Date]])</f>
        <v>2025</v>
      </c>
      <c r="E706" s="44" t="s">
        <v>194</v>
      </c>
      <c r="F706" s="44" t="s">
        <v>12</v>
      </c>
      <c r="G706" s="45">
        <v>119900</v>
      </c>
      <c r="H706" s="44">
        <v>1</v>
      </c>
      <c r="I706" s="45">
        <v>119900</v>
      </c>
      <c r="J706" s="44" t="s">
        <v>195</v>
      </c>
      <c r="K706" s="44" t="str">
        <f>INDEX(CLEANED_MotorPH_Products_List_2!C:C,MATCH(MotorPHSales[[#This Row],[Product]],CLEANED_MotorPH_Products_List_2!$B:$B,0))</f>
        <v>Underbone</v>
      </c>
      <c r="L706" s="44" t="str">
        <f>INDEX(CLEANED_MotorPH_Products_List_2!E:E,MATCH(MotorPHSales[[#This Row],[Product]],CLEANED_MotorPH_Products_List_2!$B:$B,0))</f>
        <v>Single cylinder</v>
      </c>
      <c r="M706" s="44" t="str">
        <f>INDEX(CLEANED_MotorPH_Products_List_2!F:F,MATCH(MotorPHSales[[#This Row],[Product]],CLEANED_MotorPH_Products_List_2!$B:$B,0))</f>
        <v>liquid-cooled</v>
      </c>
      <c r="N706" s="44" t="str">
        <f>INDEX(CLEANED_MotorPH_Products_List_2!G:G,MATCH(MotorPHSales[[#This Row],[Product]],CLEANED_MotorPH_Products_List_2!$B:$B,0))</f>
        <v>150cc</v>
      </c>
      <c r="O706" s="44" t="str">
        <f>INDEX(CLEANED_MotorPH_Products_List_2!K:K,MATCH(MotorPHSales[[#This Row],[Product]],CLEANED_MotorPH_Products_List_2!B:B,0))</f>
        <v>Entry-level</v>
      </c>
      <c r="P706" s="45">
        <f>IF(MotorPHSales[[#This Row],[Segment]]="Entry-level",MotorPHSales[[#This Row],[UnitPrice]]/(1+30%),IF(MotorPHSales[[#This Row],[Segment]]="Mid-range",MotorPHSales[[#This Row],[UnitPrice]]/(1+35%),MotorPHSales[[#This Row],[UnitPrice]]/(1+40%)))*MotorPHSales[[#This Row],[Quantity]]</f>
        <v>92230.769230769234</v>
      </c>
      <c r="Q706" s="44" t="str">
        <f>INDEX(CLEANED_MotorPH_Products_List_2!H:H,MATCH(MotorPHSales[[#This Row],[Product]],CLEANED_MotorPH_Products_List_2!$B:$B,0))</f>
        <v>6-speed</v>
      </c>
    </row>
    <row r="707" spans="1:17" ht="15.75" x14ac:dyDescent="0.3">
      <c r="A707" s="43">
        <v>45855</v>
      </c>
      <c r="B707" s="44" t="str">
        <f>TEXT(MotorPHSales[[#This Row],[Date]],"mmmm")</f>
        <v>July</v>
      </c>
      <c r="C707" s="44">
        <f>DAY(MotorPHSales[[#This Row],[Date]])</f>
        <v>17</v>
      </c>
      <c r="D707" s="44">
        <f>YEAR(MotorPHSales[[#This Row],[Date]])</f>
        <v>2025</v>
      </c>
      <c r="E707" s="44" t="s">
        <v>196</v>
      </c>
      <c r="F707" s="44" t="s">
        <v>61</v>
      </c>
      <c r="G707" s="45">
        <v>284900</v>
      </c>
      <c r="H707" s="44">
        <v>11</v>
      </c>
      <c r="I707" s="45">
        <v>3133900</v>
      </c>
      <c r="J707" s="44" t="s">
        <v>195</v>
      </c>
      <c r="K707" s="44" t="str">
        <f>INDEX(CLEANED_MotorPH_Products_List_2!C:C,MATCH(MotorPHSales[[#This Row],[Product]],CLEANED_MotorPH_Products_List_2!$B:$B,0))</f>
        <v>Dual-sport</v>
      </c>
      <c r="L707" s="44" t="str">
        <f>INDEX(CLEANED_MotorPH_Products_List_2!E:E,MATCH(MotorPHSales[[#This Row],[Product]],CLEANED_MotorPH_Products_List_2!$B:$B,0))</f>
        <v>Single cylinder</v>
      </c>
      <c r="M707" s="44" t="str">
        <f>INDEX(CLEANED_MotorPH_Products_List_2!F:F,MATCH(MotorPHSales[[#This Row],[Product]],CLEANED_MotorPH_Products_List_2!$B:$B,0))</f>
        <v>liquid-cooled</v>
      </c>
      <c r="N707" s="44" t="str">
        <f>INDEX(CLEANED_MotorPH_Products_List_2!G:G,MATCH(MotorPHSales[[#This Row],[Product]],CLEANED_MotorPH_Products_List_2!$B:$B,0))</f>
        <v>286cc</v>
      </c>
      <c r="O707" s="44" t="str">
        <f>INDEX(CLEANED_MotorPH_Products_List_2!K:K,MATCH(MotorPHSales[[#This Row],[Product]],CLEANED_MotorPH_Products_List_2!B:B,0))</f>
        <v>Mid-range</v>
      </c>
      <c r="P707" s="45">
        <f>IF(MotorPHSales[[#This Row],[Segment]]="Entry-level",MotorPHSales[[#This Row],[UnitPrice]]/(1+30%),IF(MotorPHSales[[#This Row],[Segment]]="Mid-range",MotorPHSales[[#This Row],[UnitPrice]]/(1+35%),MotorPHSales[[#This Row],[UnitPrice]]/(1+40%)))*MotorPHSales[[#This Row],[Quantity]]</f>
        <v>2321407.4074074072</v>
      </c>
      <c r="Q707" s="44" t="str">
        <f>INDEX(CLEANED_MotorPH_Products_List_2!H:H,MATCH(MotorPHSales[[#This Row],[Product]],CLEANED_MotorPH_Products_List_2!$B:$B,0))</f>
        <v>6-speed</v>
      </c>
    </row>
    <row r="708" spans="1:17" ht="15.75" x14ac:dyDescent="0.3">
      <c r="A708" s="43">
        <v>45833</v>
      </c>
      <c r="B708" s="44" t="str">
        <f>TEXT(MotorPHSales[[#This Row],[Date]],"mmmm")</f>
        <v>June</v>
      </c>
      <c r="C708" s="44">
        <f>DAY(MotorPHSales[[#This Row],[Date]])</f>
        <v>25</v>
      </c>
      <c r="D708" s="44">
        <f>YEAR(MotorPHSales[[#This Row],[Date]])</f>
        <v>2025</v>
      </c>
      <c r="E708" s="44" t="s">
        <v>196</v>
      </c>
      <c r="F708" s="44" t="s">
        <v>47</v>
      </c>
      <c r="G708" s="45">
        <v>398000</v>
      </c>
      <c r="H708" s="44">
        <v>4</v>
      </c>
      <c r="I708" s="45">
        <v>1592000</v>
      </c>
      <c r="J708" s="44" t="s">
        <v>198</v>
      </c>
      <c r="K708" s="44" t="str">
        <f>INDEX(CLEANED_MotorPH_Products_List_2!C:C,MATCH(MotorPHSales[[#This Row],[Product]],CLEANED_MotorPH_Products_List_2!$B:$B,0))</f>
        <v>Cruiser</v>
      </c>
      <c r="L708" s="44" t="str">
        <f>INDEX(CLEANED_MotorPH_Products_List_2!E:E,MATCH(MotorPHSales[[#This Row],[Product]],CLEANED_MotorPH_Products_List_2!$B:$B,0))</f>
        <v>Parallel-twin</v>
      </c>
      <c r="M708" s="44" t="str">
        <f>INDEX(CLEANED_MotorPH_Products_List_2!F:F,MATCH(MotorPHSales[[#This Row],[Product]],CLEANED_MotorPH_Products_List_2!$B:$B,0))</f>
        <v>liquid-cooled</v>
      </c>
      <c r="N708" s="44" t="str">
        <f>INDEX(CLEANED_MotorPH_Products_List_2!G:G,MATCH(MotorPHSales[[#This Row],[Product]],CLEANED_MotorPH_Products_List_2!$B:$B,0))</f>
        <v>649cc</v>
      </c>
      <c r="O708" s="44" t="str">
        <f>INDEX(CLEANED_MotorPH_Products_List_2!K:K,MATCH(MotorPHSales[[#This Row],[Product]],CLEANED_MotorPH_Products_List_2!B:B,0))</f>
        <v>Premium</v>
      </c>
      <c r="P708" s="45">
        <f>IF(MotorPHSales[[#This Row],[Segment]]="Entry-level",MotorPHSales[[#This Row],[UnitPrice]]/(1+30%),IF(MotorPHSales[[#This Row],[Segment]]="Mid-range",MotorPHSales[[#This Row],[UnitPrice]]/(1+35%),MotorPHSales[[#This Row],[UnitPrice]]/(1+40%)))*MotorPHSales[[#This Row],[Quantity]]</f>
        <v>1137142.8571428573</v>
      </c>
      <c r="Q708" s="44" t="str">
        <f>INDEX(CLEANED_MotorPH_Products_List_2!H:H,MATCH(MotorPHSales[[#This Row],[Product]],CLEANED_MotorPH_Products_List_2!$B:$B,0))</f>
        <v>6-speed</v>
      </c>
    </row>
    <row r="709" spans="1:17" ht="15.75" x14ac:dyDescent="0.3">
      <c r="A709" s="43">
        <v>45874</v>
      </c>
      <c r="B709" s="44" t="str">
        <f>TEXT(MotorPHSales[[#This Row],[Date]],"mmmm")</f>
        <v>August</v>
      </c>
      <c r="C709" s="44">
        <f>DAY(MotorPHSales[[#This Row],[Date]])</f>
        <v>5</v>
      </c>
      <c r="D709" s="44">
        <f>YEAR(MotorPHSales[[#This Row],[Date]])</f>
        <v>2025</v>
      </c>
      <c r="E709" s="44" t="s">
        <v>194</v>
      </c>
      <c r="F709" s="44" t="s">
        <v>36</v>
      </c>
      <c r="G709" s="45">
        <v>129000</v>
      </c>
      <c r="H709" s="44">
        <v>9</v>
      </c>
      <c r="I709" s="45">
        <v>1161000</v>
      </c>
      <c r="J709" s="44" t="s">
        <v>195</v>
      </c>
      <c r="K709" s="44" t="str">
        <f>INDEX(CLEANED_MotorPH_Products_List_2!C:C,MATCH(MotorPHSales[[#This Row],[Product]],CLEANED_MotorPH_Products_List_2!$B:$B,0))</f>
        <v>Naked bike</v>
      </c>
      <c r="L709" s="44" t="str">
        <f>INDEX(CLEANED_MotorPH_Products_List_2!E:E,MATCH(MotorPHSales[[#This Row],[Product]],CLEANED_MotorPH_Products_List_2!$B:$B,0))</f>
        <v>Single cylinder</v>
      </c>
      <c r="M709" s="44" t="str">
        <f>INDEX(CLEANED_MotorPH_Products_List_2!F:F,MATCH(MotorPHSales[[#This Row],[Product]],CLEANED_MotorPH_Products_List_2!$B:$B,0))</f>
        <v>oil-cooled</v>
      </c>
      <c r="N709" s="44" t="str">
        <f>INDEX(CLEANED_MotorPH_Products_List_2!G:G,MATCH(MotorPHSales[[#This Row],[Product]],CLEANED_MotorPH_Products_List_2!$B:$B,0))</f>
        <v>197cc</v>
      </c>
      <c r="O709" s="44" t="str">
        <f>INDEX(CLEANED_MotorPH_Products_List_2!K:K,MATCH(MotorPHSales[[#This Row],[Product]],CLEANED_MotorPH_Products_List_2!B:B,0))</f>
        <v>Entry-level</v>
      </c>
      <c r="P709" s="45">
        <f>IF(MotorPHSales[[#This Row],[Segment]]="Entry-level",MotorPHSales[[#This Row],[UnitPrice]]/(1+30%),IF(MotorPHSales[[#This Row],[Segment]]="Mid-range",MotorPHSales[[#This Row],[UnitPrice]]/(1+35%),MotorPHSales[[#This Row],[UnitPrice]]/(1+40%)))*MotorPHSales[[#This Row],[Quantity]]</f>
        <v>893076.92307692312</v>
      </c>
      <c r="Q709" s="44" t="str">
        <f>INDEX(CLEANED_MotorPH_Products_List_2!H:H,MATCH(MotorPHSales[[#This Row],[Product]],CLEANED_MotorPH_Products_List_2!$B:$B,0))</f>
        <v>5-speed</v>
      </c>
    </row>
    <row r="710" spans="1:17" ht="15.75" x14ac:dyDescent="0.3">
      <c r="A710" s="43">
        <v>45818</v>
      </c>
      <c r="B710" s="44" t="str">
        <f>TEXT(MotorPHSales[[#This Row],[Date]],"mmmm")</f>
        <v>June</v>
      </c>
      <c r="C710" s="44">
        <f>DAY(MotorPHSales[[#This Row],[Date]])</f>
        <v>10</v>
      </c>
      <c r="D710" s="44">
        <f>YEAR(MotorPHSales[[#This Row],[Date]])</f>
        <v>2025</v>
      </c>
      <c r="E710" s="44" t="s">
        <v>196</v>
      </c>
      <c r="F710" s="44" t="s">
        <v>55</v>
      </c>
      <c r="G710" s="45">
        <v>80900</v>
      </c>
      <c r="H710" s="44">
        <v>2</v>
      </c>
      <c r="I710" s="45">
        <v>161800</v>
      </c>
      <c r="J710" s="44" t="s">
        <v>195</v>
      </c>
      <c r="K710" s="44" t="str">
        <f>INDEX(CLEANED_MotorPH_Products_List_2!C:C,MATCH(MotorPHSales[[#This Row],[Product]],CLEANED_MotorPH_Products_List_2!$B:$B,0))</f>
        <v>Scooter</v>
      </c>
      <c r="L710" s="44" t="str">
        <f>INDEX(CLEANED_MotorPH_Products_List_2!E:E,MATCH(MotorPHSales[[#This Row],[Product]],CLEANED_MotorPH_Products_List_2!$B:$B,0))</f>
        <v>Single cylinder</v>
      </c>
      <c r="M710" s="44" t="str">
        <f>INDEX(CLEANED_MotorPH_Products_List_2!F:F,MATCH(MotorPHSales[[#This Row],[Product]],CLEANED_MotorPH_Products_List_2!$B:$B,0))</f>
        <v>liquid-cooled</v>
      </c>
      <c r="N710" s="44" t="str">
        <f>INDEX(CLEANED_MotorPH_Products_List_2!G:G,MATCH(MotorPHSales[[#This Row],[Product]],CLEANED_MotorPH_Products_List_2!$B:$B,0))</f>
        <v>125cc</v>
      </c>
      <c r="O710" s="44" t="str">
        <f>INDEX(CLEANED_MotorPH_Products_List_2!K:K,MATCH(MotorPHSales[[#This Row],[Product]],CLEANED_MotorPH_Products_List_2!B:B,0))</f>
        <v>Entry-level</v>
      </c>
      <c r="P710" s="45">
        <f>IF(MotorPHSales[[#This Row],[Segment]]="Entry-level",MotorPHSales[[#This Row],[UnitPrice]]/(1+30%),IF(MotorPHSales[[#This Row],[Segment]]="Mid-range",MotorPHSales[[#This Row],[UnitPrice]]/(1+35%),MotorPHSales[[#This Row],[UnitPrice]]/(1+40%)))*MotorPHSales[[#This Row],[Quantity]]</f>
        <v>124461.53846153845</v>
      </c>
      <c r="Q710" s="44" t="str">
        <f>INDEX(CLEANED_MotorPH_Products_List_2!H:H,MATCH(MotorPHSales[[#This Row],[Product]],CLEANED_MotorPH_Products_List_2!$B:$B,0))</f>
        <v>CVT</v>
      </c>
    </row>
    <row r="711" spans="1:17" ht="15.75" x14ac:dyDescent="0.3">
      <c r="A711" s="43">
        <v>45864</v>
      </c>
      <c r="B711" s="44" t="str">
        <f>TEXT(MotorPHSales[[#This Row],[Date]],"mmmm")</f>
        <v>July</v>
      </c>
      <c r="C711" s="44">
        <f>DAY(MotorPHSales[[#This Row],[Date]])</f>
        <v>26</v>
      </c>
      <c r="D711" s="44">
        <f>YEAR(MotorPHSales[[#This Row],[Date]])</f>
        <v>2025</v>
      </c>
      <c r="E711" s="44" t="s">
        <v>194</v>
      </c>
      <c r="F711" s="44" t="s">
        <v>16</v>
      </c>
      <c r="G711" s="45">
        <v>165000</v>
      </c>
      <c r="H711" s="44">
        <v>8</v>
      </c>
      <c r="I711" s="45">
        <v>1320000</v>
      </c>
      <c r="J711" s="44" t="s">
        <v>197</v>
      </c>
      <c r="K711" s="44" t="str">
        <f>INDEX(CLEANED_MotorPH_Products_List_2!C:C,MATCH(MotorPHSales[[#This Row],[Product]],CLEANED_MotorPH_Products_List_2!$B:$B,0))</f>
        <v>Naked bike</v>
      </c>
      <c r="L711" s="44" t="str">
        <f>INDEX(CLEANED_MotorPH_Products_List_2!E:E,MATCH(MotorPHSales[[#This Row],[Product]],CLEANED_MotorPH_Products_List_2!$B:$B,0))</f>
        <v>Single cylinder</v>
      </c>
      <c r="M711" s="44" t="str">
        <f>INDEX(CLEANED_MotorPH_Products_List_2!F:F,MATCH(MotorPHSales[[#This Row],[Product]],CLEANED_MotorPH_Products_List_2!$B:$B,0))</f>
        <v>liquid-cooled</v>
      </c>
      <c r="N711" s="44" t="str">
        <f>INDEX(CLEANED_MotorPH_Products_List_2!G:G,MATCH(MotorPHSales[[#This Row],[Product]],CLEANED_MotorPH_Products_List_2!$B:$B,0))</f>
        <v>292cc</v>
      </c>
      <c r="O711" s="44" t="str">
        <f>INDEX(CLEANED_MotorPH_Products_List_2!K:K,MATCH(MotorPHSales[[#This Row],[Product]],CLEANED_MotorPH_Products_List_2!B:B,0))</f>
        <v>Mid-range</v>
      </c>
      <c r="P711" s="45">
        <f>IF(MotorPHSales[[#This Row],[Segment]]="Entry-level",MotorPHSales[[#This Row],[UnitPrice]]/(1+30%),IF(MotorPHSales[[#This Row],[Segment]]="Mid-range",MotorPHSales[[#This Row],[UnitPrice]]/(1+35%),MotorPHSales[[#This Row],[UnitPrice]]/(1+40%)))*MotorPHSales[[#This Row],[Quantity]]</f>
        <v>977777.77777777775</v>
      </c>
      <c r="Q711" s="44" t="str">
        <f>INDEX(CLEANED_MotorPH_Products_List_2!H:H,MATCH(MotorPHSales[[#This Row],[Product]],CLEANED_MotorPH_Products_List_2!$B:$B,0))</f>
        <v>6-speed</v>
      </c>
    </row>
    <row r="712" spans="1:17" ht="15.75" x14ac:dyDescent="0.3">
      <c r="A712" s="43">
        <v>45838</v>
      </c>
      <c r="B712" s="44" t="str">
        <f>TEXT(MotorPHSales[[#This Row],[Date]],"mmmm")</f>
        <v>June</v>
      </c>
      <c r="C712" s="44">
        <f>DAY(MotorPHSales[[#This Row],[Date]])</f>
        <v>30</v>
      </c>
      <c r="D712" s="44">
        <f>YEAR(MotorPHSales[[#This Row],[Date]])</f>
        <v>2025</v>
      </c>
      <c r="E712" s="44" t="s">
        <v>194</v>
      </c>
      <c r="F712" s="44" t="s">
        <v>49</v>
      </c>
      <c r="G712" s="45">
        <v>68900</v>
      </c>
      <c r="H712" s="44">
        <v>15</v>
      </c>
      <c r="I712" s="45">
        <v>1033500</v>
      </c>
      <c r="J712" s="44" t="s">
        <v>197</v>
      </c>
      <c r="K712" s="44" t="str">
        <f>INDEX(CLEANED_MotorPH_Products_List_2!C:C,MATCH(MotorPHSales[[#This Row],[Product]],CLEANED_MotorPH_Products_List_2!$B:$B,0))</f>
        <v>Standard</v>
      </c>
      <c r="L712" s="44" t="str">
        <f>INDEX(CLEANED_MotorPH_Products_List_2!E:E,MATCH(MotorPHSales[[#This Row],[Product]],CLEANED_MotorPH_Products_List_2!$B:$B,0))</f>
        <v>Single cylinder</v>
      </c>
      <c r="M712" s="44" t="str">
        <f>INDEX(CLEANED_MotorPH_Products_List_2!F:F,MATCH(MotorPHSales[[#This Row],[Product]],CLEANED_MotorPH_Products_List_2!$B:$B,0))</f>
        <v>air-cooled</v>
      </c>
      <c r="N712" s="44" t="str">
        <f>INDEX(CLEANED_MotorPH_Products_List_2!G:G,MATCH(MotorPHSales[[#This Row],[Product]],CLEANED_MotorPH_Products_List_2!$B:$B,0))</f>
        <v>149cc</v>
      </c>
      <c r="O712" s="44" t="str">
        <f>INDEX(CLEANED_MotorPH_Products_List_2!K:K,MATCH(MotorPHSales[[#This Row],[Product]],CLEANED_MotorPH_Products_List_2!B:B,0))</f>
        <v>Entry-level</v>
      </c>
      <c r="P712" s="45">
        <f>IF(MotorPHSales[[#This Row],[Segment]]="Entry-level",MotorPHSales[[#This Row],[UnitPrice]]/(1+30%),IF(MotorPHSales[[#This Row],[Segment]]="Mid-range",MotorPHSales[[#This Row],[UnitPrice]]/(1+35%),MotorPHSales[[#This Row],[UnitPrice]]/(1+40%)))*MotorPHSales[[#This Row],[Quantity]]</f>
        <v>795000</v>
      </c>
      <c r="Q712" s="44" t="str">
        <f>INDEX(CLEANED_MotorPH_Products_List_2!H:H,MATCH(MotorPHSales[[#This Row],[Product]],CLEANED_MotorPH_Products_List_2!$B:$B,0))</f>
        <v>5-speed</v>
      </c>
    </row>
    <row r="713" spans="1:17" ht="15.75" x14ac:dyDescent="0.3">
      <c r="A713" s="43">
        <v>45813</v>
      </c>
      <c r="B713" s="44" t="str">
        <f>TEXT(MotorPHSales[[#This Row],[Date]],"mmmm")</f>
        <v>June</v>
      </c>
      <c r="C713" s="44">
        <f>DAY(MotorPHSales[[#This Row],[Date]])</f>
        <v>5</v>
      </c>
      <c r="D713" s="44">
        <f>YEAR(MotorPHSales[[#This Row],[Date]])</f>
        <v>2025</v>
      </c>
      <c r="E713" s="44" t="s">
        <v>194</v>
      </c>
      <c r="F713" s="44" t="s">
        <v>80</v>
      </c>
      <c r="G713" s="45">
        <v>398000</v>
      </c>
      <c r="H713" s="44">
        <v>4</v>
      </c>
      <c r="I713" s="45">
        <v>1592000</v>
      </c>
      <c r="J713" s="44" t="s">
        <v>198</v>
      </c>
      <c r="K713" s="44" t="str">
        <f>INDEX(CLEANED_MotorPH_Products_List_2!C:C,MATCH(MotorPHSales[[#This Row],[Product]],CLEANED_MotorPH_Products_List_2!$B:$B,0))</f>
        <v>Scooter</v>
      </c>
      <c r="L713" s="44" t="str">
        <f>INDEX(CLEANED_MotorPH_Products_List_2!E:E,MATCH(MotorPHSales[[#This Row],[Product]],CLEANED_MotorPH_Products_List_2!$B:$B,0))</f>
        <v>Single cylinder</v>
      </c>
      <c r="M713" s="44" t="str">
        <f>INDEX(CLEANED_MotorPH_Products_List_2!F:F,MATCH(MotorPHSales[[#This Row],[Product]],CLEANED_MotorPH_Products_List_2!$B:$B,0))</f>
        <v>liquid-cooled</v>
      </c>
      <c r="N713" s="44" t="str">
        <f>INDEX(CLEANED_MotorPH_Products_List_2!G:G,MATCH(MotorPHSales[[#This Row],[Product]],CLEANED_MotorPH_Products_List_2!$B:$B,0))</f>
        <v>278cc</v>
      </c>
      <c r="O713" s="44" t="str">
        <f>INDEX(CLEANED_MotorPH_Products_List_2!K:K,MATCH(MotorPHSales[[#This Row],[Product]],CLEANED_MotorPH_Products_List_2!B:B,0))</f>
        <v>Mid-range</v>
      </c>
      <c r="P713" s="45">
        <f>IF(MotorPHSales[[#This Row],[Segment]]="Entry-level",MotorPHSales[[#This Row],[UnitPrice]]/(1+30%),IF(MotorPHSales[[#This Row],[Segment]]="Mid-range",MotorPHSales[[#This Row],[UnitPrice]]/(1+35%),MotorPHSales[[#This Row],[UnitPrice]]/(1+40%)))*MotorPHSales[[#This Row],[Quantity]]</f>
        <v>1179259.2592592591</v>
      </c>
      <c r="Q713" s="44" t="str">
        <f>INDEX(CLEANED_MotorPH_Products_List_2!H:H,MATCH(MotorPHSales[[#This Row],[Product]],CLEANED_MotorPH_Products_List_2!$B:$B,0))</f>
        <v>CVT</v>
      </c>
    </row>
    <row r="714" spans="1:17" ht="15.75" x14ac:dyDescent="0.3">
      <c r="A714" s="43">
        <v>45841</v>
      </c>
      <c r="B714" s="44" t="str">
        <f>TEXT(MotorPHSales[[#This Row],[Date]],"mmmm")</f>
        <v>July</v>
      </c>
      <c r="C714" s="44">
        <f>DAY(MotorPHSales[[#This Row],[Date]])</f>
        <v>3</v>
      </c>
      <c r="D714" s="44">
        <f>YEAR(MotorPHSales[[#This Row],[Date]])</f>
        <v>2025</v>
      </c>
      <c r="E714" s="44" t="s">
        <v>196</v>
      </c>
      <c r="F714" s="44" t="s">
        <v>59</v>
      </c>
      <c r="G714" s="45">
        <v>67900</v>
      </c>
      <c r="H714" s="44">
        <v>47</v>
      </c>
      <c r="I714" s="45">
        <v>3191300</v>
      </c>
      <c r="J714" s="44" t="s">
        <v>198</v>
      </c>
      <c r="K714" s="44" t="str">
        <f>INDEX(CLEANED_MotorPH_Products_List_2!C:C,MATCH(MotorPHSales[[#This Row],[Product]],CLEANED_MotorPH_Products_List_2!$B:$B,0))</f>
        <v>Commuter</v>
      </c>
      <c r="L714" s="44" t="str">
        <f>INDEX(CLEANED_MotorPH_Products_List_2!E:E,MATCH(MotorPHSales[[#This Row],[Product]],CLEANED_MotorPH_Products_List_2!$B:$B,0))</f>
        <v>Single cylinder</v>
      </c>
      <c r="M714" s="44" t="str">
        <f>INDEX(CLEANED_MotorPH_Products_List_2!F:F,MATCH(MotorPHSales[[#This Row],[Product]],CLEANED_MotorPH_Products_List_2!$B:$B,0))</f>
        <v>air-cooled</v>
      </c>
      <c r="N714" s="44" t="str">
        <f>INDEX(CLEANED_MotorPH_Products_List_2!G:G,MATCH(MotorPHSales[[#This Row],[Product]],CLEANED_MotorPH_Products_List_2!$B:$B,0))</f>
        <v>125cc</v>
      </c>
      <c r="O714" s="44" t="str">
        <f>INDEX(CLEANED_MotorPH_Products_List_2!K:K,MATCH(MotorPHSales[[#This Row],[Product]],CLEANED_MotorPH_Products_List_2!B:B,0))</f>
        <v>Entry-level</v>
      </c>
      <c r="P714" s="45">
        <f>IF(MotorPHSales[[#This Row],[Segment]]="Entry-level",MotorPHSales[[#This Row],[UnitPrice]]/(1+30%),IF(MotorPHSales[[#This Row],[Segment]]="Mid-range",MotorPHSales[[#This Row],[UnitPrice]]/(1+35%),MotorPHSales[[#This Row],[UnitPrice]]/(1+40%)))*MotorPHSales[[#This Row],[Quantity]]</f>
        <v>2454846.1538461535</v>
      </c>
      <c r="Q714" s="44" t="str">
        <f>INDEX(CLEANED_MotorPH_Products_List_2!H:H,MATCH(MotorPHSales[[#This Row],[Product]],CLEANED_MotorPH_Products_List_2!$B:$B,0))</f>
        <v>4-speed</v>
      </c>
    </row>
    <row r="715" spans="1:17" ht="15.75" x14ac:dyDescent="0.3">
      <c r="A715" s="43">
        <v>45873</v>
      </c>
      <c r="B715" s="44" t="str">
        <f>TEXT(MotorPHSales[[#This Row],[Date]],"mmmm")</f>
        <v>August</v>
      </c>
      <c r="C715" s="44">
        <f>DAY(MotorPHSales[[#This Row],[Date]])</f>
        <v>4</v>
      </c>
      <c r="D715" s="44">
        <f>YEAR(MotorPHSales[[#This Row],[Date]])</f>
        <v>2025</v>
      </c>
      <c r="E715" s="44" t="s">
        <v>194</v>
      </c>
      <c r="F715" s="44" t="s">
        <v>42</v>
      </c>
      <c r="G715" s="45">
        <v>125000</v>
      </c>
      <c r="H715" s="44">
        <v>31</v>
      </c>
      <c r="I715" s="45">
        <v>3875000</v>
      </c>
      <c r="J715" s="44" t="s">
        <v>198</v>
      </c>
      <c r="K715" s="44" t="str">
        <f>INDEX(CLEANED_MotorPH_Products_List_2!C:C,MATCH(MotorPHSales[[#This Row],[Product]],CLEANED_MotorPH_Products_List_2!$B:$B,0))</f>
        <v>Naked bike</v>
      </c>
      <c r="L715" s="44" t="str">
        <f>INDEX(CLEANED_MotorPH_Products_List_2!E:E,MATCH(MotorPHSales[[#This Row],[Product]],CLEANED_MotorPH_Products_List_2!$B:$B,0))</f>
        <v>Single cylinder</v>
      </c>
      <c r="M715" s="44" t="str">
        <f>INDEX(CLEANED_MotorPH_Products_List_2!F:F,MATCH(MotorPHSales[[#This Row],[Product]],CLEANED_MotorPH_Products_List_2!$B:$B,0))</f>
        <v>liquid-cooled</v>
      </c>
      <c r="N715" s="44" t="str">
        <f>INDEX(CLEANED_MotorPH_Products_List_2!G:G,MATCH(MotorPHSales[[#This Row],[Product]],CLEANED_MotorPH_Products_List_2!$B:$B,0))</f>
        <v>147cc</v>
      </c>
      <c r="O715" s="44" t="str">
        <f>INDEX(CLEANED_MotorPH_Products_List_2!K:K,MATCH(MotorPHSales[[#This Row],[Product]],CLEANED_MotorPH_Products_List_2!B:B,0))</f>
        <v>Entry-level</v>
      </c>
      <c r="P715" s="45">
        <f>IF(MotorPHSales[[#This Row],[Segment]]="Entry-level",MotorPHSales[[#This Row],[UnitPrice]]/(1+30%),IF(MotorPHSales[[#This Row],[Segment]]="Mid-range",MotorPHSales[[#This Row],[UnitPrice]]/(1+35%),MotorPHSales[[#This Row],[UnitPrice]]/(1+40%)))*MotorPHSales[[#This Row],[Quantity]]</f>
        <v>2980769.230769231</v>
      </c>
      <c r="Q715" s="44" t="str">
        <f>INDEX(CLEANED_MotorPH_Products_List_2!H:H,MATCH(MotorPHSales[[#This Row],[Product]],CLEANED_MotorPH_Products_List_2!$B:$B,0))</f>
        <v>6-speed</v>
      </c>
    </row>
    <row r="716" spans="1:17" ht="15.75" x14ac:dyDescent="0.3">
      <c r="A716" s="43">
        <v>45826</v>
      </c>
      <c r="B716" s="44" t="str">
        <f>TEXT(MotorPHSales[[#This Row],[Date]],"mmmm")</f>
        <v>June</v>
      </c>
      <c r="C716" s="44">
        <f>DAY(MotorPHSales[[#This Row],[Date]])</f>
        <v>18</v>
      </c>
      <c r="D716" s="44">
        <f>YEAR(MotorPHSales[[#This Row],[Date]])</f>
        <v>2025</v>
      </c>
      <c r="E716" s="44" t="s">
        <v>196</v>
      </c>
      <c r="F716" s="44" t="s">
        <v>10</v>
      </c>
      <c r="G716" s="45">
        <v>340000</v>
      </c>
      <c r="H716" s="44">
        <v>5</v>
      </c>
      <c r="I716" s="45">
        <v>1700000</v>
      </c>
      <c r="J716" s="44" t="s">
        <v>198</v>
      </c>
      <c r="K716" s="44" t="str">
        <f>INDEX(CLEANED_MotorPH_Products_List_2!C:C,MATCH(MotorPHSales[[#This Row],[Product]],CLEANED_MotorPH_Products_List_2!$B:$B,0))</f>
        <v>Sport</v>
      </c>
      <c r="L716" s="44" t="str">
        <f>INDEX(CLEANED_MotorPH_Products_List_2!E:E,MATCH(MotorPHSales[[#This Row],[Product]],CLEANED_MotorPH_Products_List_2!$B:$B,0))</f>
        <v>Parallel-twin</v>
      </c>
      <c r="M716" s="44" t="str">
        <f>INDEX(CLEANED_MotorPH_Products_List_2!F:F,MATCH(MotorPHSales[[#This Row],[Product]],CLEANED_MotorPH_Products_List_2!$B:$B,0))</f>
        <v>liquid-cooled</v>
      </c>
      <c r="N716" s="44" t="str">
        <f>INDEX(CLEANED_MotorPH_Products_List_2!G:G,MATCH(MotorPHSales[[#This Row],[Product]],CLEANED_MotorPH_Products_List_2!$B:$B,0))</f>
        <v>399cc</v>
      </c>
      <c r="O716" s="44" t="str">
        <f>INDEX(CLEANED_MotorPH_Products_List_2!K:K,MATCH(MotorPHSales[[#This Row],[Product]],CLEANED_MotorPH_Products_List_2!B:B,0))</f>
        <v>Mid-range</v>
      </c>
      <c r="P716" s="45">
        <f>IF(MotorPHSales[[#This Row],[Segment]]="Entry-level",MotorPHSales[[#This Row],[UnitPrice]]/(1+30%),IF(MotorPHSales[[#This Row],[Segment]]="Mid-range",MotorPHSales[[#This Row],[UnitPrice]]/(1+35%),MotorPHSales[[#This Row],[UnitPrice]]/(1+40%)))*MotorPHSales[[#This Row],[Quantity]]</f>
        <v>1259259.2592592591</v>
      </c>
      <c r="Q716" s="44" t="str">
        <f>INDEX(CLEANED_MotorPH_Products_List_2!H:H,MATCH(MotorPHSales[[#This Row],[Product]],CLEANED_MotorPH_Products_List_2!$B:$B,0))</f>
        <v>6-speed</v>
      </c>
    </row>
    <row r="717" spans="1:17" ht="15.75" x14ac:dyDescent="0.3">
      <c r="A717" s="43">
        <v>45857</v>
      </c>
      <c r="B717" s="44" t="str">
        <f>TEXT(MotorPHSales[[#This Row],[Date]],"mmmm")</f>
        <v>July</v>
      </c>
      <c r="C717" s="44">
        <f>DAY(MotorPHSales[[#This Row],[Date]])</f>
        <v>19</v>
      </c>
      <c r="D717" s="44">
        <f>YEAR(MotorPHSales[[#This Row],[Date]])</f>
        <v>2025</v>
      </c>
      <c r="E717" s="44" t="s">
        <v>196</v>
      </c>
      <c r="F717" s="44" t="s">
        <v>30</v>
      </c>
      <c r="G717" s="45">
        <v>79900</v>
      </c>
      <c r="H717" s="44">
        <v>6</v>
      </c>
      <c r="I717" s="45">
        <v>479400</v>
      </c>
      <c r="J717" s="44" t="s">
        <v>198</v>
      </c>
      <c r="K717" s="44" t="str">
        <f>INDEX(CLEANED_MotorPH_Products_List_2!C:C,MATCH(MotorPHSales[[#This Row],[Product]],CLEANED_MotorPH_Products_List_2!$B:$B,0))</f>
        <v>Scooter</v>
      </c>
      <c r="L717" s="44" t="str">
        <f>INDEX(CLEANED_MotorPH_Products_List_2!E:E,MATCH(MotorPHSales[[#This Row],[Product]],CLEANED_MotorPH_Products_List_2!$B:$B,0))</f>
        <v>Single cylinder</v>
      </c>
      <c r="M717" s="44" t="str">
        <f>INDEX(CLEANED_MotorPH_Products_List_2!F:F,MATCH(MotorPHSales[[#This Row],[Product]],CLEANED_MotorPH_Products_List_2!$B:$B,0))</f>
        <v>air-cooled</v>
      </c>
      <c r="N717" s="44" t="str">
        <f>INDEX(CLEANED_MotorPH_Products_List_2!G:G,MATCH(MotorPHSales[[#This Row],[Product]],CLEANED_MotorPH_Products_List_2!$B:$B,0))</f>
        <v>124cc</v>
      </c>
      <c r="O717" s="44" t="str">
        <f>INDEX(CLEANED_MotorPH_Products_List_2!K:K,MATCH(MotorPHSales[[#This Row],[Product]],CLEANED_MotorPH_Products_List_2!B:B,0))</f>
        <v>Entry-level</v>
      </c>
      <c r="P717" s="45">
        <f>IF(MotorPHSales[[#This Row],[Segment]]="Entry-level",MotorPHSales[[#This Row],[UnitPrice]]/(1+30%),IF(MotorPHSales[[#This Row],[Segment]]="Mid-range",MotorPHSales[[#This Row],[UnitPrice]]/(1+35%),MotorPHSales[[#This Row],[UnitPrice]]/(1+40%)))*MotorPHSales[[#This Row],[Quantity]]</f>
        <v>368769.23076923075</v>
      </c>
      <c r="Q717" s="44" t="str">
        <f>INDEX(CLEANED_MotorPH_Products_List_2!H:H,MATCH(MotorPHSales[[#This Row],[Product]],CLEANED_MotorPH_Products_List_2!$B:$B,0))</f>
        <v>CVT</v>
      </c>
    </row>
    <row r="718" spans="1:17" ht="15.75" x14ac:dyDescent="0.3">
      <c r="A718" s="43">
        <v>45819</v>
      </c>
      <c r="B718" s="44" t="str">
        <f>TEXT(MotorPHSales[[#This Row],[Date]],"mmmm")</f>
        <v>June</v>
      </c>
      <c r="C718" s="44">
        <f>DAY(MotorPHSales[[#This Row],[Date]])</f>
        <v>11</v>
      </c>
      <c r="D718" s="44">
        <f>YEAR(MotorPHSales[[#This Row],[Date]])</f>
        <v>2025</v>
      </c>
      <c r="E718" s="44" t="s">
        <v>194</v>
      </c>
      <c r="F718" s="44" t="s">
        <v>47</v>
      </c>
      <c r="G718" s="45">
        <v>398000</v>
      </c>
      <c r="H718" s="44">
        <v>7</v>
      </c>
      <c r="I718" s="45">
        <v>2786000</v>
      </c>
      <c r="J718" s="44" t="s">
        <v>197</v>
      </c>
      <c r="K718" s="44" t="str">
        <f>INDEX(CLEANED_MotorPH_Products_List_2!C:C,MATCH(MotorPHSales[[#This Row],[Product]],CLEANED_MotorPH_Products_List_2!$B:$B,0))</f>
        <v>Cruiser</v>
      </c>
      <c r="L718" s="44" t="str">
        <f>INDEX(CLEANED_MotorPH_Products_List_2!E:E,MATCH(MotorPHSales[[#This Row],[Product]],CLEANED_MotorPH_Products_List_2!$B:$B,0))</f>
        <v>Parallel-twin</v>
      </c>
      <c r="M718" s="44" t="str">
        <f>INDEX(CLEANED_MotorPH_Products_List_2!F:F,MATCH(MotorPHSales[[#This Row],[Product]],CLEANED_MotorPH_Products_List_2!$B:$B,0))</f>
        <v>liquid-cooled</v>
      </c>
      <c r="N718" s="44" t="str">
        <f>INDEX(CLEANED_MotorPH_Products_List_2!G:G,MATCH(MotorPHSales[[#This Row],[Product]],CLEANED_MotorPH_Products_List_2!$B:$B,0))</f>
        <v>649cc</v>
      </c>
      <c r="O718" s="44" t="str">
        <f>INDEX(CLEANED_MotorPH_Products_List_2!K:K,MATCH(MotorPHSales[[#This Row],[Product]],CLEANED_MotorPH_Products_List_2!B:B,0))</f>
        <v>Premium</v>
      </c>
      <c r="P718" s="45">
        <f>IF(MotorPHSales[[#This Row],[Segment]]="Entry-level",MotorPHSales[[#This Row],[UnitPrice]]/(1+30%),IF(MotorPHSales[[#This Row],[Segment]]="Mid-range",MotorPHSales[[#This Row],[UnitPrice]]/(1+35%),MotorPHSales[[#This Row],[UnitPrice]]/(1+40%)))*MotorPHSales[[#This Row],[Quantity]]</f>
        <v>1990000.0000000002</v>
      </c>
      <c r="Q718" s="44" t="str">
        <f>INDEX(CLEANED_MotorPH_Products_List_2!H:H,MATCH(MotorPHSales[[#This Row],[Product]],CLEANED_MotorPH_Products_List_2!$B:$B,0))</f>
        <v>6-speed</v>
      </c>
    </row>
    <row r="719" spans="1:17" ht="15.75" x14ac:dyDescent="0.3">
      <c r="A719" s="43">
        <v>45893</v>
      </c>
      <c r="B719" s="44" t="str">
        <f>TEXT(MotorPHSales[[#This Row],[Date]],"mmmm")</f>
        <v>August</v>
      </c>
      <c r="C719" s="44">
        <f>DAY(MotorPHSales[[#This Row],[Date]])</f>
        <v>24</v>
      </c>
      <c r="D719" s="44">
        <f>YEAR(MotorPHSales[[#This Row],[Date]])</f>
        <v>2025</v>
      </c>
      <c r="E719" s="44" t="s">
        <v>196</v>
      </c>
      <c r="F719" s="44" t="s">
        <v>18</v>
      </c>
      <c r="G719" s="45">
        <v>328000</v>
      </c>
      <c r="H719" s="44">
        <v>8</v>
      </c>
      <c r="I719" s="45">
        <v>2624000</v>
      </c>
      <c r="J719" s="44" t="s">
        <v>198</v>
      </c>
      <c r="K719" s="44" t="str">
        <f>INDEX(CLEANED_MotorPH_Products_List_2!C:C,MATCH(MotorPHSales[[#This Row],[Product]],CLEANED_MotorPH_Products_List_2!$B:$B,0))</f>
        <v>Cafe racer</v>
      </c>
      <c r="L719" s="44" t="str">
        <f>INDEX(CLEANED_MotorPH_Products_List_2!E:E,MATCH(MotorPHSales[[#This Row],[Product]],CLEANED_MotorPH_Products_List_2!$B:$B,0))</f>
        <v>Twin cylinder</v>
      </c>
      <c r="M719" s="44" t="str">
        <f>INDEX(CLEANED_MotorPH_Products_List_2!F:F,MATCH(MotorPHSales[[#This Row],[Product]],CLEANED_MotorPH_Products_List_2!$B:$B,0))</f>
        <v>air-cooled</v>
      </c>
      <c r="N719" s="44" t="str">
        <f>INDEX(CLEANED_MotorPH_Products_List_2!G:G,MATCH(MotorPHSales[[#This Row],[Product]],CLEANED_MotorPH_Products_List_2!$B:$B,0))</f>
        <v>471cc</v>
      </c>
      <c r="O719" s="44" t="str">
        <f>INDEX(CLEANED_MotorPH_Products_List_2!K:K,MATCH(MotorPHSales[[#This Row],[Product]],CLEANED_MotorPH_Products_List_2!B:B,0))</f>
        <v>Mid-range</v>
      </c>
      <c r="P719" s="45">
        <f>IF(MotorPHSales[[#This Row],[Segment]]="Entry-level",MotorPHSales[[#This Row],[UnitPrice]]/(1+30%),IF(MotorPHSales[[#This Row],[Segment]]="Mid-range",MotorPHSales[[#This Row],[UnitPrice]]/(1+35%),MotorPHSales[[#This Row],[UnitPrice]]/(1+40%)))*MotorPHSales[[#This Row],[Quantity]]</f>
        <v>1943703.7037037036</v>
      </c>
      <c r="Q719" s="44" t="str">
        <f>INDEX(CLEANED_MotorPH_Products_List_2!H:H,MATCH(MotorPHSales[[#This Row],[Product]],CLEANED_MotorPH_Products_List_2!$B:$B,0))</f>
        <v>6-speed</v>
      </c>
    </row>
    <row r="720" spans="1:17" ht="15.75" x14ac:dyDescent="0.3">
      <c r="A720" s="43">
        <v>45834</v>
      </c>
      <c r="B720" s="44" t="str">
        <f>TEXT(MotorPHSales[[#This Row],[Date]],"mmmm")</f>
        <v>June</v>
      </c>
      <c r="C720" s="44">
        <f>DAY(MotorPHSales[[#This Row],[Date]])</f>
        <v>26</v>
      </c>
      <c r="D720" s="44">
        <f>YEAR(MotorPHSales[[#This Row],[Date]])</f>
        <v>2025</v>
      </c>
      <c r="E720" s="44" t="s">
        <v>196</v>
      </c>
      <c r="F720" s="44" t="s">
        <v>68</v>
      </c>
      <c r="G720" s="45">
        <v>248000</v>
      </c>
      <c r="H720" s="44">
        <v>6</v>
      </c>
      <c r="I720" s="45">
        <v>1488000</v>
      </c>
      <c r="J720" s="44" t="s">
        <v>197</v>
      </c>
      <c r="K720" s="44" t="str">
        <f>INDEX(CLEANED_MotorPH_Products_List_2!C:C,MATCH(MotorPHSales[[#This Row],[Product]],CLEANED_MotorPH_Products_List_2!$B:$B,0))</f>
        <v>Adventure</v>
      </c>
      <c r="L720" s="44" t="str">
        <f>INDEX(CLEANED_MotorPH_Products_List_2!E:E,MATCH(MotorPHSales[[#This Row],[Product]],CLEANED_MotorPH_Products_List_2!$B:$B,0))</f>
        <v>Single cylinder</v>
      </c>
      <c r="M720" s="44" t="str">
        <f>INDEX(CLEANED_MotorPH_Products_List_2!F:F,MATCH(MotorPHSales[[#This Row],[Product]],CLEANED_MotorPH_Products_List_2!$B:$B,0))</f>
        <v>liquid-cooled</v>
      </c>
      <c r="N720" s="44" t="str">
        <f>INDEX(CLEANED_MotorPH_Products_List_2!G:G,MATCH(MotorPHSales[[#This Row],[Product]],CLEANED_MotorPH_Products_List_2!$B:$B,0))</f>
        <v>312cc</v>
      </c>
      <c r="O720" s="44" t="str">
        <f>INDEX(CLEANED_MotorPH_Products_List_2!K:K,MATCH(MotorPHSales[[#This Row],[Product]],CLEANED_MotorPH_Products_List_2!B:B,0))</f>
        <v>Mid-range</v>
      </c>
      <c r="P720" s="45">
        <f>IF(MotorPHSales[[#This Row],[Segment]]="Entry-level",MotorPHSales[[#This Row],[UnitPrice]]/(1+30%),IF(MotorPHSales[[#This Row],[Segment]]="Mid-range",MotorPHSales[[#This Row],[UnitPrice]]/(1+35%),MotorPHSales[[#This Row],[UnitPrice]]/(1+40%)))*MotorPHSales[[#This Row],[Quantity]]</f>
        <v>1102222.222222222</v>
      </c>
      <c r="Q720" s="44" t="str">
        <f>INDEX(CLEANED_MotorPH_Products_List_2!H:H,MATCH(MotorPHSales[[#This Row],[Product]],CLEANED_MotorPH_Products_List_2!$B:$B,0))</f>
        <v>6-speed</v>
      </c>
    </row>
    <row r="721" spans="1:17" ht="15.75" x14ac:dyDescent="0.3">
      <c r="A721" s="43">
        <v>45871</v>
      </c>
      <c r="B721" s="44" t="str">
        <f>TEXT(MotorPHSales[[#This Row],[Date]],"mmmm")</f>
        <v>August</v>
      </c>
      <c r="C721" s="44">
        <f>DAY(MotorPHSales[[#This Row],[Date]])</f>
        <v>2</v>
      </c>
      <c r="D721" s="44">
        <f>YEAR(MotorPHSales[[#This Row],[Date]])</f>
        <v>2025</v>
      </c>
      <c r="E721" s="44" t="s">
        <v>196</v>
      </c>
      <c r="F721" s="44" t="s">
        <v>30</v>
      </c>
      <c r="G721" s="45">
        <v>79900</v>
      </c>
      <c r="H721" s="44">
        <v>1</v>
      </c>
      <c r="I721" s="45">
        <v>79900</v>
      </c>
      <c r="J721" s="44" t="s">
        <v>195</v>
      </c>
      <c r="K721" s="44" t="str">
        <f>INDEX(CLEANED_MotorPH_Products_List_2!C:C,MATCH(MotorPHSales[[#This Row],[Product]],CLEANED_MotorPH_Products_List_2!$B:$B,0))</f>
        <v>Scooter</v>
      </c>
      <c r="L721" s="44" t="str">
        <f>INDEX(CLEANED_MotorPH_Products_List_2!E:E,MATCH(MotorPHSales[[#This Row],[Product]],CLEANED_MotorPH_Products_List_2!$B:$B,0))</f>
        <v>Single cylinder</v>
      </c>
      <c r="M721" s="44" t="str">
        <f>INDEX(CLEANED_MotorPH_Products_List_2!F:F,MATCH(MotorPHSales[[#This Row],[Product]],CLEANED_MotorPH_Products_List_2!$B:$B,0))</f>
        <v>air-cooled</v>
      </c>
      <c r="N721" s="44" t="str">
        <f>INDEX(CLEANED_MotorPH_Products_List_2!G:G,MATCH(MotorPHSales[[#This Row],[Product]],CLEANED_MotorPH_Products_List_2!$B:$B,0))</f>
        <v>124cc</v>
      </c>
      <c r="O721" s="44" t="str">
        <f>INDEX(CLEANED_MotorPH_Products_List_2!K:K,MATCH(MotorPHSales[[#This Row],[Product]],CLEANED_MotorPH_Products_List_2!B:B,0))</f>
        <v>Entry-level</v>
      </c>
      <c r="P721" s="45">
        <f>IF(MotorPHSales[[#This Row],[Segment]]="Entry-level",MotorPHSales[[#This Row],[UnitPrice]]/(1+30%),IF(MotorPHSales[[#This Row],[Segment]]="Mid-range",MotorPHSales[[#This Row],[UnitPrice]]/(1+35%),MotorPHSales[[#This Row],[UnitPrice]]/(1+40%)))*MotorPHSales[[#This Row],[Quantity]]</f>
        <v>61461.538461538461</v>
      </c>
      <c r="Q721" s="44" t="str">
        <f>INDEX(CLEANED_MotorPH_Products_List_2!H:H,MATCH(MotorPHSales[[#This Row],[Product]],CLEANED_MotorPH_Products_List_2!$B:$B,0))</f>
        <v>CVT</v>
      </c>
    </row>
    <row r="722" spans="1:17" ht="15.75" x14ac:dyDescent="0.3">
      <c r="A722" s="43">
        <v>45897</v>
      </c>
      <c r="B722" s="44" t="str">
        <f>TEXT(MotorPHSales[[#This Row],[Date]],"mmmm")</f>
        <v>August</v>
      </c>
      <c r="C722" s="44">
        <f>DAY(MotorPHSales[[#This Row],[Date]])</f>
        <v>28</v>
      </c>
      <c r="D722" s="44">
        <f>YEAR(MotorPHSales[[#This Row],[Date]])</f>
        <v>2025</v>
      </c>
      <c r="E722" s="44" t="s">
        <v>196</v>
      </c>
      <c r="F722" s="44" t="s">
        <v>14</v>
      </c>
      <c r="G722" s="45">
        <v>250000</v>
      </c>
      <c r="H722" s="44">
        <v>6</v>
      </c>
      <c r="I722" s="45">
        <v>1500000</v>
      </c>
      <c r="J722" s="44" t="s">
        <v>198</v>
      </c>
      <c r="K722" s="44" t="str">
        <f>INDEX(CLEANED_MotorPH_Products_List_2!C:C,MATCH(MotorPHSales[[#This Row],[Product]],CLEANED_MotorPH_Products_List_2!$B:$B,0))</f>
        <v>Classic</v>
      </c>
      <c r="L722" s="44" t="str">
        <f>INDEX(CLEANED_MotorPH_Products_List_2!E:E,MATCH(MotorPHSales[[#This Row],[Product]],CLEANED_MotorPH_Products_List_2!$B:$B,0))</f>
        <v>Single cylinder</v>
      </c>
      <c r="M722" s="44" t="str">
        <f>INDEX(CLEANED_MotorPH_Products_List_2!F:F,MATCH(MotorPHSales[[#This Row],[Product]],CLEANED_MotorPH_Products_List_2!$B:$B,0))</f>
        <v>air-cooled</v>
      </c>
      <c r="N722" s="44" t="str">
        <f>INDEX(CLEANED_MotorPH_Products_List_2!G:G,MATCH(MotorPHSales[[#This Row],[Product]],CLEANED_MotorPH_Products_List_2!$B:$B,0))</f>
        <v>349cc</v>
      </c>
      <c r="O722" s="44" t="str">
        <f>INDEX(CLEANED_MotorPH_Products_List_2!K:K,MATCH(MotorPHSales[[#This Row],[Product]],CLEANED_MotorPH_Products_List_2!B:B,0))</f>
        <v>Mid-range</v>
      </c>
      <c r="P722" s="45">
        <f>IF(MotorPHSales[[#This Row],[Segment]]="Entry-level",MotorPHSales[[#This Row],[UnitPrice]]/(1+30%),IF(MotorPHSales[[#This Row],[Segment]]="Mid-range",MotorPHSales[[#This Row],[UnitPrice]]/(1+35%),MotorPHSales[[#This Row],[UnitPrice]]/(1+40%)))*MotorPHSales[[#This Row],[Quantity]]</f>
        <v>1111111.111111111</v>
      </c>
      <c r="Q722" s="44" t="str">
        <f>INDEX(CLEANED_MotorPH_Products_List_2!H:H,MATCH(MotorPHSales[[#This Row],[Product]],CLEANED_MotorPH_Products_List_2!$B:$B,0))</f>
        <v>5-speed</v>
      </c>
    </row>
    <row r="723" spans="1:17" ht="15.75" x14ac:dyDescent="0.3">
      <c r="A723" s="43">
        <v>45894</v>
      </c>
      <c r="B723" s="44" t="str">
        <f>TEXT(MotorPHSales[[#This Row],[Date]],"mmmm")</f>
        <v>August</v>
      </c>
      <c r="C723" s="44">
        <f>DAY(MotorPHSales[[#This Row],[Date]])</f>
        <v>25</v>
      </c>
      <c r="D723" s="44">
        <f>YEAR(MotorPHSales[[#This Row],[Date]])</f>
        <v>2025</v>
      </c>
      <c r="E723" s="44" t="s">
        <v>196</v>
      </c>
      <c r="F723" s="44" t="s">
        <v>61</v>
      </c>
      <c r="G723" s="45">
        <v>284900</v>
      </c>
      <c r="H723" s="44">
        <v>23</v>
      </c>
      <c r="I723" s="45">
        <v>6552700</v>
      </c>
      <c r="J723" s="44" t="s">
        <v>197</v>
      </c>
      <c r="K723" s="44" t="str">
        <f>INDEX(CLEANED_MotorPH_Products_List_2!C:C,MATCH(MotorPHSales[[#This Row],[Product]],CLEANED_MotorPH_Products_List_2!$B:$B,0))</f>
        <v>Dual-sport</v>
      </c>
      <c r="L723" s="44" t="str">
        <f>INDEX(CLEANED_MotorPH_Products_List_2!E:E,MATCH(MotorPHSales[[#This Row],[Product]],CLEANED_MotorPH_Products_List_2!$B:$B,0))</f>
        <v>Single cylinder</v>
      </c>
      <c r="M723" s="44" t="str">
        <f>INDEX(CLEANED_MotorPH_Products_List_2!F:F,MATCH(MotorPHSales[[#This Row],[Product]],CLEANED_MotorPH_Products_List_2!$B:$B,0))</f>
        <v>liquid-cooled</v>
      </c>
      <c r="N723" s="44" t="str">
        <f>INDEX(CLEANED_MotorPH_Products_List_2!G:G,MATCH(MotorPHSales[[#This Row],[Product]],CLEANED_MotorPH_Products_List_2!$B:$B,0))</f>
        <v>286cc</v>
      </c>
      <c r="O723" s="44" t="str">
        <f>INDEX(CLEANED_MotorPH_Products_List_2!K:K,MATCH(MotorPHSales[[#This Row],[Product]],CLEANED_MotorPH_Products_List_2!B:B,0))</f>
        <v>Mid-range</v>
      </c>
      <c r="P723" s="45">
        <f>IF(MotorPHSales[[#This Row],[Segment]]="Entry-level",MotorPHSales[[#This Row],[UnitPrice]]/(1+30%),IF(MotorPHSales[[#This Row],[Segment]]="Mid-range",MotorPHSales[[#This Row],[UnitPrice]]/(1+35%),MotorPHSales[[#This Row],[UnitPrice]]/(1+40%)))*MotorPHSales[[#This Row],[Quantity]]</f>
        <v>4853851.8518518517</v>
      </c>
      <c r="Q723" s="44" t="str">
        <f>INDEX(CLEANED_MotorPH_Products_List_2!H:H,MATCH(MotorPHSales[[#This Row],[Product]],CLEANED_MotorPH_Products_List_2!$B:$B,0))</f>
        <v>6-speed</v>
      </c>
    </row>
    <row r="724" spans="1:17" ht="15.75" x14ac:dyDescent="0.3">
      <c r="A724" s="43">
        <v>45867</v>
      </c>
      <c r="B724" s="44" t="str">
        <f>TEXT(MotorPHSales[[#This Row],[Date]],"mmmm")</f>
        <v>July</v>
      </c>
      <c r="C724" s="44">
        <f>DAY(MotorPHSales[[#This Row],[Date]])</f>
        <v>29</v>
      </c>
      <c r="D724" s="44">
        <f>YEAR(MotorPHSales[[#This Row],[Date]])</f>
        <v>2025</v>
      </c>
      <c r="E724" s="44" t="s">
        <v>194</v>
      </c>
      <c r="F724" s="44" t="s">
        <v>40</v>
      </c>
      <c r="G724" s="45">
        <v>210000</v>
      </c>
      <c r="H724" s="44">
        <v>10</v>
      </c>
      <c r="I724" s="45">
        <v>2100000</v>
      </c>
      <c r="J724" s="44" t="s">
        <v>197</v>
      </c>
      <c r="K724" s="44" t="str">
        <f>INDEX(CLEANED_MotorPH_Products_List_2!C:C,MATCH(MotorPHSales[[#This Row],[Product]],CLEANED_MotorPH_Products_List_2!$B:$B,0))</f>
        <v>Scooter</v>
      </c>
      <c r="L724" s="44" t="str">
        <f>INDEX(CLEANED_MotorPH_Products_List_2!E:E,MATCH(MotorPHSales[[#This Row],[Product]],CLEANED_MotorPH_Products_List_2!$B:$B,0))</f>
        <v>Single cylinder</v>
      </c>
      <c r="M724" s="44" t="str">
        <f>INDEX(CLEANED_MotorPH_Products_List_2!F:F,MATCH(MotorPHSales[[#This Row],[Product]],CLEANED_MotorPH_Products_List_2!$B:$B,0))</f>
        <v>air-cooled</v>
      </c>
      <c r="N724" s="44" t="str">
        <f>INDEX(CLEANED_MotorPH_Products_List_2!G:G,MATCH(MotorPHSales[[#This Row],[Product]],CLEANED_MotorPH_Products_List_2!$B:$B,0))</f>
        <v>150cc</v>
      </c>
      <c r="O724" s="44" t="str">
        <f>INDEX(CLEANED_MotorPH_Products_List_2!K:K,MATCH(MotorPHSales[[#This Row],[Product]],CLEANED_MotorPH_Products_List_2!B:B,0))</f>
        <v>Entry-level</v>
      </c>
      <c r="P724" s="45">
        <f>IF(MotorPHSales[[#This Row],[Segment]]="Entry-level",MotorPHSales[[#This Row],[UnitPrice]]/(1+30%),IF(MotorPHSales[[#This Row],[Segment]]="Mid-range",MotorPHSales[[#This Row],[UnitPrice]]/(1+35%),MotorPHSales[[#This Row],[UnitPrice]]/(1+40%)))*MotorPHSales[[#This Row],[Quantity]]</f>
        <v>1615384.6153846153</v>
      </c>
      <c r="Q724" s="44" t="str">
        <f>INDEX(CLEANED_MotorPH_Products_List_2!H:H,MATCH(MotorPHSales[[#This Row],[Product]],CLEANED_MotorPH_Products_List_2!$B:$B,0))</f>
        <v>CVT</v>
      </c>
    </row>
    <row r="725" spans="1:17" ht="15.75" x14ac:dyDescent="0.3">
      <c r="A725" s="43">
        <v>45835</v>
      </c>
      <c r="B725" s="44" t="str">
        <f>TEXT(MotorPHSales[[#This Row],[Date]],"mmmm")</f>
        <v>June</v>
      </c>
      <c r="C725" s="44">
        <f>DAY(MotorPHSales[[#This Row],[Date]])</f>
        <v>27</v>
      </c>
      <c r="D725" s="44">
        <f>YEAR(MotorPHSales[[#This Row],[Date]])</f>
        <v>2025</v>
      </c>
      <c r="E725" s="44" t="s">
        <v>194</v>
      </c>
      <c r="F725" s="44" t="s">
        <v>101</v>
      </c>
      <c r="G725" s="45">
        <v>72900</v>
      </c>
      <c r="H725" s="44">
        <v>8</v>
      </c>
      <c r="I725" s="45">
        <v>583200</v>
      </c>
      <c r="J725" s="44" t="s">
        <v>197</v>
      </c>
      <c r="K725" s="44" t="str">
        <f>INDEX(CLEANED_MotorPH_Products_List_2!C:C,MATCH(MotorPHSales[[#This Row],[Product]],CLEANED_MotorPH_Products_List_2!$B:$B,0))</f>
        <v>Underbone</v>
      </c>
      <c r="L725" s="44" t="str">
        <f>INDEX(CLEANED_MotorPH_Products_List_2!E:E,MATCH(MotorPHSales[[#This Row],[Product]],CLEANED_MotorPH_Products_List_2!$B:$B,0))</f>
        <v>Single cylinder</v>
      </c>
      <c r="M725" s="44" t="str">
        <f>INDEX(CLEANED_MotorPH_Products_List_2!F:F,MATCH(MotorPHSales[[#This Row],[Product]],CLEANED_MotorPH_Products_List_2!$B:$B,0))</f>
        <v>air-cooled</v>
      </c>
      <c r="N725" s="44" t="str">
        <f>INDEX(CLEANED_MotorPH_Products_List_2!G:G,MATCH(MotorPHSales[[#This Row],[Product]],CLEANED_MotorPH_Products_List_2!$B:$B,0))</f>
        <v>150cc</v>
      </c>
      <c r="O725" s="44" t="str">
        <f>INDEX(CLEANED_MotorPH_Products_List_2!K:K,MATCH(MotorPHSales[[#This Row],[Product]],CLEANED_MotorPH_Products_List_2!B:B,0))</f>
        <v>Entry-level</v>
      </c>
      <c r="P725" s="45">
        <f>IF(MotorPHSales[[#This Row],[Segment]]="Entry-level",MotorPHSales[[#This Row],[UnitPrice]]/(1+30%),IF(MotorPHSales[[#This Row],[Segment]]="Mid-range",MotorPHSales[[#This Row],[UnitPrice]]/(1+35%),MotorPHSales[[#This Row],[UnitPrice]]/(1+40%)))*MotorPHSales[[#This Row],[Quantity]]</f>
        <v>448615.38461538462</v>
      </c>
      <c r="Q725" s="44" t="str">
        <f>INDEX(CLEANED_MotorPH_Products_List_2!H:H,MATCH(MotorPHSales[[#This Row],[Product]],CLEANED_MotorPH_Products_List_2!$B:$B,0))</f>
        <v>CVT</v>
      </c>
    </row>
    <row r="726" spans="1:17" ht="15.75" x14ac:dyDescent="0.3">
      <c r="A726" s="43">
        <v>45857</v>
      </c>
      <c r="B726" s="44" t="str">
        <f>TEXT(MotorPHSales[[#This Row],[Date]],"mmmm")</f>
        <v>July</v>
      </c>
      <c r="C726" s="44">
        <f>DAY(MotorPHSales[[#This Row],[Date]])</f>
        <v>19</v>
      </c>
      <c r="D726" s="44">
        <f>YEAR(MotorPHSales[[#This Row],[Date]])</f>
        <v>2025</v>
      </c>
      <c r="E726" s="44" t="s">
        <v>194</v>
      </c>
      <c r="F726" s="44" t="s">
        <v>8</v>
      </c>
      <c r="G726" s="45">
        <v>178000</v>
      </c>
      <c r="H726" s="44">
        <v>29</v>
      </c>
      <c r="I726" s="45">
        <v>5162000</v>
      </c>
      <c r="J726" s="44" t="s">
        <v>195</v>
      </c>
      <c r="K726" s="44" t="str">
        <f>INDEX(CLEANED_MotorPH_Products_List_2!C:C,MATCH(MotorPHSales[[#This Row],[Product]],CLEANED_MotorPH_Products_List_2!$B:$B,0))</f>
        <v>Naked bike</v>
      </c>
      <c r="L726" s="44" t="str">
        <f>INDEX(CLEANED_MotorPH_Products_List_2!E:E,MATCH(MotorPHSales[[#This Row],[Product]],CLEANED_MotorPH_Products_List_2!$B:$B,0))</f>
        <v>Single cylinder</v>
      </c>
      <c r="M726" s="44" t="str">
        <f>INDEX(CLEANED_MotorPH_Products_List_2!F:F,MATCH(MotorPHSales[[#This Row],[Product]],CLEANED_MotorPH_Products_List_2!$B:$B,0))</f>
        <v>liquid-cooled</v>
      </c>
      <c r="N726" s="44" t="str">
        <f>INDEX(CLEANED_MotorPH_Products_List_2!G:G,MATCH(MotorPHSales[[#This Row],[Product]],CLEANED_MotorPH_Products_List_2!$B:$B,0))</f>
        <v>155cc</v>
      </c>
      <c r="O726" s="44" t="str">
        <f>INDEX(CLEANED_MotorPH_Products_List_2!K:K,MATCH(MotorPHSales[[#This Row],[Product]],CLEANED_MotorPH_Products_List_2!B:B,0))</f>
        <v>Entry-level</v>
      </c>
      <c r="P726" s="45">
        <f>IF(MotorPHSales[[#This Row],[Segment]]="Entry-level",MotorPHSales[[#This Row],[UnitPrice]]/(1+30%),IF(MotorPHSales[[#This Row],[Segment]]="Mid-range",MotorPHSales[[#This Row],[UnitPrice]]/(1+35%),MotorPHSales[[#This Row],[UnitPrice]]/(1+40%)))*MotorPHSales[[#This Row],[Quantity]]</f>
        <v>3970769.2307692305</v>
      </c>
      <c r="Q726" s="44" t="str">
        <f>INDEX(CLEANED_MotorPH_Products_List_2!H:H,MATCH(MotorPHSales[[#This Row],[Product]],CLEANED_MotorPH_Products_List_2!$B:$B,0))</f>
        <v>6-speed</v>
      </c>
    </row>
    <row r="727" spans="1:17" ht="15.75" x14ac:dyDescent="0.3">
      <c r="A727" s="43">
        <v>45885</v>
      </c>
      <c r="B727" s="44" t="str">
        <f>TEXT(MotorPHSales[[#This Row],[Date]],"mmmm")</f>
        <v>August</v>
      </c>
      <c r="C727" s="44">
        <f>DAY(MotorPHSales[[#This Row],[Date]])</f>
        <v>16</v>
      </c>
      <c r="D727" s="44">
        <f>YEAR(MotorPHSales[[#This Row],[Date]])</f>
        <v>2025</v>
      </c>
      <c r="E727" s="44" t="s">
        <v>196</v>
      </c>
      <c r="F727" s="44" t="s">
        <v>90</v>
      </c>
      <c r="G727" s="45">
        <v>165000</v>
      </c>
      <c r="H727" s="44">
        <v>16</v>
      </c>
      <c r="I727" s="45">
        <v>2640000</v>
      </c>
      <c r="J727" s="44" t="s">
        <v>197</v>
      </c>
      <c r="K727" s="44" t="str">
        <f>INDEX(CLEANED_MotorPH_Products_List_2!C:C,MATCH(MotorPHSales[[#This Row],[Product]],CLEANED_MotorPH_Products_List_2!$B:$B,0))</f>
        <v>Sport</v>
      </c>
      <c r="L727" s="44" t="str">
        <f>INDEX(CLEANED_MotorPH_Products_List_2!E:E,MATCH(MotorPHSales[[#This Row],[Product]],CLEANED_MotorPH_Products_List_2!$B:$B,0))</f>
        <v>Single cylinder</v>
      </c>
      <c r="M727" s="44" t="str">
        <f>INDEX(CLEANED_MotorPH_Products_List_2!F:F,MATCH(MotorPHSales[[#This Row],[Product]],CLEANED_MotorPH_Products_List_2!$B:$B,0))</f>
        <v>liquid-cooled</v>
      </c>
      <c r="N727" s="44" t="str">
        <f>INDEX(CLEANED_MotorPH_Products_List_2!G:G,MATCH(MotorPHSales[[#This Row],[Product]],CLEANED_MotorPH_Products_List_2!$B:$B,0))</f>
        <v>292cc</v>
      </c>
      <c r="O727" s="44" t="str">
        <f>INDEX(CLEANED_MotorPH_Products_List_2!K:K,MATCH(MotorPHSales[[#This Row],[Product]],CLEANED_MotorPH_Products_List_2!B:B,0))</f>
        <v>Mid-range</v>
      </c>
      <c r="P727" s="45">
        <f>IF(MotorPHSales[[#This Row],[Segment]]="Entry-level",MotorPHSales[[#This Row],[UnitPrice]]/(1+30%),IF(MotorPHSales[[#This Row],[Segment]]="Mid-range",MotorPHSales[[#This Row],[UnitPrice]]/(1+35%),MotorPHSales[[#This Row],[UnitPrice]]/(1+40%)))*MotorPHSales[[#This Row],[Quantity]]</f>
        <v>1955555.5555555555</v>
      </c>
      <c r="Q727" s="44" t="str">
        <f>INDEX(CLEANED_MotorPH_Products_List_2!H:H,MATCH(MotorPHSales[[#This Row],[Product]],CLEANED_MotorPH_Products_List_2!$B:$B,0))</f>
        <v>6-speed</v>
      </c>
    </row>
    <row r="728" spans="1:17" ht="15.75" x14ac:dyDescent="0.3">
      <c r="A728" s="43">
        <v>45841</v>
      </c>
      <c r="B728" s="44" t="str">
        <f>TEXT(MotorPHSales[[#This Row],[Date]],"mmmm")</f>
        <v>July</v>
      </c>
      <c r="C728" s="44">
        <f>DAY(MotorPHSales[[#This Row],[Date]])</f>
        <v>3</v>
      </c>
      <c r="D728" s="44">
        <f>YEAR(MotorPHSales[[#This Row],[Date]])</f>
        <v>2025</v>
      </c>
      <c r="E728" s="44" t="s">
        <v>194</v>
      </c>
      <c r="F728" s="44" t="s">
        <v>72</v>
      </c>
      <c r="G728" s="45">
        <v>319000</v>
      </c>
      <c r="H728" s="44">
        <v>19</v>
      </c>
      <c r="I728" s="45">
        <v>6061000</v>
      </c>
      <c r="J728" s="44" t="s">
        <v>195</v>
      </c>
      <c r="K728" s="44" t="str">
        <f>INDEX(CLEANED_MotorPH_Products_List_2!C:C,MATCH(MotorPHSales[[#This Row],[Product]],CLEANED_MotorPH_Products_List_2!$B:$B,0))</f>
        <v>Scooter</v>
      </c>
      <c r="L728" s="44" t="str">
        <f>INDEX(CLEANED_MotorPH_Products_List_2!E:E,MATCH(MotorPHSales[[#This Row],[Product]],CLEANED_MotorPH_Products_List_2!$B:$B,0))</f>
        <v>Single cylinder</v>
      </c>
      <c r="M728" s="44" t="str">
        <f>INDEX(CLEANED_MotorPH_Products_List_2!F:F,MATCH(MotorPHSales[[#This Row],[Product]],CLEANED_MotorPH_Products_List_2!$B:$B,0))</f>
        <v>liquid-cooled</v>
      </c>
      <c r="N728" s="44" t="str">
        <f>INDEX(CLEANED_MotorPH_Products_List_2!G:G,MATCH(MotorPHSales[[#This Row],[Product]],CLEANED_MotorPH_Products_List_2!$B:$B,0))</f>
        <v>292cc</v>
      </c>
      <c r="O728" s="44" t="str">
        <f>INDEX(CLEANED_MotorPH_Products_List_2!K:K,MATCH(MotorPHSales[[#This Row],[Product]],CLEANED_MotorPH_Products_List_2!B:B,0))</f>
        <v>Mid-range</v>
      </c>
      <c r="P728" s="45">
        <f>IF(MotorPHSales[[#This Row],[Segment]]="Entry-level",MotorPHSales[[#This Row],[UnitPrice]]/(1+30%),IF(MotorPHSales[[#This Row],[Segment]]="Mid-range",MotorPHSales[[#This Row],[UnitPrice]]/(1+35%),MotorPHSales[[#This Row],[UnitPrice]]/(1+40%)))*MotorPHSales[[#This Row],[Quantity]]</f>
        <v>4489629.6296296297</v>
      </c>
      <c r="Q728" s="44" t="str">
        <f>INDEX(CLEANED_MotorPH_Products_List_2!H:H,MATCH(MotorPHSales[[#This Row],[Product]],CLEANED_MotorPH_Products_List_2!$B:$B,0))</f>
        <v>CVT</v>
      </c>
    </row>
    <row r="729" spans="1:17" ht="15.75" x14ac:dyDescent="0.3">
      <c r="A729" s="43">
        <v>45809</v>
      </c>
      <c r="B729" s="44" t="str">
        <f>TEXT(MotorPHSales[[#This Row],[Date]],"mmmm")</f>
        <v>June</v>
      </c>
      <c r="C729" s="44">
        <f>DAY(MotorPHSales[[#This Row],[Date]])</f>
        <v>1</v>
      </c>
      <c r="D729" s="44">
        <f>YEAR(MotorPHSales[[#This Row],[Date]])</f>
        <v>2025</v>
      </c>
      <c r="E729" s="44" t="s">
        <v>196</v>
      </c>
      <c r="F729" s="44" t="s">
        <v>12</v>
      </c>
      <c r="G729" s="45">
        <v>119900</v>
      </c>
      <c r="H729" s="44">
        <v>3</v>
      </c>
      <c r="I729" s="45">
        <v>359700</v>
      </c>
      <c r="J729" s="44" t="s">
        <v>197</v>
      </c>
      <c r="K729" s="44" t="str">
        <f>INDEX(CLEANED_MotorPH_Products_List_2!C:C,MATCH(MotorPHSales[[#This Row],[Product]],CLEANED_MotorPH_Products_List_2!$B:$B,0))</f>
        <v>Underbone</v>
      </c>
      <c r="L729" s="44" t="str">
        <f>INDEX(CLEANED_MotorPH_Products_List_2!E:E,MATCH(MotorPHSales[[#This Row],[Product]],CLEANED_MotorPH_Products_List_2!$B:$B,0))</f>
        <v>Single cylinder</v>
      </c>
      <c r="M729" s="44" t="str">
        <f>INDEX(CLEANED_MotorPH_Products_List_2!F:F,MATCH(MotorPHSales[[#This Row],[Product]],CLEANED_MotorPH_Products_List_2!$B:$B,0))</f>
        <v>liquid-cooled</v>
      </c>
      <c r="N729" s="44" t="str">
        <f>INDEX(CLEANED_MotorPH_Products_List_2!G:G,MATCH(MotorPHSales[[#This Row],[Product]],CLEANED_MotorPH_Products_List_2!$B:$B,0))</f>
        <v>150cc</v>
      </c>
      <c r="O729" s="44" t="str">
        <f>INDEX(CLEANED_MotorPH_Products_List_2!K:K,MATCH(MotorPHSales[[#This Row],[Product]],CLEANED_MotorPH_Products_List_2!B:B,0))</f>
        <v>Entry-level</v>
      </c>
      <c r="P729" s="45">
        <f>IF(MotorPHSales[[#This Row],[Segment]]="Entry-level",MotorPHSales[[#This Row],[UnitPrice]]/(1+30%),IF(MotorPHSales[[#This Row],[Segment]]="Mid-range",MotorPHSales[[#This Row],[UnitPrice]]/(1+35%),MotorPHSales[[#This Row],[UnitPrice]]/(1+40%)))*MotorPHSales[[#This Row],[Quantity]]</f>
        <v>276692.30769230769</v>
      </c>
      <c r="Q729" s="44" t="str">
        <f>INDEX(CLEANED_MotorPH_Products_List_2!H:H,MATCH(MotorPHSales[[#This Row],[Product]],CLEANED_MotorPH_Products_List_2!$B:$B,0))</f>
        <v>6-speed</v>
      </c>
    </row>
    <row r="730" spans="1:17" ht="15.75" x14ac:dyDescent="0.3">
      <c r="A730" s="43">
        <v>45829</v>
      </c>
      <c r="B730" s="44" t="str">
        <f>TEXT(MotorPHSales[[#This Row],[Date]],"mmmm")</f>
        <v>June</v>
      </c>
      <c r="C730" s="44">
        <f>DAY(MotorPHSales[[#This Row],[Date]])</f>
        <v>21</v>
      </c>
      <c r="D730" s="44">
        <f>YEAR(MotorPHSales[[#This Row],[Date]])</f>
        <v>2025</v>
      </c>
      <c r="E730" s="44" t="s">
        <v>194</v>
      </c>
      <c r="F730" s="44" t="s">
        <v>74</v>
      </c>
      <c r="G730" s="45">
        <v>349000</v>
      </c>
      <c r="H730" s="44">
        <v>19</v>
      </c>
      <c r="I730" s="45">
        <v>6631000</v>
      </c>
      <c r="J730" s="44" t="s">
        <v>198</v>
      </c>
      <c r="K730" s="44" t="str">
        <f>INDEX(CLEANED_MotorPH_Products_List_2!C:C,MATCH(MotorPHSales[[#This Row],[Product]],CLEANED_MotorPH_Products_List_2!$B:$B,0))</f>
        <v>Cruiser</v>
      </c>
      <c r="L730" s="44" t="str">
        <f>INDEX(CLEANED_MotorPH_Products_List_2!E:E,MATCH(MotorPHSales[[#This Row],[Product]],CLEANED_MotorPH_Products_List_2!$B:$B,0))</f>
        <v>Parallel-twin</v>
      </c>
      <c r="M730" s="44" t="str">
        <f>INDEX(CLEANED_MotorPH_Products_List_2!F:F,MATCH(MotorPHSales[[#This Row],[Product]],CLEANED_MotorPH_Products_List_2!$B:$B,0))</f>
        <v>liquid-cooled</v>
      </c>
      <c r="N730" s="44" t="str">
        <f>INDEX(CLEANED_MotorPH_Products_List_2!G:G,MATCH(MotorPHSales[[#This Row],[Product]],CLEANED_MotorPH_Products_List_2!$B:$B,0))</f>
        <v>500cc</v>
      </c>
      <c r="O730" s="44" t="str">
        <f>INDEX(CLEANED_MotorPH_Products_List_2!K:K,MATCH(MotorPHSales[[#This Row],[Product]],CLEANED_MotorPH_Products_List_2!B:B,0))</f>
        <v>Mid-range</v>
      </c>
      <c r="P730" s="45">
        <f>IF(MotorPHSales[[#This Row],[Segment]]="Entry-level",MotorPHSales[[#This Row],[UnitPrice]]/(1+30%),IF(MotorPHSales[[#This Row],[Segment]]="Mid-range",MotorPHSales[[#This Row],[UnitPrice]]/(1+35%),MotorPHSales[[#This Row],[UnitPrice]]/(1+40%)))*MotorPHSales[[#This Row],[Quantity]]</f>
        <v>4911851.8518518517</v>
      </c>
      <c r="Q730" s="44" t="str">
        <f>INDEX(CLEANED_MotorPH_Products_List_2!H:H,MATCH(MotorPHSales[[#This Row],[Product]],CLEANED_MotorPH_Products_List_2!$B:$B,0))</f>
        <v>6-speed</v>
      </c>
    </row>
    <row r="731" spans="1:17" ht="15.75" x14ac:dyDescent="0.3">
      <c r="A731" s="43">
        <v>45863</v>
      </c>
      <c r="B731" s="44" t="str">
        <f>TEXT(MotorPHSales[[#This Row],[Date]],"mmmm")</f>
        <v>July</v>
      </c>
      <c r="C731" s="44">
        <f>DAY(MotorPHSales[[#This Row],[Date]])</f>
        <v>25</v>
      </c>
      <c r="D731" s="44">
        <f>YEAR(MotorPHSales[[#This Row],[Date]])</f>
        <v>2025</v>
      </c>
      <c r="E731" s="44" t="s">
        <v>196</v>
      </c>
      <c r="F731" s="44" t="s">
        <v>36</v>
      </c>
      <c r="G731" s="45">
        <v>129000</v>
      </c>
      <c r="H731" s="44">
        <v>33</v>
      </c>
      <c r="I731" s="45">
        <v>4257000</v>
      </c>
      <c r="J731" s="44" t="s">
        <v>198</v>
      </c>
      <c r="K731" s="44" t="str">
        <f>INDEX(CLEANED_MotorPH_Products_List_2!C:C,MATCH(MotorPHSales[[#This Row],[Product]],CLEANED_MotorPH_Products_List_2!$B:$B,0))</f>
        <v>Naked bike</v>
      </c>
      <c r="L731" s="44" t="str">
        <f>INDEX(CLEANED_MotorPH_Products_List_2!E:E,MATCH(MotorPHSales[[#This Row],[Product]],CLEANED_MotorPH_Products_List_2!$B:$B,0))</f>
        <v>Single cylinder</v>
      </c>
      <c r="M731" s="44" t="str">
        <f>INDEX(CLEANED_MotorPH_Products_List_2!F:F,MATCH(MotorPHSales[[#This Row],[Product]],CLEANED_MotorPH_Products_List_2!$B:$B,0))</f>
        <v>oil-cooled</v>
      </c>
      <c r="N731" s="44" t="str">
        <f>INDEX(CLEANED_MotorPH_Products_List_2!G:G,MATCH(MotorPHSales[[#This Row],[Product]],CLEANED_MotorPH_Products_List_2!$B:$B,0))</f>
        <v>197cc</v>
      </c>
      <c r="O731" s="44" t="str">
        <f>INDEX(CLEANED_MotorPH_Products_List_2!K:K,MATCH(MotorPHSales[[#This Row],[Product]],CLEANED_MotorPH_Products_List_2!B:B,0))</f>
        <v>Entry-level</v>
      </c>
      <c r="P731" s="45">
        <f>IF(MotorPHSales[[#This Row],[Segment]]="Entry-level",MotorPHSales[[#This Row],[UnitPrice]]/(1+30%),IF(MotorPHSales[[#This Row],[Segment]]="Mid-range",MotorPHSales[[#This Row],[UnitPrice]]/(1+35%),MotorPHSales[[#This Row],[UnitPrice]]/(1+40%)))*MotorPHSales[[#This Row],[Quantity]]</f>
        <v>3274615.3846153845</v>
      </c>
      <c r="Q731" s="44" t="str">
        <f>INDEX(CLEANED_MotorPH_Products_List_2!H:H,MATCH(MotorPHSales[[#This Row],[Product]],CLEANED_MotorPH_Products_List_2!$B:$B,0))</f>
        <v>5-speed</v>
      </c>
    </row>
    <row r="732" spans="1:17" ht="15.75" x14ac:dyDescent="0.3">
      <c r="A732" s="43">
        <v>45814</v>
      </c>
      <c r="B732" s="44" t="str">
        <f>TEXT(MotorPHSales[[#This Row],[Date]],"mmmm")</f>
        <v>June</v>
      </c>
      <c r="C732" s="44">
        <f>DAY(MotorPHSales[[#This Row],[Date]])</f>
        <v>6</v>
      </c>
      <c r="D732" s="44">
        <f>YEAR(MotorPHSales[[#This Row],[Date]])</f>
        <v>2025</v>
      </c>
      <c r="E732" s="44" t="s">
        <v>196</v>
      </c>
      <c r="F732" s="44" t="s">
        <v>70</v>
      </c>
      <c r="G732" s="45">
        <v>219000</v>
      </c>
      <c r="H732" s="44">
        <v>7</v>
      </c>
      <c r="I732" s="45">
        <v>1533000</v>
      </c>
      <c r="J732" s="44" t="s">
        <v>195</v>
      </c>
      <c r="K732" s="44" t="str">
        <f>INDEX(CLEANED_MotorPH_Products_List_2!C:C,MATCH(MotorPHSales[[#This Row],[Product]],CLEANED_MotorPH_Products_List_2!$B:$B,0))</f>
        <v>Scooter</v>
      </c>
      <c r="L732" s="44" t="str">
        <f>INDEX(CLEANED_MotorPH_Products_List_2!E:E,MATCH(MotorPHSales[[#This Row],[Product]],CLEANED_MotorPH_Products_List_2!$B:$B,0))</f>
        <v>Single cylinder</v>
      </c>
      <c r="M732" s="44" t="str">
        <f>INDEX(CLEANED_MotorPH_Products_List_2!F:F,MATCH(MotorPHSales[[#This Row],[Product]],CLEANED_MotorPH_Products_List_2!$B:$B,0))</f>
        <v>liquid-cooled</v>
      </c>
      <c r="N732" s="44" t="str">
        <f>INDEX(CLEANED_MotorPH_Products_List_2!G:G,MATCH(MotorPHSales[[#This Row],[Product]],CLEANED_MotorPH_Products_List_2!$B:$B,0))</f>
        <v>174cc</v>
      </c>
      <c r="O732" s="44" t="str">
        <f>INDEX(CLEANED_MotorPH_Products_List_2!K:K,MATCH(MotorPHSales[[#This Row],[Product]],CLEANED_MotorPH_Products_List_2!B:B,0))</f>
        <v>Entry-level</v>
      </c>
      <c r="P732" s="45">
        <f>IF(MotorPHSales[[#This Row],[Segment]]="Entry-level",MotorPHSales[[#This Row],[UnitPrice]]/(1+30%),IF(MotorPHSales[[#This Row],[Segment]]="Mid-range",MotorPHSales[[#This Row],[UnitPrice]]/(1+35%),MotorPHSales[[#This Row],[UnitPrice]]/(1+40%)))*MotorPHSales[[#This Row],[Quantity]]</f>
        <v>1179230.7692307692</v>
      </c>
      <c r="Q732" s="44" t="str">
        <f>INDEX(CLEANED_MotorPH_Products_List_2!H:H,MATCH(MotorPHSales[[#This Row],[Product]],CLEANED_MotorPH_Products_List_2!$B:$B,0))</f>
        <v>CVT</v>
      </c>
    </row>
    <row r="733" spans="1:17" ht="15.75" x14ac:dyDescent="0.3">
      <c r="A733" s="43">
        <v>45900</v>
      </c>
      <c r="B733" s="44" t="str">
        <f>TEXT(MotorPHSales[[#This Row],[Date]],"mmmm")</f>
        <v>August</v>
      </c>
      <c r="C733" s="44">
        <f>DAY(MotorPHSales[[#This Row],[Date]])</f>
        <v>31</v>
      </c>
      <c r="D733" s="44">
        <f>YEAR(MotorPHSales[[#This Row],[Date]])</f>
        <v>2025</v>
      </c>
      <c r="E733" s="44" t="s">
        <v>196</v>
      </c>
      <c r="F733" s="44" t="s">
        <v>22</v>
      </c>
      <c r="G733" s="45">
        <v>182000</v>
      </c>
      <c r="H733" s="44">
        <v>11</v>
      </c>
      <c r="I733" s="45">
        <v>2002000</v>
      </c>
      <c r="J733" s="44" t="s">
        <v>197</v>
      </c>
      <c r="K733" s="44" t="str">
        <f>INDEX(CLEANED_MotorPH_Products_List_2!C:C,MATCH(MotorPHSales[[#This Row],[Product]],CLEANED_MotorPH_Products_List_2!$B:$B,0))</f>
        <v>Retro</v>
      </c>
      <c r="L733" s="44" t="str">
        <f>INDEX(CLEANED_MotorPH_Products_List_2!E:E,MATCH(MotorPHSales[[#This Row],[Product]],CLEANED_MotorPH_Products_List_2!$B:$B,0))</f>
        <v>Single cylinder</v>
      </c>
      <c r="M733" s="44" t="str">
        <f>INDEX(CLEANED_MotorPH_Products_List_2!F:F,MATCH(MotorPHSales[[#This Row],[Product]],CLEANED_MotorPH_Products_List_2!$B:$B,0))</f>
        <v>liquid-cooled</v>
      </c>
      <c r="N733" s="44" t="str">
        <f>INDEX(CLEANED_MotorPH_Products_List_2!G:G,MATCH(MotorPHSales[[#This Row],[Product]],CLEANED_MotorPH_Products_List_2!$B:$B,0))</f>
        <v>155cc</v>
      </c>
      <c r="O733" s="44" t="str">
        <f>INDEX(CLEANED_MotorPH_Products_List_2!K:K,MATCH(MotorPHSales[[#This Row],[Product]],CLEANED_MotorPH_Products_List_2!B:B,0))</f>
        <v>Entry-level</v>
      </c>
      <c r="P733" s="45">
        <f>IF(MotorPHSales[[#This Row],[Segment]]="Entry-level",MotorPHSales[[#This Row],[UnitPrice]]/(1+30%),IF(MotorPHSales[[#This Row],[Segment]]="Mid-range",MotorPHSales[[#This Row],[UnitPrice]]/(1+35%),MotorPHSales[[#This Row],[UnitPrice]]/(1+40%)))*MotorPHSales[[#This Row],[Quantity]]</f>
        <v>1540000</v>
      </c>
      <c r="Q733" s="44" t="str">
        <f>INDEX(CLEANED_MotorPH_Products_List_2!H:H,MATCH(MotorPHSales[[#This Row],[Product]],CLEANED_MotorPH_Products_List_2!$B:$B,0))</f>
        <v>6-speed</v>
      </c>
    </row>
    <row r="734" spans="1:17" ht="15.75" x14ac:dyDescent="0.3">
      <c r="A734" s="43">
        <v>45863</v>
      </c>
      <c r="B734" s="44" t="str">
        <f>TEXT(MotorPHSales[[#This Row],[Date]],"mmmm")</f>
        <v>July</v>
      </c>
      <c r="C734" s="44">
        <f>DAY(MotorPHSales[[#This Row],[Date]])</f>
        <v>25</v>
      </c>
      <c r="D734" s="44">
        <f>YEAR(MotorPHSales[[#This Row],[Date]])</f>
        <v>2025</v>
      </c>
      <c r="E734" s="44" t="s">
        <v>194</v>
      </c>
      <c r="F734" s="44" t="s">
        <v>6</v>
      </c>
      <c r="G734" s="45">
        <v>389000</v>
      </c>
      <c r="H734" s="44">
        <v>16</v>
      </c>
      <c r="I734" s="45">
        <v>6224000</v>
      </c>
      <c r="J734" s="44" t="s">
        <v>197</v>
      </c>
      <c r="K734" s="44" t="str">
        <f>INDEX(CLEANED_MotorPH_Products_List_2!C:C,MATCH(MotorPHSales[[#This Row],[Product]],CLEANED_MotorPH_Products_List_2!$B:$B,0))</f>
        <v>Sport</v>
      </c>
      <c r="L734" s="44" t="str">
        <f>INDEX(CLEANED_MotorPH_Products_List_2!E:E,MATCH(MotorPHSales[[#This Row],[Product]],CLEANED_MotorPH_Products_List_2!$B:$B,0))</f>
        <v>Parallel-twin</v>
      </c>
      <c r="M734" s="44" t="str">
        <f>INDEX(CLEANED_MotorPH_Products_List_2!F:F,MATCH(MotorPHSales[[#This Row],[Product]],CLEANED_MotorPH_Products_List_2!$B:$B,0))</f>
        <v>liquid-cooled</v>
      </c>
      <c r="N734" s="44" t="str">
        <f>INDEX(CLEANED_MotorPH_Products_List_2!G:G,MATCH(MotorPHSales[[#This Row],[Product]],CLEANED_MotorPH_Products_List_2!$B:$B,0))</f>
        <v>471cc</v>
      </c>
      <c r="O734" s="44" t="str">
        <f>INDEX(CLEANED_MotorPH_Products_List_2!K:K,MATCH(MotorPHSales[[#This Row],[Product]],CLEANED_MotorPH_Products_List_2!B:B,0))</f>
        <v>Mid-range</v>
      </c>
      <c r="P734" s="45">
        <f>IF(MotorPHSales[[#This Row],[Segment]]="Entry-level",MotorPHSales[[#This Row],[UnitPrice]]/(1+30%),IF(MotorPHSales[[#This Row],[Segment]]="Mid-range",MotorPHSales[[#This Row],[UnitPrice]]/(1+35%),MotorPHSales[[#This Row],[UnitPrice]]/(1+40%)))*MotorPHSales[[#This Row],[Quantity]]</f>
        <v>4610370.3703703703</v>
      </c>
      <c r="Q734" s="44" t="str">
        <f>INDEX(CLEANED_MotorPH_Products_List_2!H:H,MATCH(MotorPHSales[[#This Row],[Product]],CLEANED_MotorPH_Products_List_2!$B:$B,0))</f>
        <v>6-speed</v>
      </c>
    </row>
    <row r="735" spans="1:17" ht="15.75" x14ac:dyDescent="0.3">
      <c r="A735" s="43">
        <v>45877</v>
      </c>
      <c r="B735" s="44" t="str">
        <f>TEXT(MotorPHSales[[#This Row],[Date]],"mmmm")</f>
        <v>August</v>
      </c>
      <c r="C735" s="44">
        <f>DAY(MotorPHSales[[#This Row],[Date]])</f>
        <v>8</v>
      </c>
      <c r="D735" s="44">
        <f>YEAR(MotorPHSales[[#This Row],[Date]])</f>
        <v>2025</v>
      </c>
      <c r="E735" s="44" t="s">
        <v>194</v>
      </c>
      <c r="F735" s="44" t="s">
        <v>88</v>
      </c>
      <c r="G735" s="45">
        <v>599000</v>
      </c>
      <c r="H735" s="44">
        <v>45</v>
      </c>
      <c r="I735" s="45">
        <v>26955000</v>
      </c>
      <c r="J735" s="44" t="s">
        <v>195</v>
      </c>
      <c r="K735" s="44" t="str">
        <f>INDEX(CLEANED_MotorPH_Products_List_2!C:C,MATCH(MotorPHSales[[#This Row],[Product]],CLEANED_MotorPH_Products_List_2!$B:$B,0))</f>
        <v>Naked bike</v>
      </c>
      <c r="L735" s="44" t="str">
        <f>INDEX(CLEANED_MotorPH_Products_List_2!E:E,MATCH(MotorPHSales[[#This Row],[Product]],CLEANED_MotorPH_Products_List_2!$B:$B,0))</f>
        <v>Parallel-twin</v>
      </c>
      <c r="M735" s="44" t="str">
        <f>INDEX(CLEANED_MotorPH_Products_List_2!F:F,MATCH(MotorPHSales[[#This Row],[Product]],CLEANED_MotorPH_Products_List_2!$B:$B,0))</f>
        <v>liquid-cooled</v>
      </c>
      <c r="N735" s="44" t="str">
        <f>INDEX(CLEANED_MotorPH_Products_List_2!G:G,MATCH(MotorPHSales[[#This Row],[Product]],CLEANED_MotorPH_Products_List_2!$B:$B,0))</f>
        <v>799cc</v>
      </c>
      <c r="O735" s="44" t="str">
        <f>INDEX(CLEANED_MotorPH_Products_List_2!K:K,MATCH(MotorPHSales[[#This Row],[Product]],CLEANED_MotorPH_Products_List_2!B:B,0))</f>
        <v>Premium</v>
      </c>
      <c r="P735" s="45">
        <f>IF(MotorPHSales[[#This Row],[Segment]]="Entry-level",MotorPHSales[[#This Row],[UnitPrice]]/(1+30%),IF(MotorPHSales[[#This Row],[Segment]]="Mid-range",MotorPHSales[[#This Row],[UnitPrice]]/(1+35%),MotorPHSales[[#This Row],[UnitPrice]]/(1+40%)))*MotorPHSales[[#This Row],[Quantity]]</f>
        <v>19253571.428571429</v>
      </c>
      <c r="Q735" s="44" t="str">
        <f>INDEX(CLEANED_MotorPH_Products_List_2!H:H,MATCH(MotorPHSales[[#This Row],[Product]],CLEANED_MotorPH_Products_List_2!$B:$B,0))</f>
        <v>6-speed</v>
      </c>
    </row>
    <row r="736" spans="1:17" ht="15.75" x14ac:dyDescent="0.3">
      <c r="A736" s="43">
        <v>45813</v>
      </c>
      <c r="B736" s="44" t="str">
        <f>TEXT(MotorPHSales[[#This Row],[Date]],"mmmm")</f>
        <v>June</v>
      </c>
      <c r="C736" s="44">
        <f>DAY(MotorPHSales[[#This Row],[Date]])</f>
        <v>5</v>
      </c>
      <c r="D736" s="44">
        <f>YEAR(MotorPHSales[[#This Row],[Date]])</f>
        <v>2025</v>
      </c>
      <c r="E736" s="44" t="s">
        <v>194</v>
      </c>
      <c r="F736" s="44" t="s">
        <v>47</v>
      </c>
      <c r="G736" s="45">
        <v>398000</v>
      </c>
      <c r="H736" s="44">
        <v>13</v>
      </c>
      <c r="I736" s="45">
        <v>5174000</v>
      </c>
      <c r="J736" s="44" t="s">
        <v>198</v>
      </c>
      <c r="K736" s="44" t="str">
        <f>INDEX(CLEANED_MotorPH_Products_List_2!C:C,MATCH(MotorPHSales[[#This Row],[Product]],CLEANED_MotorPH_Products_List_2!$B:$B,0))</f>
        <v>Cruiser</v>
      </c>
      <c r="L736" s="44" t="str">
        <f>INDEX(CLEANED_MotorPH_Products_List_2!E:E,MATCH(MotorPHSales[[#This Row],[Product]],CLEANED_MotorPH_Products_List_2!$B:$B,0))</f>
        <v>Parallel-twin</v>
      </c>
      <c r="M736" s="44" t="str">
        <f>INDEX(CLEANED_MotorPH_Products_List_2!F:F,MATCH(MotorPHSales[[#This Row],[Product]],CLEANED_MotorPH_Products_List_2!$B:$B,0))</f>
        <v>liquid-cooled</v>
      </c>
      <c r="N736" s="44" t="str">
        <f>INDEX(CLEANED_MotorPH_Products_List_2!G:G,MATCH(MotorPHSales[[#This Row],[Product]],CLEANED_MotorPH_Products_List_2!$B:$B,0))</f>
        <v>649cc</v>
      </c>
      <c r="O736" s="44" t="str">
        <f>INDEX(CLEANED_MotorPH_Products_List_2!K:K,MATCH(MotorPHSales[[#This Row],[Product]],CLEANED_MotorPH_Products_List_2!B:B,0))</f>
        <v>Premium</v>
      </c>
      <c r="P736" s="45">
        <f>IF(MotorPHSales[[#This Row],[Segment]]="Entry-level",MotorPHSales[[#This Row],[UnitPrice]]/(1+30%),IF(MotorPHSales[[#This Row],[Segment]]="Mid-range",MotorPHSales[[#This Row],[UnitPrice]]/(1+35%),MotorPHSales[[#This Row],[UnitPrice]]/(1+40%)))*MotorPHSales[[#This Row],[Quantity]]</f>
        <v>3695714.2857142864</v>
      </c>
      <c r="Q736" s="44" t="str">
        <f>INDEX(CLEANED_MotorPH_Products_List_2!H:H,MATCH(MotorPHSales[[#This Row],[Product]],CLEANED_MotorPH_Products_List_2!$B:$B,0))</f>
        <v>6-speed</v>
      </c>
    </row>
    <row r="737" spans="1:17" ht="15.75" x14ac:dyDescent="0.3">
      <c r="A737" s="43">
        <v>45811</v>
      </c>
      <c r="B737" s="44" t="str">
        <f>TEXT(MotorPHSales[[#This Row],[Date]],"mmmm")</f>
        <v>June</v>
      </c>
      <c r="C737" s="44">
        <f>DAY(MotorPHSales[[#This Row],[Date]])</f>
        <v>3</v>
      </c>
      <c r="D737" s="44">
        <f>YEAR(MotorPHSales[[#This Row],[Date]])</f>
        <v>2025</v>
      </c>
      <c r="E737" s="44" t="s">
        <v>194</v>
      </c>
      <c r="F737" s="44" t="s">
        <v>96</v>
      </c>
      <c r="G737" s="45">
        <v>80900</v>
      </c>
      <c r="H737" s="44">
        <v>33</v>
      </c>
      <c r="I737" s="45">
        <v>2669700</v>
      </c>
      <c r="J737" s="44" t="s">
        <v>197</v>
      </c>
      <c r="K737" s="44" t="str">
        <f>INDEX(CLEANED_MotorPH_Products_List_2!C:C,MATCH(MotorPHSales[[#This Row],[Product]],CLEANED_MotorPH_Products_List_2!$B:$B,0))</f>
        <v>Scooter</v>
      </c>
      <c r="L737" s="44" t="str">
        <f>INDEX(CLEANED_MotorPH_Products_List_2!E:E,MATCH(MotorPHSales[[#This Row],[Product]],CLEANED_MotorPH_Products_List_2!$B:$B,0))</f>
        <v>Single cylinder</v>
      </c>
      <c r="M737" s="44" t="str">
        <f>INDEX(CLEANED_MotorPH_Products_List_2!F:F,MATCH(MotorPHSales[[#This Row],[Product]],CLEANED_MotorPH_Products_List_2!$B:$B,0))</f>
        <v>air-cooled</v>
      </c>
      <c r="N737" s="44" t="str">
        <f>INDEX(CLEANED_MotorPH_Products_List_2!G:G,MATCH(MotorPHSales[[#This Row],[Product]],CLEANED_MotorPH_Products_List_2!$B:$B,0))</f>
        <v>124cc</v>
      </c>
      <c r="O737" s="44" t="str">
        <f>INDEX(CLEANED_MotorPH_Products_List_2!K:K,MATCH(MotorPHSales[[#This Row],[Product]],CLEANED_MotorPH_Products_List_2!B:B,0))</f>
        <v>Entry-level</v>
      </c>
      <c r="P737" s="45">
        <f>IF(MotorPHSales[[#This Row],[Segment]]="Entry-level",MotorPHSales[[#This Row],[UnitPrice]]/(1+30%),IF(MotorPHSales[[#This Row],[Segment]]="Mid-range",MotorPHSales[[#This Row],[UnitPrice]]/(1+35%),MotorPHSales[[#This Row],[UnitPrice]]/(1+40%)))*MotorPHSales[[#This Row],[Quantity]]</f>
        <v>2053615.3846153845</v>
      </c>
      <c r="Q737" s="44" t="str">
        <f>INDEX(CLEANED_MotorPH_Products_List_2!H:H,MATCH(MotorPHSales[[#This Row],[Product]],CLEANED_MotorPH_Products_List_2!$B:$B,0))</f>
        <v>CVT</v>
      </c>
    </row>
    <row r="738" spans="1:17" ht="15.75" x14ac:dyDescent="0.3">
      <c r="A738" s="43">
        <v>45861</v>
      </c>
      <c r="B738" s="44" t="str">
        <f>TEXT(MotorPHSales[[#This Row],[Date]],"mmmm")</f>
        <v>July</v>
      </c>
      <c r="C738" s="44">
        <f>DAY(MotorPHSales[[#This Row],[Date]])</f>
        <v>23</v>
      </c>
      <c r="D738" s="44">
        <f>YEAR(MotorPHSales[[#This Row],[Date]])</f>
        <v>2025</v>
      </c>
      <c r="E738" s="44" t="s">
        <v>196</v>
      </c>
      <c r="F738" s="44" t="s">
        <v>74</v>
      </c>
      <c r="G738" s="45">
        <v>349000</v>
      </c>
      <c r="H738" s="44">
        <v>11</v>
      </c>
      <c r="I738" s="45">
        <v>3839000</v>
      </c>
      <c r="J738" s="44" t="s">
        <v>195</v>
      </c>
      <c r="K738" s="44" t="str">
        <f>INDEX(CLEANED_MotorPH_Products_List_2!C:C,MATCH(MotorPHSales[[#This Row],[Product]],CLEANED_MotorPH_Products_List_2!$B:$B,0))</f>
        <v>Cruiser</v>
      </c>
      <c r="L738" s="44" t="str">
        <f>INDEX(CLEANED_MotorPH_Products_List_2!E:E,MATCH(MotorPHSales[[#This Row],[Product]],CLEANED_MotorPH_Products_List_2!$B:$B,0))</f>
        <v>Parallel-twin</v>
      </c>
      <c r="M738" s="44" t="str">
        <f>INDEX(CLEANED_MotorPH_Products_List_2!F:F,MATCH(MotorPHSales[[#This Row],[Product]],CLEANED_MotorPH_Products_List_2!$B:$B,0))</f>
        <v>liquid-cooled</v>
      </c>
      <c r="N738" s="44" t="str">
        <f>INDEX(CLEANED_MotorPH_Products_List_2!G:G,MATCH(MotorPHSales[[#This Row],[Product]],CLEANED_MotorPH_Products_List_2!$B:$B,0))</f>
        <v>500cc</v>
      </c>
      <c r="O738" s="44" t="str">
        <f>INDEX(CLEANED_MotorPH_Products_List_2!K:K,MATCH(MotorPHSales[[#This Row],[Product]],CLEANED_MotorPH_Products_List_2!B:B,0))</f>
        <v>Mid-range</v>
      </c>
      <c r="P738" s="45">
        <f>IF(MotorPHSales[[#This Row],[Segment]]="Entry-level",MotorPHSales[[#This Row],[UnitPrice]]/(1+30%),IF(MotorPHSales[[#This Row],[Segment]]="Mid-range",MotorPHSales[[#This Row],[UnitPrice]]/(1+35%),MotorPHSales[[#This Row],[UnitPrice]]/(1+40%)))*MotorPHSales[[#This Row],[Quantity]]</f>
        <v>2843703.7037037038</v>
      </c>
      <c r="Q738" s="44" t="str">
        <f>INDEX(CLEANED_MotorPH_Products_List_2!H:H,MATCH(MotorPHSales[[#This Row],[Product]],CLEANED_MotorPH_Products_List_2!$B:$B,0))</f>
        <v>6-speed</v>
      </c>
    </row>
    <row r="739" spans="1:17" ht="15.75" x14ac:dyDescent="0.3">
      <c r="A739" s="43">
        <v>45831</v>
      </c>
      <c r="B739" s="44" t="str">
        <f>TEXT(MotorPHSales[[#This Row],[Date]],"mmmm")</f>
        <v>June</v>
      </c>
      <c r="C739" s="44">
        <f>DAY(MotorPHSales[[#This Row],[Date]])</f>
        <v>23</v>
      </c>
      <c r="D739" s="44">
        <f>YEAR(MotorPHSales[[#This Row],[Date]])</f>
        <v>2025</v>
      </c>
      <c r="E739" s="44" t="s">
        <v>196</v>
      </c>
      <c r="F739" s="44" t="s">
        <v>94</v>
      </c>
      <c r="G739" s="45">
        <v>299000</v>
      </c>
      <c r="H739" s="44">
        <v>11</v>
      </c>
      <c r="I739" s="45">
        <v>3289000</v>
      </c>
      <c r="J739" s="44" t="s">
        <v>198</v>
      </c>
      <c r="K739" s="44" t="str">
        <f>INDEX(CLEANED_MotorPH_Products_List_2!C:C,MATCH(MotorPHSales[[#This Row],[Product]],CLEANED_MotorPH_Products_List_2!$B:$B,0))</f>
        <v>Dual-sport</v>
      </c>
      <c r="L739" s="44" t="str">
        <f>INDEX(CLEANED_MotorPH_Products_List_2!E:E,MATCH(MotorPHSales[[#This Row],[Product]],CLEANED_MotorPH_Products_List_2!$B:$B,0))</f>
        <v>Single cylinder</v>
      </c>
      <c r="M739" s="44" t="str">
        <f>INDEX(CLEANED_MotorPH_Products_List_2!F:F,MATCH(MotorPHSales[[#This Row],[Product]],CLEANED_MotorPH_Products_List_2!$B:$B,0))</f>
        <v>air-cooled</v>
      </c>
      <c r="N739" s="44" t="str">
        <f>INDEX(CLEANED_MotorPH_Products_List_2!G:G,MATCH(MotorPHSales[[#This Row],[Product]],CLEANED_MotorPH_Products_List_2!$B:$B,0))</f>
        <v>249cc</v>
      </c>
      <c r="O739" s="44" t="str">
        <f>INDEX(CLEANED_MotorPH_Products_List_2!K:K,MATCH(MotorPHSales[[#This Row],[Product]],CLEANED_MotorPH_Products_List_2!B:B,0))</f>
        <v>Mid-range</v>
      </c>
      <c r="P739" s="45">
        <f>IF(MotorPHSales[[#This Row],[Segment]]="Entry-level",MotorPHSales[[#This Row],[UnitPrice]]/(1+30%),IF(MotorPHSales[[#This Row],[Segment]]="Mid-range",MotorPHSales[[#This Row],[UnitPrice]]/(1+35%),MotorPHSales[[#This Row],[UnitPrice]]/(1+40%)))*MotorPHSales[[#This Row],[Quantity]]</f>
        <v>2436296.2962962962</v>
      </c>
      <c r="Q739" s="44" t="str">
        <f>INDEX(CLEANED_MotorPH_Products_List_2!H:H,MATCH(MotorPHSales[[#This Row],[Product]],CLEANED_MotorPH_Products_List_2!$B:$B,0))</f>
        <v>5-speed</v>
      </c>
    </row>
    <row r="740" spans="1:17" ht="15.75" x14ac:dyDescent="0.3">
      <c r="A740" s="43">
        <v>45861</v>
      </c>
      <c r="B740" s="44" t="str">
        <f>TEXT(MotorPHSales[[#This Row],[Date]],"mmmm")</f>
        <v>July</v>
      </c>
      <c r="C740" s="44">
        <f>DAY(MotorPHSales[[#This Row],[Date]])</f>
        <v>23</v>
      </c>
      <c r="D740" s="44">
        <f>YEAR(MotorPHSales[[#This Row],[Date]])</f>
        <v>2025</v>
      </c>
      <c r="E740" s="44" t="s">
        <v>196</v>
      </c>
      <c r="F740" s="44" t="s">
        <v>47</v>
      </c>
      <c r="G740" s="45">
        <v>398000</v>
      </c>
      <c r="H740" s="44">
        <v>19</v>
      </c>
      <c r="I740" s="45">
        <v>7562000</v>
      </c>
      <c r="J740" s="44" t="s">
        <v>198</v>
      </c>
      <c r="K740" s="44" t="str">
        <f>INDEX(CLEANED_MotorPH_Products_List_2!C:C,MATCH(MotorPHSales[[#This Row],[Product]],CLEANED_MotorPH_Products_List_2!$B:$B,0))</f>
        <v>Cruiser</v>
      </c>
      <c r="L740" s="44" t="str">
        <f>INDEX(CLEANED_MotorPH_Products_List_2!E:E,MATCH(MotorPHSales[[#This Row],[Product]],CLEANED_MotorPH_Products_List_2!$B:$B,0))</f>
        <v>Parallel-twin</v>
      </c>
      <c r="M740" s="44" t="str">
        <f>INDEX(CLEANED_MotorPH_Products_List_2!F:F,MATCH(MotorPHSales[[#This Row],[Product]],CLEANED_MotorPH_Products_List_2!$B:$B,0))</f>
        <v>liquid-cooled</v>
      </c>
      <c r="N740" s="44" t="str">
        <f>INDEX(CLEANED_MotorPH_Products_List_2!G:G,MATCH(MotorPHSales[[#This Row],[Product]],CLEANED_MotorPH_Products_List_2!$B:$B,0))</f>
        <v>649cc</v>
      </c>
      <c r="O740" s="44" t="str">
        <f>INDEX(CLEANED_MotorPH_Products_List_2!K:K,MATCH(MotorPHSales[[#This Row],[Product]],CLEANED_MotorPH_Products_List_2!B:B,0))</f>
        <v>Premium</v>
      </c>
      <c r="P740" s="45">
        <f>IF(MotorPHSales[[#This Row],[Segment]]="Entry-level",MotorPHSales[[#This Row],[UnitPrice]]/(1+30%),IF(MotorPHSales[[#This Row],[Segment]]="Mid-range",MotorPHSales[[#This Row],[UnitPrice]]/(1+35%),MotorPHSales[[#This Row],[UnitPrice]]/(1+40%)))*MotorPHSales[[#This Row],[Quantity]]</f>
        <v>5401428.5714285718</v>
      </c>
      <c r="Q740" s="44" t="str">
        <f>INDEX(CLEANED_MotorPH_Products_List_2!H:H,MATCH(MotorPHSales[[#This Row],[Product]],CLEANED_MotorPH_Products_List_2!$B:$B,0))</f>
        <v>6-speed</v>
      </c>
    </row>
    <row r="741" spans="1:17" ht="15.75" x14ac:dyDescent="0.3">
      <c r="A741" s="43">
        <v>45845</v>
      </c>
      <c r="B741" s="44" t="str">
        <f>TEXT(MotorPHSales[[#This Row],[Date]],"mmmm")</f>
        <v>July</v>
      </c>
      <c r="C741" s="44">
        <f>DAY(MotorPHSales[[#This Row],[Date]])</f>
        <v>7</v>
      </c>
      <c r="D741" s="44">
        <f>YEAR(MotorPHSales[[#This Row],[Date]])</f>
        <v>2025</v>
      </c>
      <c r="E741" s="44" t="s">
        <v>194</v>
      </c>
      <c r="F741" s="44" t="s">
        <v>86</v>
      </c>
      <c r="G741" s="45">
        <v>650000</v>
      </c>
      <c r="H741" s="44">
        <v>41</v>
      </c>
      <c r="I741" s="45">
        <v>26650000</v>
      </c>
      <c r="J741" s="44" t="s">
        <v>197</v>
      </c>
      <c r="K741" s="44" t="str">
        <f>INDEX(CLEANED_MotorPH_Products_List_2!C:C,MATCH(MotorPHSales[[#This Row],[Product]],CLEANED_MotorPH_Products_List_2!$B:$B,0))</f>
        <v>Cruiser</v>
      </c>
      <c r="L741" s="44" t="str">
        <f>INDEX(CLEANED_MotorPH_Products_List_2!E:E,MATCH(MotorPHSales[[#This Row],[Product]],CLEANED_MotorPH_Products_List_2!$B:$B,0))</f>
        <v>Parallel-twin</v>
      </c>
      <c r="M741" s="44" t="str">
        <f>INDEX(CLEANED_MotorPH_Products_List_2!F:F,MATCH(MotorPHSales[[#This Row],[Product]],CLEANED_MotorPH_Products_List_2!$B:$B,0))</f>
        <v>liquid-cooled</v>
      </c>
      <c r="N741" s="44" t="str">
        <f>INDEX(CLEANED_MotorPH_Products_List_2!G:G,MATCH(MotorPHSales[[#This Row],[Product]],CLEANED_MotorPH_Products_List_2!$B:$B,0))</f>
        <v>1084cc</v>
      </c>
      <c r="O741" s="44" t="str">
        <f>INDEX(CLEANED_MotorPH_Products_List_2!K:K,MATCH(MotorPHSales[[#This Row],[Product]],CLEANED_MotorPH_Products_List_2!B:B,0))</f>
        <v>Premium</v>
      </c>
      <c r="P741" s="45">
        <f>IF(MotorPHSales[[#This Row],[Segment]]="Entry-level",MotorPHSales[[#This Row],[UnitPrice]]/(1+30%),IF(MotorPHSales[[#This Row],[Segment]]="Mid-range",MotorPHSales[[#This Row],[UnitPrice]]/(1+35%),MotorPHSales[[#This Row],[UnitPrice]]/(1+40%)))*MotorPHSales[[#This Row],[Quantity]]</f>
        <v>19035714.285714287</v>
      </c>
      <c r="Q741" s="44" t="str">
        <f>INDEX(CLEANED_MotorPH_Products_List_2!H:H,MATCH(MotorPHSales[[#This Row],[Product]],CLEANED_MotorPH_Products_List_2!$B:$B,0))</f>
        <v>6-speed</v>
      </c>
    </row>
    <row r="742" spans="1:17" ht="15.75" x14ac:dyDescent="0.3">
      <c r="A742" s="43">
        <v>45882</v>
      </c>
      <c r="B742" s="44" t="str">
        <f>TEXT(MotorPHSales[[#This Row],[Date]],"mmmm")</f>
        <v>August</v>
      </c>
      <c r="C742" s="44">
        <f>DAY(MotorPHSales[[#This Row],[Date]])</f>
        <v>13</v>
      </c>
      <c r="D742" s="44">
        <f>YEAR(MotorPHSales[[#This Row],[Date]])</f>
        <v>2025</v>
      </c>
      <c r="E742" s="44" t="s">
        <v>194</v>
      </c>
      <c r="F742" s="44" t="s">
        <v>99</v>
      </c>
      <c r="G742" s="45">
        <v>689000</v>
      </c>
      <c r="H742" s="44">
        <v>4</v>
      </c>
      <c r="I742" s="45">
        <v>2756000</v>
      </c>
      <c r="J742" s="44" t="s">
        <v>197</v>
      </c>
      <c r="K742" s="44" t="str">
        <f>INDEX(CLEANED_MotorPH_Products_List_2!C:C,MATCH(MotorPHSales[[#This Row],[Product]],CLEANED_MotorPH_Products_List_2!$B:$B,0))</f>
        <v>Heritage</v>
      </c>
      <c r="L742" s="44" t="str">
        <f>INDEX(CLEANED_MotorPH_Products_List_2!E:E,MATCH(MotorPHSales[[#This Row],[Product]],CLEANED_MotorPH_Products_List_2!$B:$B,0))</f>
        <v>V-twin</v>
      </c>
      <c r="M742" s="44" t="str">
        <f>INDEX(CLEANED_MotorPH_Products_List_2!F:F,MATCH(MotorPHSales[[#This Row],[Product]],CLEANED_MotorPH_Products_List_2!$B:$B,0))</f>
        <v>air-cooled</v>
      </c>
      <c r="N742" s="44" t="str">
        <f>INDEX(CLEANED_MotorPH_Products_List_2!G:G,MATCH(MotorPHSales[[#This Row],[Product]],CLEANED_MotorPH_Products_List_2!$B:$B,0))</f>
        <v>853cc</v>
      </c>
      <c r="O742" s="44" t="str">
        <f>INDEX(CLEANED_MotorPH_Products_List_2!K:K,MATCH(MotorPHSales[[#This Row],[Product]],CLEANED_MotorPH_Products_List_2!B:B,0))</f>
        <v>Premium</v>
      </c>
      <c r="P742" s="45">
        <f>IF(MotorPHSales[[#This Row],[Segment]]="Entry-level",MotorPHSales[[#This Row],[UnitPrice]]/(1+30%),IF(MotorPHSales[[#This Row],[Segment]]="Mid-range",MotorPHSales[[#This Row],[UnitPrice]]/(1+35%),MotorPHSales[[#This Row],[UnitPrice]]/(1+40%)))*MotorPHSales[[#This Row],[Quantity]]</f>
        <v>1968571.4285714286</v>
      </c>
      <c r="Q742" s="44" t="str">
        <f>INDEX(CLEANED_MotorPH_Products_List_2!H:H,MATCH(MotorPHSales[[#This Row],[Product]],CLEANED_MotorPH_Products_List_2!$B:$B,0))</f>
        <v>6-speed</v>
      </c>
    </row>
    <row r="743" spans="1:17" ht="15.75" x14ac:dyDescent="0.3">
      <c r="A743" s="43">
        <v>45882</v>
      </c>
      <c r="B743" s="44" t="str">
        <f>TEXT(MotorPHSales[[#This Row],[Date]],"mmmm")</f>
        <v>August</v>
      </c>
      <c r="C743" s="44">
        <f>DAY(MotorPHSales[[#This Row],[Date]])</f>
        <v>13</v>
      </c>
      <c r="D743" s="44">
        <f>YEAR(MotorPHSales[[#This Row],[Date]])</f>
        <v>2025</v>
      </c>
      <c r="E743" s="44" t="s">
        <v>194</v>
      </c>
      <c r="F743" s="44" t="s">
        <v>18</v>
      </c>
      <c r="G743" s="45">
        <v>328000</v>
      </c>
      <c r="H743" s="44">
        <v>31</v>
      </c>
      <c r="I743" s="45">
        <v>10168000</v>
      </c>
      <c r="J743" s="44" t="s">
        <v>197</v>
      </c>
      <c r="K743" s="44" t="str">
        <f>INDEX(CLEANED_MotorPH_Products_List_2!C:C,MATCH(MotorPHSales[[#This Row],[Product]],CLEANED_MotorPH_Products_List_2!$B:$B,0))</f>
        <v>Cafe racer</v>
      </c>
      <c r="L743" s="44" t="str">
        <f>INDEX(CLEANED_MotorPH_Products_List_2!E:E,MATCH(MotorPHSales[[#This Row],[Product]],CLEANED_MotorPH_Products_List_2!$B:$B,0))</f>
        <v>Twin cylinder</v>
      </c>
      <c r="M743" s="44" t="str">
        <f>INDEX(CLEANED_MotorPH_Products_List_2!F:F,MATCH(MotorPHSales[[#This Row],[Product]],CLEANED_MotorPH_Products_List_2!$B:$B,0))</f>
        <v>air-cooled</v>
      </c>
      <c r="N743" s="44" t="str">
        <f>INDEX(CLEANED_MotorPH_Products_List_2!G:G,MATCH(MotorPHSales[[#This Row],[Product]],CLEANED_MotorPH_Products_List_2!$B:$B,0))</f>
        <v>471cc</v>
      </c>
      <c r="O743" s="44" t="str">
        <f>INDEX(CLEANED_MotorPH_Products_List_2!K:K,MATCH(MotorPHSales[[#This Row],[Product]],CLEANED_MotorPH_Products_List_2!B:B,0))</f>
        <v>Mid-range</v>
      </c>
      <c r="P743" s="45">
        <f>IF(MotorPHSales[[#This Row],[Segment]]="Entry-level",MotorPHSales[[#This Row],[UnitPrice]]/(1+30%),IF(MotorPHSales[[#This Row],[Segment]]="Mid-range",MotorPHSales[[#This Row],[UnitPrice]]/(1+35%),MotorPHSales[[#This Row],[UnitPrice]]/(1+40%)))*MotorPHSales[[#This Row],[Quantity]]</f>
        <v>7531851.8518518517</v>
      </c>
      <c r="Q743" s="44" t="str">
        <f>INDEX(CLEANED_MotorPH_Products_List_2!H:H,MATCH(MotorPHSales[[#This Row],[Product]],CLEANED_MotorPH_Products_List_2!$B:$B,0))</f>
        <v>6-speed</v>
      </c>
    </row>
    <row r="744" spans="1:17" ht="15.75" x14ac:dyDescent="0.3">
      <c r="A744" s="43">
        <v>45891</v>
      </c>
      <c r="B744" s="44" t="str">
        <f>TEXT(MotorPHSales[[#This Row],[Date]],"mmmm")</f>
        <v>August</v>
      </c>
      <c r="C744" s="44">
        <f>DAY(MotorPHSales[[#This Row],[Date]])</f>
        <v>22</v>
      </c>
      <c r="D744" s="44">
        <f>YEAR(MotorPHSales[[#This Row],[Date]])</f>
        <v>2025</v>
      </c>
      <c r="E744" s="44" t="s">
        <v>194</v>
      </c>
      <c r="F744" s="44" t="s">
        <v>6</v>
      </c>
      <c r="G744" s="45">
        <v>389000</v>
      </c>
      <c r="H744" s="44">
        <v>16</v>
      </c>
      <c r="I744" s="45">
        <v>6224000</v>
      </c>
      <c r="J744" s="44" t="s">
        <v>198</v>
      </c>
      <c r="K744" s="44" t="str">
        <f>INDEX(CLEANED_MotorPH_Products_List_2!C:C,MATCH(MotorPHSales[[#This Row],[Product]],CLEANED_MotorPH_Products_List_2!$B:$B,0))</f>
        <v>Sport</v>
      </c>
      <c r="L744" s="44" t="str">
        <f>INDEX(CLEANED_MotorPH_Products_List_2!E:E,MATCH(MotorPHSales[[#This Row],[Product]],CLEANED_MotorPH_Products_List_2!$B:$B,0))</f>
        <v>Parallel-twin</v>
      </c>
      <c r="M744" s="44" t="str">
        <f>INDEX(CLEANED_MotorPH_Products_List_2!F:F,MATCH(MotorPHSales[[#This Row],[Product]],CLEANED_MotorPH_Products_List_2!$B:$B,0))</f>
        <v>liquid-cooled</v>
      </c>
      <c r="N744" s="44" t="str">
        <f>INDEX(CLEANED_MotorPH_Products_List_2!G:G,MATCH(MotorPHSales[[#This Row],[Product]],CLEANED_MotorPH_Products_List_2!$B:$B,0))</f>
        <v>471cc</v>
      </c>
      <c r="O744" s="44" t="str">
        <f>INDEX(CLEANED_MotorPH_Products_List_2!K:K,MATCH(MotorPHSales[[#This Row],[Product]],CLEANED_MotorPH_Products_List_2!B:B,0))</f>
        <v>Mid-range</v>
      </c>
      <c r="P744" s="45">
        <f>IF(MotorPHSales[[#This Row],[Segment]]="Entry-level",MotorPHSales[[#This Row],[UnitPrice]]/(1+30%),IF(MotorPHSales[[#This Row],[Segment]]="Mid-range",MotorPHSales[[#This Row],[UnitPrice]]/(1+35%),MotorPHSales[[#This Row],[UnitPrice]]/(1+40%)))*MotorPHSales[[#This Row],[Quantity]]</f>
        <v>4610370.3703703703</v>
      </c>
      <c r="Q744" s="44" t="str">
        <f>INDEX(CLEANED_MotorPH_Products_List_2!H:H,MATCH(MotorPHSales[[#This Row],[Product]],CLEANED_MotorPH_Products_List_2!$B:$B,0))</f>
        <v>6-speed</v>
      </c>
    </row>
    <row r="745" spans="1:17" ht="15.75" x14ac:dyDescent="0.3">
      <c r="A745" s="43">
        <v>45825</v>
      </c>
      <c r="B745" s="44" t="str">
        <f>TEXT(MotorPHSales[[#This Row],[Date]],"mmmm")</f>
        <v>June</v>
      </c>
      <c r="C745" s="44">
        <f>DAY(MotorPHSales[[#This Row],[Date]])</f>
        <v>17</v>
      </c>
      <c r="D745" s="44">
        <f>YEAR(MotorPHSales[[#This Row],[Date]])</f>
        <v>2025</v>
      </c>
      <c r="E745" s="44" t="s">
        <v>196</v>
      </c>
      <c r="F745" s="44" t="s">
        <v>101</v>
      </c>
      <c r="G745" s="45">
        <v>72900</v>
      </c>
      <c r="H745" s="44">
        <v>32</v>
      </c>
      <c r="I745" s="45">
        <v>2332800</v>
      </c>
      <c r="J745" s="44" t="s">
        <v>198</v>
      </c>
      <c r="K745" s="44" t="str">
        <f>INDEX(CLEANED_MotorPH_Products_List_2!C:C,MATCH(MotorPHSales[[#This Row],[Product]],CLEANED_MotorPH_Products_List_2!$B:$B,0))</f>
        <v>Underbone</v>
      </c>
      <c r="L745" s="44" t="str">
        <f>INDEX(CLEANED_MotorPH_Products_List_2!E:E,MATCH(MotorPHSales[[#This Row],[Product]],CLEANED_MotorPH_Products_List_2!$B:$B,0))</f>
        <v>Single cylinder</v>
      </c>
      <c r="M745" s="44" t="str">
        <f>INDEX(CLEANED_MotorPH_Products_List_2!F:F,MATCH(MotorPHSales[[#This Row],[Product]],CLEANED_MotorPH_Products_List_2!$B:$B,0))</f>
        <v>air-cooled</v>
      </c>
      <c r="N745" s="44" t="str">
        <f>INDEX(CLEANED_MotorPH_Products_List_2!G:G,MATCH(MotorPHSales[[#This Row],[Product]],CLEANED_MotorPH_Products_List_2!$B:$B,0))</f>
        <v>150cc</v>
      </c>
      <c r="O745" s="44" t="str">
        <f>INDEX(CLEANED_MotorPH_Products_List_2!K:K,MATCH(MotorPHSales[[#This Row],[Product]],CLEANED_MotorPH_Products_List_2!B:B,0))</f>
        <v>Entry-level</v>
      </c>
      <c r="P745" s="45">
        <f>IF(MotorPHSales[[#This Row],[Segment]]="Entry-level",MotorPHSales[[#This Row],[UnitPrice]]/(1+30%),IF(MotorPHSales[[#This Row],[Segment]]="Mid-range",MotorPHSales[[#This Row],[UnitPrice]]/(1+35%),MotorPHSales[[#This Row],[UnitPrice]]/(1+40%)))*MotorPHSales[[#This Row],[Quantity]]</f>
        <v>1794461.5384615385</v>
      </c>
      <c r="Q745" s="44" t="str">
        <f>INDEX(CLEANED_MotorPH_Products_List_2!H:H,MATCH(MotorPHSales[[#This Row],[Product]],CLEANED_MotorPH_Products_List_2!$B:$B,0))</f>
        <v>CVT</v>
      </c>
    </row>
    <row r="746" spans="1:17" ht="15.75" x14ac:dyDescent="0.3">
      <c r="A746" s="43">
        <v>45893</v>
      </c>
      <c r="B746" s="44" t="str">
        <f>TEXT(MotorPHSales[[#This Row],[Date]],"mmmm")</f>
        <v>August</v>
      </c>
      <c r="C746" s="44">
        <f>DAY(MotorPHSales[[#This Row],[Date]])</f>
        <v>24</v>
      </c>
      <c r="D746" s="44">
        <f>YEAR(MotorPHSales[[#This Row],[Date]])</f>
        <v>2025</v>
      </c>
      <c r="E746" s="44" t="s">
        <v>194</v>
      </c>
      <c r="F746" s="44" t="s">
        <v>10</v>
      </c>
      <c r="G746" s="45">
        <v>340000</v>
      </c>
      <c r="H746" s="44">
        <v>6</v>
      </c>
      <c r="I746" s="45">
        <v>2040000</v>
      </c>
      <c r="J746" s="44" t="s">
        <v>198</v>
      </c>
      <c r="K746" s="44" t="str">
        <f>INDEX(CLEANED_MotorPH_Products_List_2!C:C,MATCH(MotorPHSales[[#This Row],[Product]],CLEANED_MotorPH_Products_List_2!$B:$B,0))</f>
        <v>Sport</v>
      </c>
      <c r="L746" s="44" t="str">
        <f>INDEX(CLEANED_MotorPH_Products_List_2!E:E,MATCH(MotorPHSales[[#This Row],[Product]],CLEANED_MotorPH_Products_List_2!$B:$B,0))</f>
        <v>Parallel-twin</v>
      </c>
      <c r="M746" s="44" t="str">
        <f>INDEX(CLEANED_MotorPH_Products_List_2!F:F,MATCH(MotorPHSales[[#This Row],[Product]],CLEANED_MotorPH_Products_List_2!$B:$B,0))</f>
        <v>liquid-cooled</v>
      </c>
      <c r="N746" s="44" t="str">
        <f>INDEX(CLEANED_MotorPH_Products_List_2!G:G,MATCH(MotorPHSales[[#This Row],[Product]],CLEANED_MotorPH_Products_List_2!$B:$B,0))</f>
        <v>399cc</v>
      </c>
      <c r="O746" s="44" t="str">
        <f>INDEX(CLEANED_MotorPH_Products_List_2!K:K,MATCH(MotorPHSales[[#This Row],[Product]],CLEANED_MotorPH_Products_List_2!B:B,0))</f>
        <v>Mid-range</v>
      </c>
      <c r="P746" s="45">
        <f>IF(MotorPHSales[[#This Row],[Segment]]="Entry-level",MotorPHSales[[#This Row],[UnitPrice]]/(1+30%),IF(MotorPHSales[[#This Row],[Segment]]="Mid-range",MotorPHSales[[#This Row],[UnitPrice]]/(1+35%),MotorPHSales[[#This Row],[UnitPrice]]/(1+40%)))*MotorPHSales[[#This Row],[Quantity]]</f>
        <v>1511111.111111111</v>
      </c>
      <c r="Q746" s="44" t="str">
        <f>INDEX(CLEANED_MotorPH_Products_List_2!H:H,MATCH(MotorPHSales[[#This Row],[Product]],CLEANED_MotorPH_Products_List_2!$B:$B,0))</f>
        <v>6-speed</v>
      </c>
    </row>
    <row r="747" spans="1:17" ht="15.75" x14ac:dyDescent="0.3">
      <c r="A747" s="43">
        <v>45886</v>
      </c>
      <c r="B747" s="44" t="str">
        <f>TEXT(MotorPHSales[[#This Row],[Date]],"mmmm")</f>
        <v>August</v>
      </c>
      <c r="C747" s="44">
        <f>DAY(MotorPHSales[[#This Row],[Date]])</f>
        <v>17</v>
      </c>
      <c r="D747" s="44">
        <f>YEAR(MotorPHSales[[#This Row],[Date]])</f>
        <v>2025</v>
      </c>
      <c r="E747" s="44" t="s">
        <v>196</v>
      </c>
      <c r="F747" s="44" t="s">
        <v>57</v>
      </c>
      <c r="G747" s="45">
        <v>125900</v>
      </c>
      <c r="H747" s="44">
        <v>14</v>
      </c>
      <c r="I747" s="45">
        <v>1762600</v>
      </c>
      <c r="J747" s="44" t="s">
        <v>195</v>
      </c>
      <c r="K747" s="44" t="str">
        <f>INDEX(CLEANED_MotorPH_Products_List_2!C:C,MATCH(MotorPHSales[[#This Row],[Product]],CLEANED_MotorPH_Products_List_2!$B:$B,0))</f>
        <v>Underbone</v>
      </c>
      <c r="L747" s="44" t="str">
        <f>INDEX(CLEANED_MotorPH_Products_List_2!E:E,MATCH(MotorPHSales[[#This Row],[Product]],CLEANED_MotorPH_Products_List_2!$B:$B,0))</f>
        <v>Single cylinder</v>
      </c>
      <c r="M747" s="44" t="str">
        <f>INDEX(CLEANED_MotorPH_Products_List_2!F:F,MATCH(MotorPHSales[[#This Row],[Product]],CLEANED_MotorPH_Products_List_2!$B:$B,0))</f>
        <v>liquid-cooled</v>
      </c>
      <c r="N747" s="44" t="str">
        <f>INDEX(CLEANED_MotorPH_Products_List_2!G:G,MATCH(MotorPHSales[[#This Row],[Product]],CLEANED_MotorPH_Products_List_2!$B:$B,0))</f>
        <v>155cc</v>
      </c>
      <c r="O747" s="44" t="str">
        <f>INDEX(CLEANED_MotorPH_Products_List_2!K:K,MATCH(MotorPHSales[[#This Row],[Product]],CLEANED_MotorPH_Products_List_2!B:B,0))</f>
        <v>Entry-level</v>
      </c>
      <c r="P747" s="45">
        <f>IF(MotorPHSales[[#This Row],[Segment]]="Entry-level",MotorPHSales[[#This Row],[UnitPrice]]/(1+30%),IF(MotorPHSales[[#This Row],[Segment]]="Mid-range",MotorPHSales[[#This Row],[UnitPrice]]/(1+35%),MotorPHSales[[#This Row],[UnitPrice]]/(1+40%)))*MotorPHSales[[#This Row],[Quantity]]</f>
        <v>1355846.1538461538</v>
      </c>
      <c r="Q747" s="44" t="str">
        <f>INDEX(CLEANED_MotorPH_Products_List_2!H:H,MATCH(MotorPHSales[[#This Row],[Product]],CLEANED_MotorPH_Products_List_2!$B:$B,0))</f>
        <v>6-speed</v>
      </c>
    </row>
    <row r="748" spans="1:17" ht="15.75" x14ac:dyDescent="0.3">
      <c r="A748" s="43">
        <v>45881</v>
      </c>
      <c r="B748" s="44" t="str">
        <f>TEXT(MotorPHSales[[#This Row],[Date]],"mmmm")</f>
        <v>August</v>
      </c>
      <c r="C748" s="44">
        <f>DAY(MotorPHSales[[#This Row],[Date]])</f>
        <v>12</v>
      </c>
      <c r="D748" s="44">
        <f>YEAR(MotorPHSales[[#This Row],[Date]])</f>
        <v>2025</v>
      </c>
      <c r="E748" s="44" t="s">
        <v>194</v>
      </c>
      <c r="F748" s="44" t="s">
        <v>80</v>
      </c>
      <c r="G748" s="45">
        <v>398000</v>
      </c>
      <c r="H748" s="44">
        <v>17</v>
      </c>
      <c r="I748" s="45">
        <v>6766000</v>
      </c>
      <c r="J748" s="44" t="s">
        <v>197</v>
      </c>
      <c r="K748" s="44" t="str">
        <f>INDEX(CLEANED_MotorPH_Products_List_2!C:C,MATCH(MotorPHSales[[#This Row],[Product]],CLEANED_MotorPH_Products_List_2!$B:$B,0))</f>
        <v>Scooter</v>
      </c>
      <c r="L748" s="44" t="str">
        <f>INDEX(CLEANED_MotorPH_Products_List_2!E:E,MATCH(MotorPHSales[[#This Row],[Product]],CLEANED_MotorPH_Products_List_2!$B:$B,0))</f>
        <v>Single cylinder</v>
      </c>
      <c r="M748" s="44" t="str">
        <f>INDEX(CLEANED_MotorPH_Products_List_2!F:F,MATCH(MotorPHSales[[#This Row],[Product]],CLEANED_MotorPH_Products_List_2!$B:$B,0))</f>
        <v>liquid-cooled</v>
      </c>
      <c r="N748" s="44" t="str">
        <f>INDEX(CLEANED_MotorPH_Products_List_2!G:G,MATCH(MotorPHSales[[#This Row],[Product]],CLEANED_MotorPH_Products_List_2!$B:$B,0))</f>
        <v>278cc</v>
      </c>
      <c r="O748" s="44" t="str">
        <f>INDEX(CLEANED_MotorPH_Products_List_2!K:K,MATCH(MotorPHSales[[#This Row],[Product]],CLEANED_MotorPH_Products_List_2!B:B,0))</f>
        <v>Mid-range</v>
      </c>
      <c r="P748" s="45">
        <f>IF(MotorPHSales[[#This Row],[Segment]]="Entry-level",MotorPHSales[[#This Row],[UnitPrice]]/(1+30%),IF(MotorPHSales[[#This Row],[Segment]]="Mid-range",MotorPHSales[[#This Row],[UnitPrice]]/(1+35%),MotorPHSales[[#This Row],[UnitPrice]]/(1+40%)))*MotorPHSales[[#This Row],[Quantity]]</f>
        <v>5011851.8518518507</v>
      </c>
      <c r="Q748" s="44" t="str">
        <f>INDEX(CLEANED_MotorPH_Products_List_2!H:H,MATCH(MotorPHSales[[#This Row],[Product]],CLEANED_MotorPH_Products_List_2!$B:$B,0))</f>
        <v>CVT</v>
      </c>
    </row>
    <row r="749" spans="1:17" ht="15.75" x14ac:dyDescent="0.3">
      <c r="A749" s="43">
        <v>45809</v>
      </c>
      <c r="B749" s="44" t="str">
        <f>TEXT(MotorPHSales[[#This Row],[Date]],"mmmm")</f>
        <v>June</v>
      </c>
      <c r="C749" s="44">
        <f>DAY(MotorPHSales[[#This Row],[Date]])</f>
        <v>1</v>
      </c>
      <c r="D749" s="44">
        <f>YEAR(MotorPHSales[[#This Row],[Date]])</f>
        <v>2025</v>
      </c>
      <c r="E749" s="44" t="s">
        <v>196</v>
      </c>
      <c r="F749" s="44" t="s">
        <v>49</v>
      </c>
      <c r="G749" s="45">
        <v>68900</v>
      </c>
      <c r="H749" s="44">
        <v>21</v>
      </c>
      <c r="I749" s="45">
        <v>1446900</v>
      </c>
      <c r="J749" s="44" t="s">
        <v>198</v>
      </c>
      <c r="K749" s="44" t="str">
        <f>INDEX(CLEANED_MotorPH_Products_List_2!C:C,MATCH(MotorPHSales[[#This Row],[Product]],CLEANED_MotorPH_Products_List_2!$B:$B,0))</f>
        <v>Standard</v>
      </c>
      <c r="L749" s="44" t="str">
        <f>INDEX(CLEANED_MotorPH_Products_List_2!E:E,MATCH(MotorPHSales[[#This Row],[Product]],CLEANED_MotorPH_Products_List_2!$B:$B,0))</f>
        <v>Single cylinder</v>
      </c>
      <c r="M749" s="44" t="str">
        <f>INDEX(CLEANED_MotorPH_Products_List_2!F:F,MATCH(MotorPHSales[[#This Row],[Product]],CLEANED_MotorPH_Products_List_2!$B:$B,0))</f>
        <v>air-cooled</v>
      </c>
      <c r="N749" s="44" t="str">
        <f>INDEX(CLEANED_MotorPH_Products_List_2!G:G,MATCH(MotorPHSales[[#This Row],[Product]],CLEANED_MotorPH_Products_List_2!$B:$B,0))</f>
        <v>149cc</v>
      </c>
      <c r="O749" s="44" t="str">
        <f>INDEX(CLEANED_MotorPH_Products_List_2!K:K,MATCH(MotorPHSales[[#This Row],[Product]],CLEANED_MotorPH_Products_List_2!B:B,0))</f>
        <v>Entry-level</v>
      </c>
      <c r="P749" s="45">
        <f>IF(MotorPHSales[[#This Row],[Segment]]="Entry-level",MotorPHSales[[#This Row],[UnitPrice]]/(1+30%),IF(MotorPHSales[[#This Row],[Segment]]="Mid-range",MotorPHSales[[#This Row],[UnitPrice]]/(1+35%),MotorPHSales[[#This Row],[UnitPrice]]/(1+40%)))*MotorPHSales[[#This Row],[Quantity]]</f>
        <v>1113000</v>
      </c>
      <c r="Q749" s="44" t="str">
        <f>INDEX(CLEANED_MotorPH_Products_List_2!H:H,MATCH(MotorPHSales[[#This Row],[Product]],CLEANED_MotorPH_Products_List_2!$B:$B,0))</f>
        <v>5-speed</v>
      </c>
    </row>
    <row r="750" spans="1:17" ht="15.75" x14ac:dyDescent="0.3">
      <c r="A750" s="43">
        <v>45859</v>
      </c>
      <c r="B750" s="44" t="str">
        <f>TEXT(MotorPHSales[[#This Row],[Date]],"mmmm")</f>
        <v>July</v>
      </c>
      <c r="C750" s="44">
        <f>DAY(MotorPHSales[[#This Row],[Date]])</f>
        <v>21</v>
      </c>
      <c r="D750" s="44">
        <f>YEAR(MotorPHSales[[#This Row],[Date]])</f>
        <v>2025</v>
      </c>
      <c r="E750" s="44" t="s">
        <v>196</v>
      </c>
      <c r="F750" s="44" t="s">
        <v>82</v>
      </c>
      <c r="G750" s="45">
        <v>199000</v>
      </c>
      <c r="H750" s="44">
        <v>11</v>
      </c>
      <c r="I750" s="45">
        <v>2189000</v>
      </c>
      <c r="J750" s="44" t="s">
        <v>197</v>
      </c>
      <c r="K750" s="44" t="str">
        <f>INDEX(CLEANED_MotorPH_Products_List_2!C:C,MATCH(MotorPHSales[[#This Row],[Product]],CLEANED_MotorPH_Products_List_2!$B:$B,0))</f>
        <v>Dual-sport</v>
      </c>
      <c r="L750" s="44" t="str">
        <f>INDEX(CLEANED_MotorPH_Products_List_2!E:E,MATCH(MotorPHSales[[#This Row],[Product]],CLEANED_MotorPH_Products_List_2!$B:$B,0))</f>
        <v>Single cylinder</v>
      </c>
      <c r="M750" s="44" t="str">
        <f>INDEX(CLEANED_MotorPH_Products_List_2!F:F,MATCH(MotorPHSales[[#This Row],[Product]],CLEANED_MotorPH_Products_List_2!$B:$B,0))</f>
        <v>air-cooled</v>
      </c>
      <c r="N750" s="44" t="str">
        <f>INDEX(CLEANED_MotorPH_Products_List_2!G:G,MATCH(MotorPHSales[[#This Row],[Product]],CLEANED_MotorPH_Products_List_2!$B:$B,0))</f>
        <v>233cc</v>
      </c>
      <c r="O750" s="44" t="str">
        <f>INDEX(CLEANED_MotorPH_Products_List_2!K:K,MATCH(MotorPHSales[[#This Row],[Product]],CLEANED_MotorPH_Products_List_2!B:B,0))</f>
        <v>Mid-range</v>
      </c>
      <c r="P750" s="45">
        <f>IF(MotorPHSales[[#This Row],[Segment]]="Entry-level",MotorPHSales[[#This Row],[UnitPrice]]/(1+30%),IF(MotorPHSales[[#This Row],[Segment]]="Mid-range",MotorPHSales[[#This Row],[UnitPrice]]/(1+35%),MotorPHSales[[#This Row],[UnitPrice]]/(1+40%)))*MotorPHSales[[#This Row],[Quantity]]</f>
        <v>1621481.4814814813</v>
      </c>
      <c r="Q750" s="44" t="str">
        <f>INDEX(CLEANED_MotorPH_Products_List_2!H:H,MATCH(MotorPHSales[[#This Row],[Product]],CLEANED_MotorPH_Products_List_2!$B:$B,0))</f>
        <v>6-speed</v>
      </c>
    </row>
    <row r="751" spans="1:17" ht="15.75" x14ac:dyDescent="0.3">
      <c r="A751" s="43">
        <v>45853</v>
      </c>
      <c r="B751" s="44" t="str">
        <f>TEXT(MotorPHSales[[#This Row],[Date]],"mmmm")</f>
        <v>July</v>
      </c>
      <c r="C751" s="44">
        <f>DAY(MotorPHSales[[#This Row],[Date]])</f>
        <v>15</v>
      </c>
      <c r="D751" s="44">
        <f>YEAR(MotorPHSales[[#This Row],[Date]])</f>
        <v>2025</v>
      </c>
      <c r="E751" s="44" t="s">
        <v>196</v>
      </c>
      <c r="F751" s="44" t="s">
        <v>40</v>
      </c>
      <c r="G751" s="45">
        <v>210000</v>
      </c>
      <c r="H751" s="44">
        <v>15</v>
      </c>
      <c r="I751" s="45">
        <v>3150000</v>
      </c>
      <c r="J751" s="44" t="s">
        <v>198</v>
      </c>
      <c r="K751" s="44" t="str">
        <f>INDEX(CLEANED_MotorPH_Products_List_2!C:C,MATCH(MotorPHSales[[#This Row],[Product]],CLEANED_MotorPH_Products_List_2!$B:$B,0))</f>
        <v>Scooter</v>
      </c>
      <c r="L751" s="44" t="str">
        <f>INDEX(CLEANED_MotorPH_Products_List_2!E:E,MATCH(MotorPHSales[[#This Row],[Product]],CLEANED_MotorPH_Products_List_2!$B:$B,0))</f>
        <v>Single cylinder</v>
      </c>
      <c r="M751" s="44" t="str">
        <f>INDEX(CLEANED_MotorPH_Products_List_2!F:F,MATCH(MotorPHSales[[#This Row],[Product]],CLEANED_MotorPH_Products_List_2!$B:$B,0))</f>
        <v>air-cooled</v>
      </c>
      <c r="N751" s="44" t="str">
        <f>INDEX(CLEANED_MotorPH_Products_List_2!G:G,MATCH(MotorPHSales[[#This Row],[Product]],CLEANED_MotorPH_Products_List_2!$B:$B,0))</f>
        <v>150cc</v>
      </c>
      <c r="O751" s="44" t="str">
        <f>INDEX(CLEANED_MotorPH_Products_List_2!K:K,MATCH(MotorPHSales[[#This Row],[Product]],CLEANED_MotorPH_Products_List_2!B:B,0))</f>
        <v>Entry-level</v>
      </c>
      <c r="P751" s="45">
        <f>IF(MotorPHSales[[#This Row],[Segment]]="Entry-level",MotorPHSales[[#This Row],[UnitPrice]]/(1+30%),IF(MotorPHSales[[#This Row],[Segment]]="Mid-range",MotorPHSales[[#This Row],[UnitPrice]]/(1+35%),MotorPHSales[[#This Row],[UnitPrice]]/(1+40%)))*MotorPHSales[[#This Row],[Quantity]]</f>
        <v>2423076.923076923</v>
      </c>
      <c r="Q751" s="44" t="str">
        <f>INDEX(CLEANED_MotorPH_Products_List_2!H:H,MATCH(MotorPHSales[[#This Row],[Product]],CLEANED_MotorPH_Products_List_2!$B:$B,0))</f>
        <v>CVT</v>
      </c>
    </row>
    <row r="752" spans="1:17" ht="15.75" x14ac:dyDescent="0.3">
      <c r="A752" s="43">
        <v>45885</v>
      </c>
      <c r="B752" s="44" t="str">
        <f>TEXT(MotorPHSales[[#This Row],[Date]],"mmmm")</f>
        <v>August</v>
      </c>
      <c r="C752" s="44">
        <f>DAY(MotorPHSales[[#This Row],[Date]])</f>
        <v>16</v>
      </c>
      <c r="D752" s="44">
        <f>YEAR(MotorPHSales[[#This Row],[Date]])</f>
        <v>2025</v>
      </c>
      <c r="E752" s="44" t="s">
        <v>194</v>
      </c>
      <c r="F752" s="44" t="s">
        <v>22</v>
      </c>
      <c r="G752" s="45">
        <v>182000</v>
      </c>
      <c r="H752" s="44">
        <v>14</v>
      </c>
      <c r="I752" s="45">
        <v>2548000</v>
      </c>
      <c r="J752" s="44" t="s">
        <v>195</v>
      </c>
      <c r="K752" s="44" t="str">
        <f>INDEX(CLEANED_MotorPH_Products_List_2!C:C,MATCH(MotorPHSales[[#This Row],[Product]],CLEANED_MotorPH_Products_List_2!$B:$B,0))</f>
        <v>Retro</v>
      </c>
      <c r="L752" s="44" t="str">
        <f>INDEX(CLEANED_MotorPH_Products_List_2!E:E,MATCH(MotorPHSales[[#This Row],[Product]],CLEANED_MotorPH_Products_List_2!$B:$B,0))</f>
        <v>Single cylinder</v>
      </c>
      <c r="M752" s="44" t="str">
        <f>INDEX(CLEANED_MotorPH_Products_List_2!F:F,MATCH(MotorPHSales[[#This Row],[Product]],CLEANED_MotorPH_Products_List_2!$B:$B,0))</f>
        <v>liquid-cooled</v>
      </c>
      <c r="N752" s="44" t="str">
        <f>INDEX(CLEANED_MotorPH_Products_List_2!G:G,MATCH(MotorPHSales[[#This Row],[Product]],CLEANED_MotorPH_Products_List_2!$B:$B,0))</f>
        <v>155cc</v>
      </c>
      <c r="O752" s="44" t="str">
        <f>INDEX(CLEANED_MotorPH_Products_List_2!K:K,MATCH(MotorPHSales[[#This Row],[Product]],CLEANED_MotorPH_Products_List_2!B:B,0))</f>
        <v>Entry-level</v>
      </c>
      <c r="P752" s="45">
        <f>IF(MotorPHSales[[#This Row],[Segment]]="Entry-level",MotorPHSales[[#This Row],[UnitPrice]]/(1+30%),IF(MotorPHSales[[#This Row],[Segment]]="Mid-range",MotorPHSales[[#This Row],[UnitPrice]]/(1+35%),MotorPHSales[[#This Row],[UnitPrice]]/(1+40%)))*MotorPHSales[[#This Row],[Quantity]]</f>
        <v>1960000</v>
      </c>
      <c r="Q752" s="44" t="str">
        <f>INDEX(CLEANED_MotorPH_Products_List_2!H:H,MATCH(MotorPHSales[[#This Row],[Product]],CLEANED_MotorPH_Products_List_2!$B:$B,0))</f>
        <v>6-speed</v>
      </c>
    </row>
    <row r="753" spans="1:17" ht="15.75" x14ac:dyDescent="0.3">
      <c r="A753" s="43">
        <v>45812</v>
      </c>
      <c r="B753" s="44" t="str">
        <f>TEXT(MotorPHSales[[#This Row],[Date]],"mmmm")</f>
        <v>June</v>
      </c>
      <c r="C753" s="44">
        <f>DAY(MotorPHSales[[#This Row],[Date]])</f>
        <v>4</v>
      </c>
      <c r="D753" s="44">
        <f>YEAR(MotorPHSales[[#This Row],[Date]])</f>
        <v>2025</v>
      </c>
      <c r="E753" s="44" t="s">
        <v>194</v>
      </c>
      <c r="F753" s="44" t="s">
        <v>18</v>
      </c>
      <c r="G753" s="45">
        <v>328000</v>
      </c>
      <c r="H753" s="44">
        <v>21</v>
      </c>
      <c r="I753" s="45">
        <v>6888000</v>
      </c>
      <c r="J753" s="44" t="s">
        <v>198</v>
      </c>
      <c r="K753" s="44" t="str">
        <f>INDEX(CLEANED_MotorPH_Products_List_2!C:C,MATCH(MotorPHSales[[#This Row],[Product]],CLEANED_MotorPH_Products_List_2!$B:$B,0))</f>
        <v>Cafe racer</v>
      </c>
      <c r="L753" s="44" t="str">
        <f>INDEX(CLEANED_MotorPH_Products_List_2!E:E,MATCH(MotorPHSales[[#This Row],[Product]],CLEANED_MotorPH_Products_List_2!$B:$B,0))</f>
        <v>Twin cylinder</v>
      </c>
      <c r="M753" s="44" t="str">
        <f>INDEX(CLEANED_MotorPH_Products_List_2!F:F,MATCH(MotorPHSales[[#This Row],[Product]],CLEANED_MotorPH_Products_List_2!$B:$B,0))</f>
        <v>air-cooled</v>
      </c>
      <c r="N753" s="44" t="str">
        <f>INDEX(CLEANED_MotorPH_Products_List_2!G:G,MATCH(MotorPHSales[[#This Row],[Product]],CLEANED_MotorPH_Products_List_2!$B:$B,0))</f>
        <v>471cc</v>
      </c>
      <c r="O753" s="44" t="str">
        <f>INDEX(CLEANED_MotorPH_Products_List_2!K:K,MATCH(MotorPHSales[[#This Row],[Product]],CLEANED_MotorPH_Products_List_2!B:B,0))</f>
        <v>Mid-range</v>
      </c>
      <c r="P753" s="45">
        <f>IF(MotorPHSales[[#This Row],[Segment]]="Entry-level",MotorPHSales[[#This Row],[UnitPrice]]/(1+30%),IF(MotorPHSales[[#This Row],[Segment]]="Mid-range",MotorPHSales[[#This Row],[UnitPrice]]/(1+35%),MotorPHSales[[#This Row],[UnitPrice]]/(1+40%)))*MotorPHSales[[#This Row],[Quantity]]</f>
        <v>5102222.222222222</v>
      </c>
      <c r="Q753" s="44" t="str">
        <f>INDEX(CLEANED_MotorPH_Products_List_2!H:H,MATCH(MotorPHSales[[#This Row],[Product]],CLEANED_MotorPH_Products_List_2!$B:$B,0))</f>
        <v>6-speed</v>
      </c>
    </row>
    <row r="754" spans="1:17" ht="15.75" x14ac:dyDescent="0.3">
      <c r="A754" s="43">
        <v>45870</v>
      </c>
      <c r="B754" s="44" t="str">
        <f>TEXT(MotorPHSales[[#This Row],[Date]],"mmmm")</f>
        <v>August</v>
      </c>
      <c r="C754" s="44">
        <f>DAY(MotorPHSales[[#This Row],[Date]])</f>
        <v>1</v>
      </c>
      <c r="D754" s="44">
        <f>YEAR(MotorPHSales[[#This Row],[Date]])</f>
        <v>2025</v>
      </c>
      <c r="E754" s="44" t="s">
        <v>194</v>
      </c>
      <c r="F754" s="44" t="s">
        <v>8</v>
      </c>
      <c r="G754" s="45">
        <v>178000</v>
      </c>
      <c r="H754" s="44">
        <v>13</v>
      </c>
      <c r="I754" s="45">
        <v>2314000</v>
      </c>
      <c r="J754" s="44" t="s">
        <v>197</v>
      </c>
      <c r="K754" s="44" t="str">
        <f>INDEX(CLEANED_MotorPH_Products_List_2!C:C,MATCH(MotorPHSales[[#This Row],[Product]],CLEANED_MotorPH_Products_List_2!$B:$B,0))</f>
        <v>Naked bike</v>
      </c>
      <c r="L754" s="44" t="str">
        <f>INDEX(CLEANED_MotorPH_Products_List_2!E:E,MATCH(MotorPHSales[[#This Row],[Product]],CLEANED_MotorPH_Products_List_2!$B:$B,0))</f>
        <v>Single cylinder</v>
      </c>
      <c r="M754" s="44" t="str">
        <f>INDEX(CLEANED_MotorPH_Products_List_2!F:F,MATCH(MotorPHSales[[#This Row],[Product]],CLEANED_MotorPH_Products_List_2!$B:$B,0))</f>
        <v>liquid-cooled</v>
      </c>
      <c r="N754" s="44" t="str">
        <f>INDEX(CLEANED_MotorPH_Products_List_2!G:G,MATCH(MotorPHSales[[#This Row],[Product]],CLEANED_MotorPH_Products_List_2!$B:$B,0))</f>
        <v>155cc</v>
      </c>
      <c r="O754" s="44" t="str">
        <f>INDEX(CLEANED_MotorPH_Products_List_2!K:K,MATCH(MotorPHSales[[#This Row],[Product]],CLEANED_MotorPH_Products_List_2!B:B,0))</f>
        <v>Entry-level</v>
      </c>
      <c r="P754" s="45">
        <f>IF(MotorPHSales[[#This Row],[Segment]]="Entry-level",MotorPHSales[[#This Row],[UnitPrice]]/(1+30%),IF(MotorPHSales[[#This Row],[Segment]]="Mid-range",MotorPHSales[[#This Row],[UnitPrice]]/(1+35%),MotorPHSales[[#This Row],[UnitPrice]]/(1+40%)))*MotorPHSales[[#This Row],[Quantity]]</f>
        <v>1779999.9999999998</v>
      </c>
      <c r="Q754" s="44" t="str">
        <f>INDEX(CLEANED_MotorPH_Products_List_2!H:H,MATCH(MotorPHSales[[#This Row],[Product]],CLEANED_MotorPH_Products_List_2!$B:$B,0))</f>
        <v>6-speed</v>
      </c>
    </row>
    <row r="755" spans="1:17" ht="15.75" x14ac:dyDescent="0.3">
      <c r="A755" s="43">
        <v>45873</v>
      </c>
      <c r="B755" s="44" t="str">
        <f>TEXT(MotorPHSales[[#This Row],[Date]],"mmmm")</f>
        <v>August</v>
      </c>
      <c r="C755" s="44">
        <f>DAY(MotorPHSales[[#This Row],[Date]])</f>
        <v>4</v>
      </c>
      <c r="D755" s="44">
        <f>YEAR(MotorPHSales[[#This Row],[Date]])</f>
        <v>2025</v>
      </c>
      <c r="E755" s="44" t="s">
        <v>194</v>
      </c>
      <c r="F755" s="44" t="s">
        <v>84</v>
      </c>
      <c r="G755" s="45">
        <v>995000</v>
      </c>
      <c r="H755" s="44">
        <v>7</v>
      </c>
      <c r="I755" s="45">
        <v>6965000</v>
      </c>
      <c r="J755" s="44" t="s">
        <v>195</v>
      </c>
      <c r="K755" s="44" t="str">
        <f>INDEX(CLEANED_MotorPH_Products_List_2!C:C,MATCH(MotorPHSales[[#This Row],[Product]],CLEANED_MotorPH_Products_List_2!$B:$B,0))</f>
        <v>Heritage</v>
      </c>
      <c r="L755" s="44" t="str">
        <f>INDEX(CLEANED_MotorPH_Products_List_2!E:E,MATCH(MotorPHSales[[#This Row],[Product]],CLEANED_MotorPH_Products_List_2!$B:$B,0))</f>
        <v>Flat twin</v>
      </c>
      <c r="M755" s="44" t="str">
        <f>INDEX(CLEANED_MotorPH_Products_List_2!F:F,MATCH(MotorPHSales[[#This Row],[Product]],CLEANED_MotorPH_Products_List_2!$B:$B,0))</f>
        <v>air</v>
      </c>
      <c r="N755" s="44">
        <f>INDEX(CLEANED_MotorPH_Products_List_2!G:G,MATCH(MotorPHSales[[#This Row],[Product]],CLEANED_MotorPH_Products_List_2!$B:$B,0))</f>
        <v>0</v>
      </c>
      <c r="O755" s="44" t="str">
        <f>INDEX(CLEANED_MotorPH_Products_List_2!K:K,MATCH(MotorPHSales[[#This Row],[Product]],CLEANED_MotorPH_Products_List_2!B:B,0))</f>
        <v>Premium</v>
      </c>
      <c r="P755" s="45">
        <f>IF(MotorPHSales[[#This Row],[Segment]]="Entry-level",MotorPHSales[[#This Row],[UnitPrice]]/(1+30%),IF(MotorPHSales[[#This Row],[Segment]]="Mid-range",MotorPHSales[[#This Row],[UnitPrice]]/(1+35%),MotorPHSales[[#This Row],[UnitPrice]]/(1+40%)))*MotorPHSales[[#This Row],[Quantity]]</f>
        <v>4975000.0000000009</v>
      </c>
      <c r="Q755" s="44">
        <f>INDEX(CLEANED_MotorPH_Products_List_2!H:H,MATCH(MotorPHSales[[#This Row],[Product]],CLEANED_MotorPH_Products_List_2!$B:$B,0))</f>
        <v>0</v>
      </c>
    </row>
    <row r="756" spans="1:17" ht="15.75" x14ac:dyDescent="0.3">
      <c r="A756" s="43">
        <v>45840</v>
      </c>
      <c r="B756" s="44" t="str">
        <f>TEXT(MotorPHSales[[#This Row],[Date]],"mmmm")</f>
        <v>July</v>
      </c>
      <c r="C756" s="44">
        <f>DAY(MotorPHSales[[#This Row],[Date]])</f>
        <v>2</v>
      </c>
      <c r="D756" s="44">
        <f>YEAR(MotorPHSales[[#This Row],[Date]])</f>
        <v>2025</v>
      </c>
      <c r="E756" s="44" t="s">
        <v>196</v>
      </c>
      <c r="F756" s="44" t="s">
        <v>6</v>
      </c>
      <c r="G756" s="45">
        <v>389000</v>
      </c>
      <c r="H756" s="44">
        <v>3</v>
      </c>
      <c r="I756" s="45">
        <v>1167000</v>
      </c>
      <c r="J756" s="44" t="s">
        <v>195</v>
      </c>
      <c r="K756" s="44" t="str">
        <f>INDEX(CLEANED_MotorPH_Products_List_2!C:C,MATCH(MotorPHSales[[#This Row],[Product]],CLEANED_MotorPH_Products_List_2!$B:$B,0))</f>
        <v>Sport</v>
      </c>
      <c r="L756" s="44" t="str">
        <f>INDEX(CLEANED_MotorPH_Products_List_2!E:E,MATCH(MotorPHSales[[#This Row],[Product]],CLEANED_MotorPH_Products_List_2!$B:$B,0))</f>
        <v>Parallel-twin</v>
      </c>
      <c r="M756" s="44" t="str">
        <f>INDEX(CLEANED_MotorPH_Products_List_2!F:F,MATCH(MotorPHSales[[#This Row],[Product]],CLEANED_MotorPH_Products_List_2!$B:$B,0))</f>
        <v>liquid-cooled</v>
      </c>
      <c r="N756" s="44" t="str">
        <f>INDEX(CLEANED_MotorPH_Products_List_2!G:G,MATCH(MotorPHSales[[#This Row],[Product]],CLEANED_MotorPH_Products_List_2!$B:$B,0))</f>
        <v>471cc</v>
      </c>
      <c r="O756" s="44" t="str">
        <f>INDEX(CLEANED_MotorPH_Products_List_2!K:K,MATCH(MotorPHSales[[#This Row],[Product]],CLEANED_MotorPH_Products_List_2!B:B,0))</f>
        <v>Mid-range</v>
      </c>
      <c r="P756" s="45">
        <f>IF(MotorPHSales[[#This Row],[Segment]]="Entry-level",MotorPHSales[[#This Row],[UnitPrice]]/(1+30%),IF(MotorPHSales[[#This Row],[Segment]]="Mid-range",MotorPHSales[[#This Row],[UnitPrice]]/(1+35%),MotorPHSales[[#This Row],[UnitPrice]]/(1+40%)))*MotorPHSales[[#This Row],[Quantity]]</f>
        <v>864444.4444444445</v>
      </c>
      <c r="Q756" s="44" t="str">
        <f>INDEX(CLEANED_MotorPH_Products_List_2!H:H,MATCH(MotorPHSales[[#This Row],[Product]],CLEANED_MotorPH_Products_List_2!$B:$B,0))</f>
        <v>6-speed</v>
      </c>
    </row>
    <row r="757" spans="1:17" ht="15.75" x14ac:dyDescent="0.3">
      <c r="A757" s="43">
        <v>45842</v>
      </c>
      <c r="B757" s="44" t="str">
        <f>TEXT(MotorPHSales[[#This Row],[Date]],"mmmm")</f>
        <v>July</v>
      </c>
      <c r="C757" s="44">
        <f>DAY(MotorPHSales[[#This Row],[Date]])</f>
        <v>4</v>
      </c>
      <c r="D757" s="44">
        <f>YEAR(MotorPHSales[[#This Row],[Date]])</f>
        <v>2025</v>
      </c>
      <c r="E757" s="44" t="s">
        <v>194</v>
      </c>
      <c r="F757" s="44" t="s">
        <v>90</v>
      </c>
      <c r="G757" s="45">
        <v>165000</v>
      </c>
      <c r="H757" s="44">
        <v>12</v>
      </c>
      <c r="I757" s="45">
        <v>1980000</v>
      </c>
      <c r="J757" s="44" t="s">
        <v>197</v>
      </c>
      <c r="K757" s="44" t="str">
        <f>INDEX(CLEANED_MotorPH_Products_List_2!C:C,MATCH(MotorPHSales[[#This Row],[Product]],CLEANED_MotorPH_Products_List_2!$B:$B,0))</f>
        <v>Sport</v>
      </c>
      <c r="L757" s="44" t="str">
        <f>INDEX(CLEANED_MotorPH_Products_List_2!E:E,MATCH(MotorPHSales[[#This Row],[Product]],CLEANED_MotorPH_Products_List_2!$B:$B,0))</f>
        <v>Single cylinder</v>
      </c>
      <c r="M757" s="44" t="str">
        <f>INDEX(CLEANED_MotorPH_Products_List_2!F:F,MATCH(MotorPHSales[[#This Row],[Product]],CLEANED_MotorPH_Products_List_2!$B:$B,0))</f>
        <v>liquid-cooled</v>
      </c>
      <c r="N757" s="44" t="str">
        <f>INDEX(CLEANED_MotorPH_Products_List_2!G:G,MATCH(MotorPHSales[[#This Row],[Product]],CLEANED_MotorPH_Products_List_2!$B:$B,0))</f>
        <v>292cc</v>
      </c>
      <c r="O757" s="44" t="str">
        <f>INDEX(CLEANED_MotorPH_Products_List_2!K:K,MATCH(MotorPHSales[[#This Row],[Product]],CLEANED_MotorPH_Products_List_2!B:B,0))</f>
        <v>Mid-range</v>
      </c>
      <c r="P757" s="45">
        <f>IF(MotorPHSales[[#This Row],[Segment]]="Entry-level",MotorPHSales[[#This Row],[UnitPrice]]/(1+30%),IF(MotorPHSales[[#This Row],[Segment]]="Mid-range",MotorPHSales[[#This Row],[UnitPrice]]/(1+35%),MotorPHSales[[#This Row],[UnitPrice]]/(1+40%)))*MotorPHSales[[#This Row],[Quantity]]</f>
        <v>1466666.6666666665</v>
      </c>
      <c r="Q757" s="44" t="str">
        <f>INDEX(CLEANED_MotorPH_Products_List_2!H:H,MATCH(MotorPHSales[[#This Row],[Product]],CLEANED_MotorPH_Products_List_2!$B:$B,0))</f>
        <v>6-speed</v>
      </c>
    </row>
    <row r="758" spans="1:17" ht="15.75" x14ac:dyDescent="0.3">
      <c r="A758" s="43">
        <v>45900</v>
      </c>
      <c r="B758" s="44" t="str">
        <f>TEXT(MotorPHSales[[#This Row],[Date]],"mmmm")</f>
        <v>August</v>
      </c>
      <c r="C758" s="44">
        <f>DAY(MotorPHSales[[#This Row],[Date]])</f>
        <v>31</v>
      </c>
      <c r="D758" s="44">
        <f>YEAR(MotorPHSales[[#This Row],[Date]])</f>
        <v>2025</v>
      </c>
      <c r="E758" s="44" t="s">
        <v>194</v>
      </c>
      <c r="F758" s="44" t="s">
        <v>94</v>
      </c>
      <c r="G758" s="45">
        <v>299000</v>
      </c>
      <c r="H758" s="44">
        <v>10</v>
      </c>
      <c r="I758" s="45">
        <v>2990000</v>
      </c>
      <c r="J758" s="44" t="s">
        <v>198</v>
      </c>
      <c r="K758" s="44" t="str">
        <f>INDEX(CLEANED_MotorPH_Products_List_2!C:C,MATCH(MotorPHSales[[#This Row],[Product]],CLEANED_MotorPH_Products_List_2!$B:$B,0))</f>
        <v>Dual-sport</v>
      </c>
      <c r="L758" s="44" t="str">
        <f>INDEX(CLEANED_MotorPH_Products_List_2!E:E,MATCH(MotorPHSales[[#This Row],[Product]],CLEANED_MotorPH_Products_List_2!$B:$B,0))</f>
        <v>Single cylinder</v>
      </c>
      <c r="M758" s="44" t="str">
        <f>INDEX(CLEANED_MotorPH_Products_List_2!F:F,MATCH(MotorPHSales[[#This Row],[Product]],CLEANED_MotorPH_Products_List_2!$B:$B,0))</f>
        <v>air-cooled</v>
      </c>
      <c r="N758" s="44" t="str">
        <f>INDEX(CLEANED_MotorPH_Products_List_2!G:G,MATCH(MotorPHSales[[#This Row],[Product]],CLEANED_MotorPH_Products_List_2!$B:$B,0))</f>
        <v>249cc</v>
      </c>
      <c r="O758" s="44" t="str">
        <f>INDEX(CLEANED_MotorPH_Products_List_2!K:K,MATCH(MotorPHSales[[#This Row],[Product]],CLEANED_MotorPH_Products_List_2!B:B,0))</f>
        <v>Mid-range</v>
      </c>
      <c r="P758" s="45">
        <f>IF(MotorPHSales[[#This Row],[Segment]]="Entry-level",MotorPHSales[[#This Row],[UnitPrice]]/(1+30%),IF(MotorPHSales[[#This Row],[Segment]]="Mid-range",MotorPHSales[[#This Row],[UnitPrice]]/(1+35%),MotorPHSales[[#This Row],[UnitPrice]]/(1+40%)))*MotorPHSales[[#This Row],[Quantity]]</f>
        <v>2214814.8148148144</v>
      </c>
      <c r="Q758" s="44" t="str">
        <f>INDEX(CLEANED_MotorPH_Products_List_2!H:H,MATCH(MotorPHSales[[#This Row],[Product]],CLEANED_MotorPH_Products_List_2!$B:$B,0))</f>
        <v>5-speed</v>
      </c>
    </row>
    <row r="759" spans="1:17" ht="15.75" x14ac:dyDescent="0.3">
      <c r="A759" s="43">
        <v>45880</v>
      </c>
      <c r="B759" s="44" t="str">
        <f>TEXT(MotorPHSales[[#This Row],[Date]],"mmmm")</f>
        <v>August</v>
      </c>
      <c r="C759" s="44">
        <f>DAY(MotorPHSales[[#This Row],[Date]])</f>
        <v>11</v>
      </c>
      <c r="D759" s="44">
        <f>YEAR(MotorPHSales[[#This Row],[Date]])</f>
        <v>2025</v>
      </c>
      <c r="E759" s="44" t="s">
        <v>194</v>
      </c>
      <c r="F759" s="44" t="s">
        <v>40</v>
      </c>
      <c r="G759" s="45">
        <v>210000</v>
      </c>
      <c r="H759" s="44">
        <v>10</v>
      </c>
      <c r="I759" s="45">
        <v>2100000</v>
      </c>
      <c r="J759" s="44" t="s">
        <v>198</v>
      </c>
      <c r="K759" s="44" t="str">
        <f>INDEX(CLEANED_MotorPH_Products_List_2!C:C,MATCH(MotorPHSales[[#This Row],[Product]],CLEANED_MotorPH_Products_List_2!$B:$B,0))</f>
        <v>Scooter</v>
      </c>
      <c r="L759" s="44" t="str">
        <f>INDEX(CLEANED_MotorPH_Products_List_2!E:E,MATCH(MotorPHSales[[#This Row],[Product]],CLEANED_MotorPH_Products_List_2!$B:$B,0))</f>
        <v>Single cylinder</v>
      </c>
      <c r="M759" s="44" t="str">
        <f>INDEX(CLEANED_MotorPH_Products_List_2!F:F,MATCH(MotorPHSales[[#This Row],[Product]],CLEANED_MotorPH_Products_List_2!$B:$B,0))</f>
        <v>air-cooled</v>
      </c>
      <c r="N759" s="44" t="str">
        <f>INDEX(CLEANED_MotorPH_Products_List_2!G:G,MATCH(MotorPHSales[[#This Row],[Product]],CLEANED_MotorPH_Products_List_2!$B:$B,0))</f>
        <v>150cc</v>
      </c>
      <c r="O759" s="44" t="str">
        <f>INDEX(CLEANED_MotorPH_Products_List_2!K:K,MATCH(MotorPHSales[[#This Row],[Product]],CLEANED_MotorPH_Products_List_2!B:B,0))</f>
        <v>Entry-level</v>
      </c>
      <c r="P759" s="45">
        <f>IF(MotorPHSales[[#This Row],[Segment]]="Entry-level",MotorPHSales[[#This Row],[UnitPrice]]/(1+30%),IF(MotorPHSales[[#This Row],[Segment]]="Mid-range",MotorPHSales[[#This Row],[UnitPrice]]/(1+35%),MotorPHSales[[#This Row],[UnitPrice]]/(1+40%)))*MotorPHSales[[#This Row],[Quantity]]</f>
        <v>1615384.6153846153</v>
      </c>
      <c r="Q759" s="44" t="str">
        <f>INDEX(CLEANED_MotorPH_Products_List_2!H:H,MATCH(MotorPHSales[[#This Row],[Product]],CLEANED_MotorPH_Products_List_2!$B:$B,0))</f>
        <v>CVT</v>
      </c>
    </row>
    <row r="760" spans="1:17" ht="15.75" x14ac:dyDescent="0.3">
      <c r="A760" s="43">
        <v>45847</v>
      </c>
      <c r="B760" s="44" t="str">
        <f>TEXT(MotorPHSales[[#This Row],[Date]],"mmmm")</f>
        <v>July</v>
      </c>
      <c r="C760" s="44">
        <f>DAY(MotorPHSales[[#This Row],[Date]])</f>
        <v>9</v>
      </c>
      <c r="D760" s="44">
        <f>YEAR(MotorPHSales[[#This Row],[Date]])</f>
        <v>2025</v>
      </c>
      <c r="E760" s="44" t="s">
        <v>194</v>
      </c>
      <c r="F760" s="44" t="s">
        <v>51</v>
      </c>
      <c r="G760" s="45">
        <v>78900</v>
      </c>
      <c r="H760" s="44">
        <v>16</v>
      </c>
      <c r="I760" s="45">
        <v>1262400</v>
      </c>
      <c r="J760" s="44" t="s">
        <v>198</v>
      </c>
      <c r="K760" s="44" t="str">
        <f>INDEX(CLEANED_MotorPH_Products_List_2!C:C,MATCH(MotorPHSales[[#This Row],[Product]],CLEANED_MotorPH_Products_List_2!$B:$B,0))</f>
        <v>Adventure</v>
      </c>
      <c r="L760" s="44" t="str">
        <f>INDEX(CLEANED_MotorPH_Products_List_2!E:E,MATCH(MotorPHSales[[#This Row],[Product]],CLEANED_MotorPH_Products_List_2!$B:$B,0))</f>
        <v>Single cylinder</v>
      </c>
      <c r="M760" s="44" t="str">
        <f>INDEX(CLEANED_MotorPH_Products_List_2!F:F,MATCH(MotorPHSales[[#This Row],[Product]],CLEANED_MotorPH_Products_List_2!$B:$B,0))</f>
        <v>oil-cooled</v>
      </c>
      <c r="N760" s="44" t="str">
        <f>INDEX(CLEANED_MotorPH_Products_List_2!G:G,MATCH(MotorPHSales[[#This Row],[Product]],CLEANED_MotorPH_Products_List_2!$B:$B,0))</f>
        <v>223cc</v>
      </c>
      <c r="O760" s="44" t="str">
        <f>INDEX(CLEANED_MotorPH_Products_List_2!K:K,MATCH(MotorPHSales[[#This Row],[Product]],CLEANED_MotorPH_Products_List_2!B:B,0))</f>
        <v>Mid-range</v>
      </c>
      <c r="P760" s="45">
        <f>IF(MotorPHSales[[#This Row],[Segment]]="Entry-level",MotorPHSales[[#This Row],[UnitPrice]]/(1+30%),IF(MotorPHSales[[#This Row],[Segment]]="Mid-range",MotorPHSales[[#This Row],[UnitPrice]]/(1+35%),MotorPHSales[[#This Row],[UnitPrice]]/(1+40%)))*MotorPHSales[[#This Row],[Quantity]]</f>
        <v>935111.11111111101</v>
      </c>
      <c r="Q760" s="44" t="str">
        <f>INDEX(CLEANED_MotorPH_Products_List_2!H:H,MATCH(MotorPHSales[[#This Row],[Product]],CLEANED_MotorPH_Products_List_2!$B:$B,0))</f>
        <v>6-speed</v>
      </c>
    </row>
    <row r="761" spans="1:17" ht="15.75" x14ac:dyDescent="0.3">
      <c r="A761" s="43">
        <v>45834</v>
      </c>
      <c r="B761" s="44" t="str">
        <f>TEXT(MotorPHSales[[#This Row],[Date]],"mmmm")</f>
        <v>June</v>
      </c>
      <c r="C761" s="44">
        <f>DAY(MotorPHSales[[#This Row],[Date]])</f>
        <v>26</v>
      </c>
      <c r="D761" s="44">
        <f>YEAR(MotorPHSales[[#This Row],[Date]])</f>
        <v>2025</v>
      </c>
      <c r="E761" s="44" t="s">
        <v>194</v>
      </c>
      <c r="F761" s="44" t="s">
        <v>28</v>
      </c>
      <c r="G761" s="45">
        <v>164900</v>
      </c>
      <c r="H761" s="44">
        <v>19</v>
      </c>
      <c r="I761" s="45">
        <v>3133100</v>
      </c>
      <c r="J761" s="44" t="s">
        <v>198</v>
      </c>
      <c r="K761" s="44" t="str">
        <f>INDEX(CLEANED_MotorPH_Products_List_2!C:C,MATCH(MotorPHSales[[#This Row],[Product]],CLEANED_MotorPH_Products_List_2!$B:$B,0))</f>
        <v>Scooter</v>
      </c>
      <c r="L761" s="44" t="str">
        <f>INDEX(CLEANED_MotorPH_Products_List_2!E:E,MATCH(MotorPHSales[[#This Row],[Product]],CLEANED_MotorPH_Products_List_2!$B:$B,0))</f>
        <v>Single cylinder</v>
      </c>
      <c r="M761" s="44" t="str">
        <f>INDEX(CLEANED_MotorPH_Products_List_2!F:F,MATCH(MotorPHSales[[#This Row],[Product]],CLEANED_MotorPH_Products_List_2!$B:$B,0))</f>
        <v>liquid-cooled</v>
      </c>
      <c r="N761" s="44" t="str">
        <f>INDEX(CLEANED_MotorPH_Products_List_2!G:G,MATCH(MotorPHSales[[#This Row],[Product]],CLEANED_MotorPH_Products_List_2!$B:$B,0))</f>
        <v>157cc</v>
      </c>
      <c r="O761" s="44" t="str">
        <f>INDEX(CLEANED_MotorPH_Products_List_2!K:K,MATCH(MotorPHSales[[#This Row],[Product]],CLEANED_MotorPH_Products_List_2!B:B,0))</f>
        <v>Entry-level</v>
      </c>
      <c r="P761" s="45">
        <f>IF(MotorPHSales[[#This Row],[Segment]]="Entry-level",MotorPHSales[[#This Row],[UnitPrice]]/(1+30%),IF(MotorPHSales[[#This Row],[Segment]]="Mid-range",MotorPHSales[[#This Row],[UnitPrice]]/(1+35%),MotorPHSales[[#This Row],[UnitPrice]]/(1+40%)))*MotorPHSales[[#This Row],[Quantity]]</f>
        <v>2410076.923076923</v>
      </c>
      <c r="Q761" s="44" t="str">
        <f>INDEX(CLEANED_MotorPH_Products_List_2!H:H,MATCH(MotorPHSales[[#This Row],[Product]],CLEANED_MotorPH_Products_List_2!$B:$B,0))</f>
        <v>CVT</v>
      </c>
    </row>
    <row r="762" spans="1:17" ht="15.75" x14ac:dyDescent="0.3">
      <c r="A762" s="43">
        <v>45842</v>
      </c>
      <c r="B762" s="44" t="str">
        <f>TEXT(MotorPHSales[[#This Row],[Date]],"mmmm")</f>
        <v>July</v>
      </c>
      <c r="C762" s="44">
        <f>DAY(MotorPHSales[[#This Row],[Date]])</f>
        <v>4</v>
      </c>
      <c r="D762" s="44">
        <f>YEAR(MotorPHSales[[#This Row],[Date]])</f>
        <v>2025</v>
      </c>
      <c r="E762" s="44" t="s">
        <v>194</v>
      </c>
      <c r="F762" s="44" t="s">
        <v>30</v>
      </c>
      <c r="G762" s="45">
        <v>79900</v>
      </c>
      <c r="H762" s="44">
        <v>15</v>
      </c>
      <c r="I762" s="45">
        <v>1198500</v>
      </c>
      <c r="J762" s="44" t="s">
        <v>195</v>
      </c>
      <c r="K762" s="44" t="str">
        <f>INDEX(CLEANED_MotorPH_Products_List_2!C:C,MATCH(MotorPHSales[[#This Row],[Product]],CLEANED_MotorPH_Products_List_2!$B:$B,0))</f>
        <v>Scooter</v>
      </c>
      <c r="L762" s="44" t="str">
        <f>INDEX(CLEANED_MotorPH_Products_List_2!E:E,MATCH(MotorPHSales[[#This Row],[Product]],CLEANED_MotorPH_Products_List_2!$B:$B,0))</f>
        <v>Single cylinder</v>
      </c>
      <c r="M762" s="44" t="str">
        <f>INDEX(CLEANED_MotorPH_Products_List_2!F:F,MATCH(MotorPHSales[[#This Row],[Product]],CLEANED_MotorPH_Products_List_2!$B:$B,0))</f>
        <v>air-cooled</v>
      </c>
      <c r="N762" s="44" t="str">
        <f>INDEX(CLEANED_MotorPH_Products_List_2!G:G,MATCH(MotorPHSales[[#This Row],[Product]],CLEANED_MotorPH_Products_List_2!$B:$B,0))</f>
        <v>124cc</v>
      </c>
      <c r="O762" s="44" t="str">
        <f>INDEX(CLEANED_MotorPH_Products_List_2!K:K,MATCH(MotorPHSales[[#This Row],[Product]],CLEANED_MotorPH_Products_List_2!B:B,0))</f>
        <v>Entry-level</v>
      </c>
      <c r="P762" s="45">
        <f>IF(MotorPHSales[[#This Row],[Segment]]="Entry-level",MotorPHSales[[#This Row],[UnitPrice]]/(1+30%),IF(MotorPHSales[[#This Row],[Segment]]="Mid-range",MotorPHSales[[#This Row],[UnitPrice]]/(1+35%),MotorPHSales[[#This Row],[UnitPrice]]/(1+40%)))*MotorPHSales[[#This Row],[Quantity]]</f>
        <v>921923.07692307688</v>
      </c>
      <c r="Q762" s="44" t="str">
        <f>INDEX(CLEANED_MotorPH_Products_List_2!H:H,MATCH(MotorPHSales[[#This Row],[Product]],CLEANED_MotorPH_Products_List_2!$B:$B,0))</f>
        <v>CVT</v>
      </c>
    </row>
    <row r="763" spans="1:17" ht="15.75" x14ac:dyDescent="0.3">
      <c r="A763" s="43">
        <v>45862</v>
      </c>
      <c r="B763" s="44" t="str">
        <f>TEXT(MotorPHSales[[#This Row],[Date]],"mmmm")</f>
        <v>July</v>
      </c>
      <c r="C763" s="44">
        <f>DAY(MotorPHSales[[#This Row],[Date]])</f>
        <v>24</v>
      </c>
      <c r="D763" s="44">
        <f>YEAR(MotorPHSales[[#This Row],[Date]])</f>
        <v>2025</v>
      </c>
      <c r="E763" s="44" t="s">
        <v>194</v>
      </c>
      <c r="F763" s="44" t="s">
        <v>99</v>
      </c>
      <c r="G763" s="45">
        <v>689000</v>
      </c>
      <c r="H763" s="44">
        <v>12</v>
      </c>
      <c r="I763" s="45">
        <v>8268000</v>
      </c>
      <c r="J763" s="44" t="s">
        <v>197</v>
      </c>
      <c r="K763" s="44" t="str">
        <f>INDEX(CLEANED_MotorPH_Products_List_2!C:C,MATCH(MotorPHSales[[#This Row],[Product]],CLEANED_MotorPH_Products_List_2!$B:$B,0))</f>
        <v>Heritage</v>
      </c>
      <c r="L763" s="44" t="str">
        <f>INDEX(CLEANED_MotorPH_Products_List_2!E:E,MATCH(MotorPHSales[[#This Row],[Product]],CLEANED_MotorPH_Products_List_2!$B:$B,0))</f>
        <v>V-twin</v>
      </c>
      <c r="M763" s="44" t="str">
        <f>INDEX(CLEANED_MotorPH_Products_List_2!F:F,MATCH(MotorPHSales[[#This Row],[Product]],CLEANED_MotorPH_Products_List_2!$B:$B,0))</f>
        <v>air-cooled</v>
      </c>
      <c r="N763" s="44" t="str">
        <f>INDEX(CLEANED_MotorPH_Products_List_2!G:G,MATCH(MotorPHSales[[#This Row],[Product]],CLEANED_MotorPH_Products_List_2!$B:$B,0))</f>
        <v>853cc</v>
      </c>
      <c r="O763" s="44" t="str">
        <f>INDEX(CLEANED_MotorPH_Products_List_2!K:K,MATCH(MotorPHSales[[#This Row],[Product]],CLEANED_MotorPH_Products_List_2!B:B,0))</f>
        <v>Premium</v>
      </c>
      <c r="P763" s="45">
        <f>IF(MotorPHSales[[#This Row],[Segment]]="Entry-level",MotorPHSales[[#This Row],[UnitPrice]]/(1+30%),IF(MotorPHSales[[#This Row],[Segment]]="Mid-range",MotorPHSales[[#This Row],[UnitPrice]]/(1+35%),MotorPHSales[[#This Row],[UnitPrice]]/(1+40%)))*MotorPHSales[[#This Row],[Quantity]]</f>
        <v>5905714.2857142854</v>
      </c>
      <c r="Q763" s="44" t="str">
        <f>INDEX(CLEANED_MotorPH_Products_List_2!H:H,MATCH(MotorPHSales[[#This Row],[Product]],CLEANED_MotorPH_Products_List_2!$B:$B,0))</f>
        <v>6-speed</v>
      </c>
    </row>
    <row r="764" spans="1:17" ht="15.75" x14ac:dyDescent="0.3">
      <c r="A764" s="43">
        <v>45811</v>
      </c>
      <c r="B764" s="44" t="str">
        <f>TEXT(MotorPHSales[[#This Row],[Date]],"mmmm")</f>
        <v>June</v>
      </c>
      <c r="C764" s="44">
        <f>DAY(MotorPHSales[[#This Row],[Date]])</f>
        <v>3</v>
      </c>
      <c r="D764" s="44">
        <f>YEAR(MotorPHSales[[#This Row],[Date]])</f>
        <v>2025</v>
      </c>
      <c r="E764" s="44" t="s">
        <v>194</v>
      </c>
      <c r="F764" s="44" t="s">
        <v>49</v>
      </c>
      <c r="G764" s="45">
        <v>68900</v>
      </c>
      <c r="H764" s="44">
        <v>5</v>
      </c>
      <c r="I764" s="45">
        <v>344500</v>
      </c>
      <c r="J764" s="44" t="s">
        <v>198</v>
      </c>
      <c r="K764" s="44" t="str">
        <f>INDEX(CLEANED_MotorPH_Products_List_2!C:C,MATCH(MotorPHSales[[#This Row],[Product]],CLEANED_MotorPH_Products_List_2!$B:$B,0))</f>
        <v>Standard</v>
      </c>
      <c r="L764" s="44" t="str">
        <f>INDEX(CLEANED_MotorPH_Products_List_2!E:E,MATCH(MotorPHSales[[#This Row],[Product]],CLEANED_MotorPH_Products_List_2!$B:$B,0))</f>
        <v>Single cylinder</v>
      </c>
      <c r="M764" s="44" t="str">
        <f>INDEX(CLEANED_MotorPH_Products_List_2!F:F,MATCH(MotorPHSales[[#This Row],[Product]],CLEANED_MotorPH_Products_List_2!$B:$B,0))</f>
        <v>air-cooled</v>
      </c>
      <c r="N764" s="44" t="str">
        <f>INDEX(CLEANED_MotorPH_Products_List_2!G:G,MATCH(MotorPHSales[[#This Row],[Product]],CLEANED_MotorPH_Products_List_2!$B:$B,0))</f>
        <v>149cc</v>
      </c>
      <c r="O764" s="44" t="str">
        <f>INDEX(CLEANED_MotorPH_Products_List_2!K:K,MATCH(MotorPHSales[[#This Row],[Product]],CLEANED_MotorPH_Products_List_2!B:B,0))</f>
        <v>Entry-level</v>
      </c>
      <c r="P764" s="45">
        <f>IF(MotorPHSales[[#This Row],[Segment]]="Entry-level",MotorPHSales[[#This Row],[UnitPrice]]/(1+30%),IF(MotorPHSales[[#This Row],[Segment]]="Mid-range",MotorPHSales[[#This Row],[UnitPrice]]/(1+35%),MotorPHSales[[#This Row],[UnitPrice]]/(1+40%)))*MotorPHSales[[#This Row],[Quantity]]</f>
        <v>265000</v>
      </c>
      <c r="Q764" s="44" t="str">
        <f>INDEX(CLEANED_MotorPH_Products_List_2!H:H,MATCH(MotorPHSales[[#This Row],[Product]],CLEANED_MotorPH_Products_List_2!$B:$B,0))</f>
        <v>5-speed</v>
      </c>
    </row>
    <row r="765" spans="1:17" ht="15.75" x14ac:dyDescent="0.3">
      <c r="A765" s="43">
        <v>45858</v>
      </c>
      <c r="B765" s="44" t="str">
        <f>TEXT(MotorPHSales[[#This Row],[Date]],"mmmm")</f>
        <v>July</v>
      </c>
      <c r="C765" s="44">
        <f>DAY(MotorPHSales[[#This Row],[Date]])</f>
        <v>20</v>
      </c>
      <c r="D765" s="44">
        <f>YEAR(MotorPHSales[[#This Row],[Date]])</f>
        <v>2025</v>
      </c>
      <c r="E765" s="44" t="s">
        <v>194</v>
      </c>
      <c r="F765" s="44" t="s">
        <v>72</v>
      </c>
      <c r="G765" s="45">
        <v>319000</v>
      </c>
      <c r="H765" s="44">
        <v>2</v>
      </c>
      <c r="I765" s="45">
        <v>638000</v>
      </c>
      <c r="J765" s="44" t="s">
        <v>198</v>
      </c>
      <c r="K765" s="44" t="str">
        <f>INDEX(CLEANED_MotorPH_Products_List_2!C:C,MATCH(MotorPHSales[[#This Row],[Product]],CLEANED_MotorPH_Products_List_2!$B:$B,0))</f>
        <v>Scooter</v>
      </c>
      <c r="L765" s="44" t="str">
        <f>INDEX(CLEANED_MotorPH_Products_List_2!E:E,MATCH(MotorPHSales[[#This Row],[Product]],CLEANED_MotorPH_Products_List_2!$B:$B,0))</f>
        <v>Single cylinder</v>
      </c>
      <c r="M765" s="44" t="str">
        <f>INDEX(CLEANED_MotorPH_Products_List_2!F:F,MATCH(MotorPHSales[[#This Row],[Product]],CLEANED_MotorPH_Products_List_2!$B:$B,0))</f>
        <v>liquid-cooled</v>
      </c>
      <c r="N765" s="44" t="str">
        <f>INDEX(CLEANED_MotorPH_Products_List_2!G:G,MATCH(MotorPHSales[[#This Row],[Product]],CLEANED_MotorPH_Products_List_2!$B:$B,0))</f>
        <v>292cc</v>
      </c>
      <c r="O765" s="44" t="str">
        <f>INDEX(CLEANED_MotorPH_Products_List_2!K:K,MATCH(MotorPHSales[[#This Row],[Product]],CLEANED_MotorPH_Products_List_2!B:B,0))</f>
        <v>Mid-range</v>
      </c>
      <c r="P765" s="45">
        <f>IF(MotorPHSales[[#This Row],[Segment]]="Entry-level",MotorPHSales[[#This Row],[UnitPrice]]/(1+30%),IF(MotorPHSales[[#This Row],[Segment]]="Mid-range",MotorPHSales[[#This Row],[UnitPrice]]/(1+35%),MotorPHSales[[#This Row],[UnitPrice]]/(1+40%)))*MotorPHSales[[#This Row],[Quantity]]</f>
        <v>472592.59259259258</v>
      </c>
      <c r="Q765" s="44" t="str">
        <f>INDEX(CLEANED_MotorPH_Products_List_2!H:H,MATCH(MotorPHSales[[#This Row],[Product]],CLEANED_MotorPH_Products_List_2!$B:$B,0))</f>
        <v>CVT</v>
      </c>
    </row>
    <row r="766" spans="1:17" ht="15.75" x14ac:dyDescent="0.3">
      <c r="A766" s="43">
        <v>45820</v>
      </c>
      <c r="B766" s="44" t="str">
        <f>TEXT(MotorPHSales[[#This Row],[Date]],"mmmm")</f>
        <v>June</v>
      </c>
      <c r="C766" s="44">
        <f>DAY(MotorPHSales[[#This Row],[Date]])</f>
        <v>12</v>
      </c>
      <c r="D766" s="44">
        <f>YEAR(MotorPHSales[[#This Row],[Date]])</f>
        <v>2025</v>
      </c>
      <c r="E766" s="44" t="s">
        <v>196</v>
      </c>
      <c r="F766" s="44" t="s">
        <v>49</v>
      </c>
      <c r="G766" s="45">
        <v>68900</v>
      </c>
      <c r="H766" s="44">
        <v>11</v>
      </c>
      <c r="I766" s="45">
        <v>757900</v>
      </c>
      <c r="J766" s="44" t="s">
        <v>195</v>
      </c>
      <c r="K766" s="44" t="str">
        <f>INDEX(CLEANED_MotorPH_Products_List_2!C:C,MATCH(MotorPHSales[[#This Row],[Product]],CLEANED_MotorPH_Products_List_2!$B:$B,0))</f>
        <v>Standard</v>
      </c>
      <c r="L766" s="44" t="str">
        <f>INDEX(CLEANED_MotorPH_Products_List_2!E:E,MATCH(MotorPHSales[[#This Row],[Product]],CLEANED_MotorPH_Products_List_2!$B:$B,0))</f>
        <v>Single cylinder</v>
      </c>
      <c r="M766" s="44" t="str">
        <f>INDEX(CLEANED_MotorPH_Products_List_2!F:F,MATCH(MotorPHSales[[#This Row],[Product]],CLEANED_MotorPH_Products_List_2!$B:$B,0))</f>
        <v>air-cooled</v>
      </c>
      <c r="N766" s="44" t="str">
        <f>INDEX(CLEANED_MotorPH_Products_List_2!G:G,MATCH(MotorPHSales[[#This Row],[Product]],CLEANED_MotorPH_Products_List_2!$B:$B,0))</f>
        <v>149cc</v>
      </c>
      <c r="O766" s="44" t="str">
        <f>INDEX(CLEANED_MotorPH_Products_List_2!K:K,MATCH(MotorPHSales[[#This Row],[Product]],CLEANED_MotorPH_Products_List_2!B:B,0))</f>
        <v>Entry-level</v>
      </c>
      <c r="P766" s="45">
        <f>IF(MotorPHSales[[#This Row],[Segment]]="Entry-level",MotorPHSales[[#This Row],[UnitPrice]]/(1+30%),IF(MotorPHSales[[#This Row],[Segment]]="Mid-range",MotorPHSales[[#This Row],[UnitPrice]]/(1+35%),MotorPHSales[[#This Row],[UnitPrice]]/(1+40%)))*MotorPHSales[[#This Row],[Quantity]]</f>
        <v>583000</v>
      </c>
      <c r="Q766" s="44" t="str">
        <f>INDEX(CLEANED_MotorPH_Products_List_2!H:H,MATCH(MotorPHSales[[#This Row],[Product]],CLEANED_MotorPH_Products_List_2!$B:$B,0))</f>
        <v>5-speed</v>
      </c>
    </row>
    <row r="767" spans="1:17" ht="15.75" x14ac:dyDescent="0.3">
      <c r="A767" s="43">
        <v>45873</v>
      </c>
      <c r="B767" s="44" t="str">
        <f>TEXT(MotorPHSales[[#This Row],[Date]],"mmmm")</f>
        <v>August</v>
      </c>
      <c r="C767" s="44">
        <f>DAY(MotorPHSales[[#This Row],[Date]])</f>
        <v>4</v>
      </c>
      <c r="D767" s="44">
        <f>YEAR(MotorPHSales[[#This Row],[Date]])</f>
        <v>2025</v>
      </c>
      <c r="E767" s="44" t="s">
        <v>194</v>
      </c>
      <c r="F767" s="44" t="s">
        <v>32</v>
      </c>
      <c r="G767" s="45">
        <v>198000</v>
      </c>
      <c r="H767" s="44">
        <v>29</v>
      </c>
      <c r="I767" s="45">
        <v>5742000</v>
      </c>
      <c r="J767" s="44" t="s">
        <v>195</v>
      </c>
      <c r="K767" s="44" t="str">
        <f>INDEX(CLEANED_MotorPH_Products_List_2!C:C,MATCH(MotorPHSales[[#This Row],[Product]],CLEANED_MotorPH_Products_List_2!$B:$B,0))</f>
        <v>Sport</v>
      </c>
      <c r="L767" s="44" t="str">
        <f>INDEX(CLEANED_MotorPH_Products_List_2!E:E,MATCH(MotorPHSales[[#This Row],[Product]],CLEANED_MotorPH_Products_List_2!$B:$B,0))</f>
        <v>Single cylinder</v>
      </c>
      <c r="M767" s="44" t="str">
        <f>INDEX(CLEANED_MotorPH_Products_List_2!F:F,MATCH(MotorPHSales[[#This Row],[Product]],CLEANED_MotorPH_Products_List_2!$B:$B,0))</f>
        <v>liquid-cooled</v>
      </c>
      <c r="N767" s="44" t="str">
        <f>INDEX(CLEANED_MotorPH_Products_List_2!G:G,MATCH(MotorPHSales[[#This Row],[Product]],CLEANED_MotorPH_Products_List_2!$B:$B,0))</f>
        <v>199cc</v>
      </c>
      <c r="O767" s="44" t="str">
        <f>INDEX(CLEANED_MotorPH_Products_List_2!K:K,MATCH(MotorPHSales[[#This Row],[Product]],CLEANED_MotorPH_Products_List_2!B:B,0))</f>
        <v>Entry-level</v>
      </c>
      <c r="P767" s="45">
        <f>IF(MotorPHSales[[#This Row],[Segment]]="Entry-level",MotorPHSales[[#This Row],[UnitPrice]]/(1+30%),IF(MotorPHSales[[#This Row],[Segment]]="Mid-range",MotorPHSales[[#This Row],[UnitPrice]]/(1+35%),MotorPHSales[[#This Row],[UnitPrice]]/(1+40%)))*MotorPHSales[[#This Row],[Quantity]]</f>
        <v>4416923.076923077</v>
      </c>
      <c r="Q767" s="44" t="str">
        <f>INDEX(CLEANED_MotorPH_Products_List_2!H:H,MATCH(MotorPHSales[[#This Row],[Product]],CLEANED_MotorPH_Products_List_2!$B:$B,0))</f>
        <v>6-speed</v>
      </c>
    </row>
    <row r="768" spans="1:17" ht="15.75" x14ac:dyDescent="0.3">
      <c r="A768" s="43">
        <v>45862</v>
      </c>
      <c r="B768" s="44" t="str">
        <f>TEXT(MotorPHSales[[#This Row],[Date]],"mmmm")</f>
        <v>July</v>
      </c>
      <c r="C768" s="44">
        <f>DAY(MotorPHSales[[#This Row],[Date]])</f>
        <v>24</v>
      </c>
      <c r="D768" s="44">
        <f>YEAR(MotorPHSales[[#This Row],[Date]])</f>
        <v>2025</v>
      </c>
      <c r="E768" s="44" t="s">
        <v>194</v>
      </c>
      <c r="F768" s="44" t="s">
        <v>94</v>
      </c>
      <c r="G768" s="45">
        <v>299000</v>
      </c>
      <c r="H768" s="44">
        <v>33</v>
      </c>
      <c r="I768" s="45">
        <v>9867000</v>
      </c>
      <c r="J768" s="44" t="s">
        <v>197</v>
      </c>
      <c r="K768" s="44" t="str">
        <f>INDEX(CLEANED_MotorPH_Products_List_2!C:C,MATCH(MotorPHSales[[#This Row],[Product]],CLEANED_MotorPH_Products_List_2!$B:$B,0))</f>
        <v>Dual-sport</v>
      </c>
      <c r="L768" s="44" t="str">
        <f>INDEX(CLEANED_MotorPH_Products_List_2!E:E,MATCH(MotorPHSales[[#This Row],[Product]],CLEANED_MotorPH_Products_List_2!$B:$B,0))</f>
        <v>Single cylinder</v>
      </c>
      <c r="M768" s="44" t="str">
        <f>INDEX(CLEANED_MotorPH_Products_List_2!F:F,MATCH(MotorPHSales[[#This Row],[Product]],CLEANED_MotorPH_Products_List_2!$B:$B,0))</f>
        <v>air-cooled</v>
      </c>
      <c r="N768" s="44" t="str">
        <f>INDEX(CLEANED_MotorPH_Products_List_2!G:G,MATCH(MotorPHSales[[#This Row],[Product]],CLEANED_MotorPH_Products_List_2!$B:$B,0))</f>
        <v>249cc</v>
      </c>
      <c r="O768" s="44" t="str">
        <f>INDEX(CLEANED_MotorPH_Products_List_2!K:K,MATCH(MotorPHSales[[#This Row],[Product]],CLEANED_MotorPH_Products_List_2!B:B,0))</f>
        <v>Mid-range</v>
      </c>
      <c r="P768" s="45">
        <f>IF(MotorPHSales[[#This Row],[Segment]]="Entry-level",MotorPHSales[[#This Row],[UnitPrice]]/(1+30%),IF(MotorPHSales[[#This Row],[Segment]]="Mid-range",MotorPHSales[[#This Row],[UnitPrice]]/(1+35%),MotorPHSales[[#This Row],[UnitPrice]]/(1+40%)))*MotorPHSales[[#This Row],[Quantity]]</f>
        <v>7308888.8888888881</v>
      </c>
      <c r="Q768" s="44" t="str">
        <f>INDEX(CLEANED_MotorPH_Products_List_2!H:H,MATCH(MotorPHSales[[#This Row],[Product]],CLEANED_MotorPH_Products_List_2!$B:$B,0))</f>
        <v>5-speed</v>
      </c>
    </row>
    <row r="769" spans="1:17" ht="15.75" x14ac:dyDescent="0.3">
      <c r="A769" s="43">
        <v>45813</v>
      </c>
      <c r="B769" s="44" t="str">
        <f>TEXT(MotorPHSales[[#This Row],[Date]],"mmmm")</f>
        <v>June</v>
      </c>
      <c r="C769" s="44">
        <f>DAY(MotorPHSales[[#This Row],[Date]])</f>
        <v>5</v>
      </c>
      <c r="D769" s="44">
        <f>YEAR(MotorPHSales[[#This Row],[Date]])</f>
        <v>2025</v>
      </c>
      <c r="E769" s="44" t="s">
        <v>194</v>
      </c>
      <c r="F769" s="44" t="s">
        <v>55</v>
      </c>
      <c r="G769" s="45">
        <v>80900</v>
      </c>
      <c r="H769" s="44">
        <v>28</v>
      </c>
      <c r="I769" s="45">
        <v>2265200</v>
      </c>
      <c r="J769" s="44" t="s">
        <v>198</v>
      </c>
      <c r="K769" s="44" t="str">
        <f>INDEX(CLEANED_MotorPH_Products_List_2!C:C,MATCH(MotorPHSales[[#This Row],[Product]],CLEANED_MotorPH_Products_List_2!$B:$B,0))</f>
        <v>Scooter</v>
      </c>
      <c r="L769" s="44" t="str">
        <f>INDEX(CLEANED_MotorPH_Products_List_2!E:E,MATCH(MotorPHSales[[#This Row],[Product]],CLEANED_MotorPH_Products_List_2!$B:$B,0))</f>
        <v>Single cylinder</v>
      </c>
      <c r="M769" s="44" t="str">
        <f>INDEX(CLEANED_MotorPH_Products_List_2!F:F,MATCH(MotorPHSales[[#This Row],[Product]],CLEANED_MotorPH_Products_List_2!$B:$B,0))</f>
        <v>liquid-cooled</v>
      </c>
      <c r="N769" s="44" t="str">
        <f>INDEX(CLEANED_MotorPH_Products_List_2!G:G,MATCH(MotorPHSales[[#This Row],[Product]],CLEANED_MotorPH_Products_List_2!$B:$B,0))</f>
        <v>125cc</v>
      </c>
      <c r="O769" s="44" t="str">
        <f>INDEX(CLEANED_MotorPH_Products_List_2!K:K,MATCH(MotorPHSales[[#This Row],[Product]],CLEANED_MotorPH_Products_List_2!B:B,0))</f>
        <v>Entry-level</v>
      </c>
      <c r="P769" s="45">
        <f>IF(MotorPHSales[[#This Row],[Segment]]="Entry-level",MotorPHSales[[#This Row],[UnitPrice]]/(1+30%),IF(MotorPHSales[[#This Row],[Segment]]="Mid-range",MotorPHSales[[#This Row],[UnitPrice]]/(1+35%),MotorPHSales[[#This Row],[UnitPrice]]/(1+40%)))*MotorPHSales[[#This Row],[Quantity]]</f>
        <v>1742461.5384615383</v>
      </c>
      <c r="Q769" s="44" t="str">
        <f>INDEX(CLEANED_MotorPH_Products_List_2!H:H,MATCH(MotorPHSales[[#This Row],[Product]],CLEANED_MotorPH_Products_List_2!$B:$B,0))</f>
        <v>CVT</v>
      </c>
    </row>
    <row r="770" spans="1:17" ht="15.75" x14ac:dyDescent="0.3">
      <c r="A770" s="43">
        <v>45865</v>
      </c>
      <c r="B770" s="44" t="str">
        <f>TEXT(MotorPHSales[[#This Row],[Date]],"mmmm")</f>
        <v>July</v>
      </c>
      <c r="C770" s="44">
        <f>DAY(MotorPHSales[[#This Row],[Date]])</f>
        <v>27</v>
      </c>
      <c r="D770" s="44">
        <f>YEAR(MotorPHSales[[#This Row],[Date]])</f>
        <v>2025</v>
      </c>
      <c r="E770" s="44" t="s">
        <v>196</v>
      </c>
      <c r="F770" s="44" t="s">
        <v>68</v>
      </c>
      <c r="G770" s="45">
        <v>248000</v>
      </c>
      <c r="H770" s="44">
        <v>29</v>
      </c>
      <c r="I770" s="45">
        <v>7192000</v>
      </c>
      <c r="J770" s="44" t="s">
        <v>197</v>
      </c>
      <c r="K770" s="44" t="str">
        <f>INDEX(CLEANED_MotorPH_Products_List_2!C:C,MATCH(MotorPHSales[[#This Row],[Product]],CLEANED_MotorPH_Products_List_2!$B:$B,0))</f>
        <v>Adventure</v>
      </c>
      <c r="L770" s="44" t="str">
        <f>INDEX(CLEANED_MotorPH_Products_List_2!E:E,MATCH(MotorPHSales[[#This Row],[Product]],CLEANED_MotorPH_Products_List_2!$B:$B,0))</f>
        <v>Single cylinder</v>
      </c>
      <c r="M770" s="44" t="str">
        <f>INDEX(CLEANED_MotorPH_Products_List_2!F:F,MATCH(MotorPHSales[[#This Row],[Product]],CLEANED_MotorPH_Products_List_2!$B:$B,0))</f>
        <v>liquid-cooled</v>
      </c>
      <c r="N770" s="44" t="str">
        <f>INDEX(CLEANED_MotorPH_Products_List_2!G:G,MATCH(MotorPHSales[[#This Row],[Product]],CLEANED_MotorPH_Products_List_2!$B:$B,0))</f>
        <v>312cc</v>
      </c>
      <c r="O770" s="44" t="str">
        <f>INDEX(CLEANED_MotorPH_Products_List_2!K:K,MATCH(MotorPHSales[[#This Row],[Product]],CLEANED_MotorPH_Products_List_2!B:B,0))</f>
        <v>Mid-range</v>
      </c>
      <c r="P770" s="45">
        <f>IF(MotorPHSales[[#This Row],[Segment]]="Entry-level",MotorPHSales[[#This Row],[UnitPrice]]/(1+30%),IF(MotorPHSales[[#This Row],[Segment]]="Mid-range",MotorPHSales[[#This Row],[UnitPrice]]/(1+35%),MotorPHSales[[#This Row],[UnitPrice]]/(1+40%)))*MotorPHSales[[#This Row],[Quantity]]</f>
        <v>5327407.4074074067</v>
      </c>
      <c r="Q770" s="44" t="str">
        <f>INDEX(CLEANED_MotorPH_Products_List_2!H:H,MATCH(MotorPHSales[[#This Row],[Product]],CLEANED_MotorPH_Products_List_2!$B:$B,0))</f>
        <v>6-speed</v>
      </c>
    </row>
    <row r="771" spans="1:17" ht="15.75" x14ac:dyDescent="0.3">
      <c r="A771" s="43">
        <v>45825</v>
      </c>
      <c r="B771" s="44" t="str">
        <f>TEXT(MotorPHSales[[#This Row],[Date]],"mmmm")</f>
        <v>June</v>
      </c>
      <c r="C771" s="44">
        <f>DAY(MotorPHSales[[#This Row],[Date]])</f>
        <v>17</v>
      </c>
      <c r="D771" s="44">
        <f>YEAR(MotorPHSales[[#This Row],[Date]])</f>
        <v>2025</v>
      </c>
      <c r="E771" s="44" t="s">
        <v>194</v>
      </c>
      <c r="F771" s="44" t="s">
        <v>74</v>
      </c>
      <c r="G771" s="45">
        <v>349000</v>
      </c>
      <c r="H771" s="44">
        <v>41</v>
      </c>
      <c r="I771" s="45">
        <v>14309000</v>
      </c>
      <c r="J771" s="44" t="s">
        <v>197</v>
      </c>
      <c r="K771" s="44" t="str">
        <f>INDEX(CLEANED_MotorPH_Products_List_2!C:C,MATCH(MotorPHSales[[#This Row],[Product]],CLEANED_MotorPH_Products_List_2!$B:$B,0))</f>
        <v>Cruiser</v>
      </c>
      <c r="L771" s="44" t="str">
        <f>INDEX(CLEANED_MotorPH_Products_List_2!E:E,MATCH(MotorPHSales[[#This Row],[Product]],CLEANED_MotorPH_Products_List_2!$B:$B,0))</f>
        <v>Parallel-twin</v>
      </c>
      <c r="M771" s="44" t="str">
        <f>INDEX(CLEANED_MotorPH_Products_List_2!F:F,MATCH(MotorPHSales[[#This Row],[Product]],CLEANED_MotorPH_Products_List_2!$B:$B,0))</f>
        <v>liquid-cooled</v>
      </c>
      <c r="N771" s="44" t="str">
        <f>INDEX(CLEANED_MotorPH_Products_List_2!G:G,MATCH(MotorPHSales[[#This Row],[Product]],CLEANED_MotorPH_Products_List_2!$B:$B,0))</f>
        <v>500cc</v>
      </c>
      <c r="O771" s="44" t="str">
        <f>INDEX(CLEANED_MotorPH_Products_List_2!K:K,MATCH(MotorPHSales[[#This Row],[Product]],CLEANED_MotorPH_Products_List_2!B:B,0))</f>
        <v>Mid-range</v>
      </c>
      <c r="P771" s="45">
        <f>IF(MotorPHSales[[#This Row],[Segment]]="Entry-level",MotorPHSales[[#This Row],[UnitPrice]]/(1+30%),IF(MotorPHSales[[#This Row],[Segment]]="Mid-range",MotorPHSales[[#This Row],[UnitPrice]]/(1+35%),MotorPHSales[[#This Row],[UnitPrice]]/(1+40%)))*MotorPHSales[[#This Row],[Quantity]]</f>
        <v>10599259.259259259</v>
      </c>
      <c r="Q771" s="44" t="str">
        <f>INDEX(CLEANED_MotorPH_Products_List_2!H:H,MATCH(MotorPHSales[[#This Row],[Product]],CLEANED_MotorPH_Products_List_2!$B:$B,0))</f>
        <v>6-speed</v>
      </c>
    </row>
    <row r="772" spans="1:17" ht="15.75" x14ac:dyDescent="0.3">
      <c r="A772" s="43">
        <v>45855</v>
      </c>
      <c r="B772" s="44" t="str">
        <f>TEXT(MotorPHSales[[#This Row],[Date]],"mmmm")</f>
        <v>July</v>
      </c>
      <c r="C772" s="44">
        <f>DAY(MotorPHSales[[#This Row],[Date]])</f>
        <v>17</v>
      </c>
      <c r="D772" s="44">
        <f>YEAR(MotorPHSales[[#This Row],[Date]])</f>
        <v>2025</v>
      </c>
      <c r="E772" s="44" t="s">
        <v>196</v>
      </c>
      <c r="F772" s="44" t="s">
        <v>90</v>
      </c>
      <c r="G772" s="45">
        <v>165000</v>
      </c>
      <c r="H772" s="44">
        <v>37</v>
      </c>
      <c r="I772" s="45">
        <v>6105000</v>
      </c>
      <c r="J772" s="44" t="s">
        <v>198</v>
      </c>
      <c r="K772" s="44" t="str">
        <f>INDEX(CLEANED_MotorPH_Products_List_2!C:C,MATCH(MotorPHSales[[#This Row],[Product]],CLEANED_MotorPH_Products_List_2!$B:$B,0))</f>
        <v>Sport</v>
      </c>
      <c r="L772" s="44" t="str">
        <f>INDEX(CLEANED_MotorPH_Products_List_2!E:E,MATCH(MotorPHSales[[#This Row],[Product]],CLEANED_MotorPH_Products_List_2!$B:$B,0))</f>
        <v>Single cylinder</v>
      </c>
      <c r="M772" s="44" t="str">
        <f>INDEX(CLEANED_MotorPH_Products_List_2!F:F,MATCH(MotorPHSales[[#This Row],[Product]],CLEANED_MotorPH_Products_List_2!$B:$B,0))</f>
        <v>liquid-cooled</v>
      </c>
      <c r="N772" s="44" t="str">
        <f>INDEX(CLEANED_MotorPH_Products_List_2!G:G,MATCH(MotorPHSales[[#This Row],[Product]],CLEANED_MotorPH_Products_List_2!$B:$B,0))</f>
        <v>292cc</v>
      </c>
      <c r="O772" s="44" t="str">
        <f>INDEX(CLEANED_MotorPH_Products_List_2!K:K,MATCH(MotorPHSales[[#This Row],[Product]],CLEANED_MotorPH_Products_List_2!B:B,0))</f>
        <v>Mid-range</v>
      </c>
      <c r="P772" s="45">
        <f>IF(MotorPHSales[[#This Row],[Segment]]="Entry-level",MotorPHSales[[#This Row],[UnitPrice]]/(1+30%),IF(MotorPHSales[[#This Row],[Segment]]="Mid-range",MotorPHSales[[#This Row],[UnitPrice]]/(1+35%),MotorPHSales[[#This Row],[UnitPrice]]/(1+40%)))*MotorPHSales[[#This Row],[Quantity]]</f>
        <v>4522222.222222222</v>
      </c>
      <c r="Q772" s="44" t="str">
        <f>INDEX(CLEANED_MotorPH_Products_List_2!H:H,MATCH(MotorPHSales[[#This Row],[Product]],CLEANED_MotorPH_Products_List_2!$B:$B,0))</f>
        <v>6-speed</v>
      </c>
    </row>
    <row r="773" spans="1:17" ht="15.75" x14ac:dyDescent="0.3">
      <c r="A773" s="43">
        <v>45831</v>
      </c>
      <c r="B773" s="44" t="str">
        <f>TEXT(MotorPHSales[[#This Row],[Date]],"mmmm")</f>
        <v>June</v>
      </c>
      <c r="C773" s="44">
        <f>DAY(MotorPHSales[[#This Row],[Date]])</f>
        <v>23</v>
      </c>
      <c r="D773" s="44">
        <f>YEAR(MotorPHSales[[#This Row],[Date]])</f>
        <v>2025</v>
      </c>
      <c r="E773" s="44" t="s">
        <v>194</v>
      </c>
      <c r="F773" s="44" t="s">
        <v>42</v>
      </c>
      <c r="G773" s="45">
        <v>125000</v>
      </c>
      <c r="H773" s="44">
        <v>15</v>
      </c>
      <c r="I773" s="45">
        <v>1875000</v>
      </c>
      <c r="J773" s="44" t="s">
        <v>198</v>
      </c>
      <c r="K773" s="44" t="str">
        <f>INDEX(CLEANED_MotorPH_Products_List_2!C:C,MATCH(MotorPHSales[[#This Row],[Product]],CLEANED_MotorPH_Products_List_2!$B:$B,0))</f>
        <v>Naked bike</v>
      </c>
      <c r="L773" s="44" t="str">
        <f>INDEX(CLEANED_MotorPH_Products_List_2!E:E,MATCH(MotorPHSales[[#This Row],[Product]],CLEANED_MotorPH_Products_List_2!$B:$B,0))</f>
        <v>Single cylinder</v>
      </c>
      <c r="M773" s="44" t="str">
        <f>INDEX(CLEANED_MotorPH_Products_List_2!F:F,MATCH(MotorPHSales[[#This Row],[Product]],CLEANED_MotorPH_Products_List_2!$B:$B,0))</f>
        <v>liquid-cooled</v>
      </c>
      <c r="N773" s="44" t="str">
        <f>INDEX(CLEANED_MotorPH_Products_List_2!G:G,MATCH(MotorPHSales[[#This Row],[Product]],CLEANED_MotorPH_Products_List_2!$B:$B,0))</f>
        <v>147cc</v>
      </c>
      <c r="O773" s="44" t="str">
        <f>INDEX(CLEANED_MotorPH_Products_List_2!K:K,MATCH(MotorPHSales[[#This Row],[Product]],CLEANED_MotorPH_Products_List_2!B:B,0))</f>
        <v>Entry-level</v>
      </c>
      <c r="P773" s="45">
        <f>IF(MotorPHSales[[#This Row],[Segment]]="Entry-level",MotorPHSales[[#This Row],[UnitPrice]]/(1+30%),IF(MotorPHSales[[#This Row],[Segment]]="Mid-range",MotorPHSales[[#This Row],[UnitPrice]]/(1+35%),MotorPHSales[[#This Row],[UnitPrice]]/(1+40%)))*MotorPHSales[[#This Row],[Quantity]]</f>
        <v>1442307.6923076923</v>
      </c>
      <c r="Q773" s="44" t="str">
        <f>INDEX(CLEANED_MotorPH_Products_List_2!H:H,MATCH(MotorPHSales[[#This Row],[Product]],CLEANED_MotorPH_Products_List_2!$B:$B,0))</f>
        <v>6-speed</v>
      </c>
    </row>
    <row r="774" spans="1:17" ht="15.75" x14ac:dyDescent="0.3">
      <c r="A774" s="43">
        <v>45887</v>
      </c>
      <c r="B774" s="44" t="str">
        <f>TEXT(MotorPHSales[[#This Row],[Date]],"mmmm")</f>
        <v>August</v>
      </c>
      <c r="C774" s="44">
        <f>DAY(MotorPHSales[[#This Row],[Date]])</f>
        <v>18</v>
      </c>
      <c r="D774" s="44">
        <f>YEAR(MotorPHSales[[#This Row],[Date]])</f>
        <v>2025</v>
      </c>
      <c r="E774" s="44" t="s">
        <v>196</v>
      </c>
      <c r="F774" s="44" t="s">
        <v>30</v>
      </c>
      <c r="G774" s="45">
        <v>79900</v>
      </c>
      <c r="H774" s="44">
        <v>11</v>
      </c>
      <c r="I774" s="45">
        <v>878900</v>
      </c>
      <c r="J774" s="44" t="s">
        <v>197</v>
      </c>
      <c r="K774" s="44" t="str">
        <f>INDEX(CLEANED_MotorPH_Products_List_2!C:C,MATCH(MotorPHSales[[#This Row],[Product]],CLEANED_MotorPH_Products_List_2!$B:$B,0))</f>
        <v>Scooter</v>
      </c>
      <c r="L774" s="44" t="str">
        <f>INDEX(CLEANED_MotorPH_Products_List_2!E:E,MATCH(MotorPHSales[[#This Row],[Product]],CLEANED_MotorPH_Products_List_2!$B:$B,0))</f>
        <v>Single cylinder</v>
      </c>
      <c r="M774" s="44" t="str">
        <f>INDEX(CLEANED_MotorPH_Products_List_2!F:F,MATCH(MotorPHSales[[#This Row],[Product]],CLEANED_MotorPH_Products_List_2!$B:$B,0))</f>
        <v>air-cooled</v>
      </c>
      <c r="N774" s="44" t="str">
        <f>INDEX(CLEANED_MotorPH_Products_List_2!G:G,MATCH(MotorPHSales[[#This Row],[Product]],CLEANED_MotorPH_Products_List_2!$B:$B,0))</f>
        <v>124cc</v>
      </c>
      <c r="O774" s="44" t="str">
        <f>INDEX(CLEANED_MotorPH_Products_List_2!K:K,MATCH(MotorPHSales[[#This Row],[Product]],CLEANED_MotorPH_Products_List_2!B:B,0))</f>
        <v>Entry-level</v>
      </c>
      <c r="P774" s="45">
        <f>IF(MotorPHSales[[#This Row],[Segment]]="Entry-level",MotorPHSales[[#This Row],[UnitPrice]]/(1+30%),IF(MotorPHSales[[#This Row],[Segment]]="Mid-range",MotorPHSales[[#This Row],[UnitPrice]]/(1+35%),MotorPHSales[[#This Row],[UnitPrice]]/(1+40%)))*MotorPHSales[[#This Row],[Quantity]]</f>
        <v>676076.92307692312</v>
      </c>
      <c r="Q774" s="44" t="str">
        <f>INDEX(CLEANED_MotorPH_Products_List_2!H:H,MATCH(MotorPHSales[[#This Row],[Product]],CLEANED_MotorPH_Products_List_2!$B:$B,0))</f>
        <v>CVT</v>
      </c>
    </row>
    <row r="775" spans="1:17" ht="15.75" x14ac:dyDescent="0.3">
      <c r="A775" s="43">
        <v>45893</v>
      </c>
      <c r="B775" s="44" t="str">
        <f>TEXT(MotorPHSales[[#This Row],[Date]],"mmmm")</f>
        <v>August</v>
      </c>
      <c r="C775" s="44">
        <f>DAY(MotorPHSales[[#This Row],[Date]])</f>
        <v>24</v>
      </c>
      <c r="D775" s="44">
        <f>YEAR(MotorPHSales[[#This Row],[Date]])</f>
        <v>2025</v>
      </c>
      <c r="E775" s="44" t="s">
        <v>194</v>
      </c>
      <c r="F775" s="44" t="s">
        <v>24</v>
      </c>
      <c r="G775" s="45">
        <v>199900</v>
      </c>
      <c r="H775" s="44">
        <v>17</v>
      </c>
      <c r="I775" s="45">
        <v>3398300</v>
      </c>
      <c r="J775" s="44" t="s">
        <v>195</v>
      </c>
      <c r="K775" s="44" t="str">
        <f>INDEX(CLEANED_MotorPH_Products_List_2!C:C,MATCH(MotorPHSales[[#This Row],[Product]],CLEANED_MotorPH_Products_List_2!$B:$B,0))</f>
        <v>Sport touring</v>
      </c>
      <c r="L775" s="44" t="str">
        <f>INDEX(CLEANED_MotorPH_Products_List_2!E:E,MATCH(MotorPHSales[[#This Row],[Product]],CLEANED_MotorPH_Products_List_2!$B:$B,0))</f>
        <v>Single cylinder</v>
      </c>
      <c r="M775" s="44" t="str">
        <f>INDEX(CLEANED_MotorPH_Products_List_2!F:F,MATCH(MotorPHSales[[#This Row],[Product]],CLEANED_MotorPH_Products_List_2!$B:$B,0))</f>
        <v>liquid-cooled</v>
      </c>
      <c r="N775" s="44" t="str">
        <f>INDEX(CLEANED_MotorPH_Products_List_2!G:G,MATCH(MotorPHSales[[#This Row],[Product]],CLEANED_MotorPH_Products_List_2!$B:$B,0))</f>
        <v>373cc</v>
      </c>
      <c r="O775" s="44" t="str">
        <f>INDEX(CLEANED_MotorPH_Products_List_2!K:K,MATCH(MotorPHSales[[#This Row],[Product]],CLEANED_MotorPH_Products_List_2!B:B,0))</f>
        <v>Mid-range</v>
      </c>
      <c r="P775" s="45">
        <f>IF(MotorPHSales[[#This Row],[Segment]]="Entry-level",MotorPHSales[[#This Row],[UnitPrice]]/(1+30%),IF(MotorPHSales[[#This Row],[Segment]]="Mid-range",MotorPHSales[[#This Row],[UnitPrice]]/(1+35%),MotorPHSales[[#This Row],[UnitPrice]]/(1+40%)))*MotorPHSales[[#This Row],[Quantity]]</f>
        <v>2517259.2592592593</v>
      </c>
      <c r="Q775" s="44" t="str">
        <f>INDEX(CLEANED_MotorPH_Products_List_2!H:H,MATCH(MotorPHSales[[#This Row],[Product]],CLEANED_MotorPH_Products_List_2!$B:$B,0))</f>
        <v>6-speed</v>
      </c>
    </row>
    <row r="776" spans="1:17" ht="15.75" x14ac:dyDescent="0.3">
      <c r="A776" s="43">
        <v>45822</v>
      </c>
      <c r="B776" s="44" t="str">
        <f>TEXT(MotorPHSales[[#This Row],[Date]],"mmmm")</f>
        <v>June</v>
      </c>
      <c r="C776" s="44">
        <f>DAY(MotorPHSales[[#This Row],[Date]])</f>
        <v>14</v>
      </c>
      <c r="D776" s="44">
        <f>YEAR(MotorPHSales[[#This Row],[Date]])</f>
        <v>2025</v>
      </c>
      <c r="E776" s="44" t="s">
        <v>196</v>
      </c>
      <c r="F776" s="44" t="s">
        <v>49</v>
      </c>
      <c r="G776" s="45">
        <v>68900</v>
      </c>
      <c r="H776" s="44">
        <v>5</v>
      </c>
      <c r="I776" s="45">
        <v>344500</v>
      </c>
      <c r="J776" s="44" t="s">
        <v>198</v>
      </c>
      <c r="K776" s="44" t="str">
        <f>INDEX(CLEANED_MotorPH_Products_List_2!C:C,MATCH(MotorPHSales[[#This Row],[Product]],CLEANED_MotorPH_Products_List_2!$B:$B,0))</f>
        <v>Standard</v>
      </c>
      <c r="L776" s="44" t="str">
        <f>INDEX(CLEANED_MotorPH_Products_List_2!E:E,MATCH(MotorPHSales[[#This Row],[Product]],CLEANED_MotorPH_Products_List_2!$B:$B,0))</f>
        <v>Single cylinder</v>
      </c>
      <c r="M776" s="44" t="str">
        <f>INDEX(CLEANED_MotorPH_Products_List_2!F:F,MATCH(MotorPHSales[[#This Row],[Product]],CLEANED_MotorPH_Products_List_2!$B:$B,0))</f>
        <v>air-cooled</v>
      </c>
      <c r="N776" s="44" t="str">
        <f>INDEX(CLEANED_MotorPH_Products_List_2!G:G,MATCH(MotorPHSales[[#This Row],[Product]],CLEANED_MotorPH_Products_List_2!$B:$B,0))</f>
        <v>149cc</v>
      </c>
      <c r="O776" s="44" t="str">
        <f>INDEX(CLEANED_MotorPH_Products_List_2!K:K,MATCH(MotorPHSales[[#This Row],[Product]],CLEANED_MotorPH_Products_List_2!B:B,0))</f>
        <v>Entry-level</v>
      </c>
      <c r="P776" s="45">
        <f>IF(MotorPHSales[[#This Row],[Segment]]="Entry-level",MotorPHSales[[#This Row],[UnitPrice]]/(1+30%),IF(MotorPHSales[[#This Row],[Segment]]="Mid-range",MotorPHSales[[#This Row],[UnitPrice]]/(1+35%),MotorPHSales[[#This Row],[UnitPrice]]/(1+40%)))*MotorPHSales[[#This Row],[Quantity]]</f>
        <v>265000</v>
      </c>
      <c r="Q776" s="44" t="str">
        <f>INDEX(CLEANED_MotorPH_Products_List_2!H:H,MATCH(MotorPHSales[[#This Row],[Product]],CLEANED_MotorPH_Products_List_2!$B:$B,0))</f>
        <v>5-speed</v>
      </c>
    </row>
    <row r="777" spans="1:17" ht="15.75" x14ac:dyDescent="0.3">
      <c r="A777" s="43">
        <v>45874</v>
      </c>
      <c r="B777" s="44" t="str">
        <f>TEXT(MotorPHSales[[#This Row],[Date]],"mmmm")</f>
        <v>August</v>
      </c>
      <c r="C777" s="44">
        <f>DAY(MotorPHSales[[#This Row],[Date]])</f>
        <v>5</v>
      </c>
      <c r="D777" s="44">
        <f>YEAR(MotorPHSales[[#This Row],[Date]])</f>
        <v>2025</v>
      </c>
      <c r="E777" s="44" t="s">
        <v>194</v>
      </c>
      <c r="F777" s="44" t="s">
        <v>18</v>
      </c>
      <c r="G777" s="45">
        <v>328000</v>
      </c>
      <c r="H777" s="44">
        <v>36</v>
      </c>
      <c r="I777" s="45">
        <v>11808000</v>
      </c>
      <c r="J777" s="44" t="s">
        <v>197</v>
      </c>
      <c r="K777" s="44" t="str">
        <f>INDEX(CLEANED_MotorPH_Products_List_2!C:C,MATCH(MotorPHSales[[#This Row],[Product]],CLEANED_MotorPH_Products_List_2!$B:$B,0))</f>
        <v>Cafe racer</v>
      </c>
      <c r="L777" s="44" t="str">
        <f>INDEX(CLEANED_MotorPH_Products_List_2!E:E,MATCH(MotorPHSales[[#This Row],[Product]],CLEANED_MotorPH_Products_List_2!$B:$B,0))</f>
        <v>Twin cylinder</v>
      </c>
      <c r="M777" s="44" t="str">
        <f>INDEX(CLEANED_MotorPH_Products_List_2!F:F,MATCH(MotorPHSales[[#This Row],[Product]],CLEANED_MotorPH_Products_List_2!$B:$B,0))</f>
        <v>air-cooled</v>
      </c>
      <c r="N777" s="44" t="str">
        <f>INDEX(CLEANED_MotorPH_Products_List_2!G:G,MATCH(MotorPHSales[[#This Row],[Product]],CLEANED_MotorPH_Products_List_2!$B:$B,0))</f>
        <v>471cc</v>
      </c>
      <c r="O777" s="44" t="str">
        <f>INDEX(CLEANED_MotorPH_Products_List_2!K:K,MATCH(MotorPHSales[[#This Row],[Product]],CLEANED_MotorPH_Products_List_2!B:B,0))</f>
        <v>Mid-range</v>
      </c>
      <c r="P777" s="45">
        <f>IF(MotorPHSales[[#This Row],[Segment]]="Entry-level",MotorPHSales[[#This Row],[UnitPrice]]/(1+30%),IF(MotorPHSales[[#This Row],[Segment]]="Mid-range",MotorPHSales[[#This Row],[UnitPrice]]/(1+35%),MotorPHSales[[#This Row],[UnitPrice]]/(1+40%)))*MotorPHSales[[#This Row],[Quantity]]</f>
        <v>8746666.666666666</v>
      </c>
      <c r="Q777" s="44" t="str">
        <f>INDEX(CLEANED_MotorPH_Products_List_2!H:H,MATCH(MotorPHSales[[#This Row],[Product]],CLEANED_MotorPH_Products_List_2!$B:$B,0))</f>
        <v>6-speed</v>
      </c>
    </row>
    <row r="778" spans="1:17" ht="15.75" x14ac:dyDescent="0.3">
      <c r="A778" s="43">
        <v>45883</v>
      </c>
      <c r="B778" s="44" t="str">
        <f>TEXT(MotorPHSales[[#This Row],[Date]],"mmmm")</f>
        <v>August</v>
      </c>
      <c r="C778" s="44">
        <f>DAY(MotorPHSales[[#This Row],[Date]])</f>
        <v>14</v>
      </c>
      <c r="D778" s="44">
        <f>YEAR(MotorPHSales[[#This Row],[Date]])</f>
        <v>2025</v>
      </c>
      <c r="E778" s="44" t="s">
        <v>196</v>
      </c>
      <c r="F778" s="44" t="s">
        <v>22</v>
      </c>
      <c r="G778" s="45">
        <v>182000</v>
      </c>
      <c r="H778" s="44">
        <v>33</v>
      </c>
      <c r="I778" s="45">
        <v>6006000</v>
      </c>
      <c r="J778" s="44" t="s">
        <v>197</v>
      </c>
      <c r="K778" s="44" t="str">
        <f>INDEX(CLEANED_MotorPH_Products_List_2!C:C,MATCH(MotorPHSales[[#This Row],[Product]],CLEANED_MotorPH_Products_List_2!$B:$B,0))</f>
        <v>Retro</v>
      </c>
      <c r="L778" s="44" t="str">
        <f>INDEX(CLEANED_MotorPH_Products_List_2!E:E,MATCH(MotorPHSales[[#This Row],[Product]],CLEANED_MotorPH_Products_List_2!$B:$B,0))</f>
        <v>Single cylinder</v>
      </c>
      <c r="M778" s="44" t="str">
        <f>INDEX(CLEANED_MotorPH_Products_List_2!F:F,MATCH(MotorPHSales[[#This Row],[Product]],CLEANED_MotorPH_Products_List_2!$B:$B,0))</f>
        <v>liquid-cooled</v>
      </c>
      <c r="N778" s="44" t="str">
        <f>INDEX(CLEANED_MotorPH_Products_List_2!G:G,MATCH(MotorPHSales[[#This Row],[Product]],CLEANED_MotorPH_Products_List_2!$B:$B,0))</f>
        <v>155cc</v>
      </c>
      <c r="O778" s="44" t="str">
        <f>INDEX(CLEANED_MotorPH_Products_List_2!K:K,MATCH(MotorPHSales[[#This Row],[Product]],CLEANED_MotorPH_Products_List_2!B:B,0))</f>
        <v>Entry-level</v>
      </c>
      <c r="P778" s="45">
        <f>IF(MotorPHSales[[#This Row],[Segment]]="Entry-level",MotorPHSales[[#This Row],[UnitPrice]]/(1+30%),IF(MotorPHSales[[#This Row],[Segment]]="Mid-range",MotorPHSales[[#This Row],[UnitPrice]]/(1+35%),MotorPHSales[[#This Row],[UnitPrice]]/(1+40%)))*MotorPHSales[[#This Row],[Quantity]]</f>
        <v>4620000</v>
      </c>
      <c r="Q778" s="44" t="str">
        <f>INDEX(CLEANED_MotorPH_Products_List_2!H:H,MATCH(MotorPHSales[[#This Row],[Product]],CLEANED_MotorPH_Products_List_2!$B:$B,0))</f>
        <v>6-speed</v>
      </c>
    </row>
    <row r="779" spans="1:17" ht="15.75" x14ac:dyDescent="0.3">
      <c r="A779" s="43">
        <v>45859</v>
      </c>
      <c r="B779" s="44" t="str">
        <f>TEXT(MotorPHSales[[#This Row],[Date]],"mmmm")</f>
        <v>July</v>
      </c>
      <c r="C779" s="44">
        <f>DAY(MotorPHSales[[#This Row],[Date]])</f>
        <v>21</v>
      </c>
      <c r="D779" s="44">
        <f>YEAR(MotorPHSales[[#This Row],[Date]])</f>
        <v>2025</v>
      </c>
      <c r="E779" s="44" t="s">
        <v>194</v>
      </c>
      <c r="F779" s="44" t="s">
        <v>22</v>
      </c>
      <c r="G779" s="45">
        <v>182000</v>
      </c>
      <c r="H779" s="44">
        <v>11</v>
      </c>
      <c r="I779" s="45">
        <v>2002000</v>
      </c>
      <c r="J779" s="44" t="s">
        <v>198</v>
      </c>
      <c r="K779" s="44" t="str">
        <f>INDEX(CLEANED_MotorPH_Products_List_2!C:C,MATCH(MotorPHSales[[#This Row],[Product]],CLEANED_MotorPH_Products_List_2!$B:$B,0))</f>
        <v>Retro</v>
      </c>
      <c r="L779" s="44" t="str">
        <f>INDEX(CLEANED_MotorPH_Products_List_2!E:E,MATCH(MotorPHSales[[#This Row],[Product]],CLEANED_MotorPH_Products_List_2!$B:$B,0))</f>
        <v>Single cylinder</v>
      </c>
      <c r="M779" s="44" t="str">
        <f>INDEX(CLEANED_MotorPH_Products_List_2!F:F,MATCH(MotorPHSales[[#This Row],[Product]],CLEANED_MotorPH_Products_List_2!$B:$B,0))</f>
        <v>liquid-cooled</v>
      </c>
      <c r="N779" s="44" t="str">
        <f>INDEX(CLEANED_MotorPH_Products_List_2!G:G,MATCH(MotorPHSales[[#This Row],[Product]],CLEANED_MotorPH_Products_List_2!$B:$B,0))</f>
        <v>155cc</v>
      </c>
      <c r="O779" s="44" t="str">
        <f>INDEX(CLEANED_MotorPH_Products_List_2!K:K,MATCH(MotorPHSales[[#This Row],[Product]],CLEANED_MotorPH_Products_List_2!B:B,0))</f>
        <v>Entry-level</v>
      </c>
      <c r="P779" s="45">
        <f>IF(MotorPHSales[[#This Row],[Segment]]="Entry-level",MotorPHSales[[#This Row],[UnitPrice]]/(1+30%),IF(MotorPHSales[[#This Row],[Segment]]="Mid-range",MotorPHSales[[#This Row],[UnitPrice]]/(1+35%),MotorPHSales[[#This Row],[UnitPrice]]/(1+40%)))*MotorPHSales[[#This Row],[Quantity]]</f>
        <v>1540000</v>
      </c>
      <c r="Q779" s="44" t="str">
        <f>INDEX(CLEANED_MotorPH_Products_List_2!H:H,MATCH(MotorPHSales[[#This Row],[Product]],CLEANED_MotorPH_Products_List_2!$B:$B,0))</f>
        <v>6-speed</v>
      </c>
    </row>
    <row r="780" spans="1:17" ht="15.75" x14ac:dyDescent="0.3">
      <c r="A780" s="43">
        <v>45846</v>
      </c>
      <c r="B780" s="44" t="str">
        <f>TEXT(MotorPHSales[[#This Row],[Date]],"mmmm")</f>
        <v>July</v>
      </c>
      <c r="C780" s="44">
        <f>DAY(MotorPHSales[[#This Row],[Date]])</f>
        <v>8</v>
      </c>
      <c r="D780" s="44">
        <f>YEAR(MotorPHSales[[#This Row],[Date]])</f>
        <v>2025</v>
      </c>
      <c r="E780" s="44" t="s">
        <v>194</v>
      </c>
      <c r="F780" s="44" t="s">
        <v>26</v>
      </c>
      <c r="G780" s="45">
        <v>151900</v>
      </c>
      <c r="H780" s="44">
        <v>3</v>
      </c>
      <c r="I780" s="45">
        <v>455700</v>
      </c>
      <c r="J780" s="44" t="s">
        <v>198</v>
      </c>
      <c r="K780" s="44" t="str">
        <f>INDEX(CLEANED_MotorPH_Products_List_2!C:C,MATCH(MotorPHSales[[#This Row],[Product]],CLEANED_MotorPH_Products_List_2!$B:$B,0))</f>
        <v>Scooter</v>
      </c>
      <c r="L780" s="44" t="str">
        <f>INDEX(CLEANED_MotorPH_Products_List_2!E:E,MATCH(MotorPHSales[[#This Row],[Product]],CLEANED_MotorPH_Products_List_2!$B:$B,0))</f>
        <v>Single cylinder</v>
      </c>
      <c r="M780" s="44" t="str">
        <f>INDEX(CLEANED_MotorPH_Products_List_2!F:F,MATCH(MotorPHSales[[#This Row],[Product]],CLEANED_MotorPH_Products_List_2!$B:$B,0))</f>
        <v>liquid-cooled</v>
      </c>
      <c r="N780" s="44" t="str">
        <f>INDEX(CLEANED_MotorPH_Products_List_2!G:G,MATCH(MotorPHSales[[#This Row],[Product]],CLEANED_MotorPH_Products_List_2!$B:$B,0))</f>
        <v>155cc</v>
      </c>
      <c r="O780" s="44" t="str">
        <f>INDEX(CLEANED_MotorPH_Products_List_2!K:K,MATCH(MotorPHSales[[#This Row],[Product]],CLEANED_MotorPH_Products_List_2!B:B,0))</f>
        <v>Entry-level</v>
      </c>
      <c r="P780" s="45">
        <f>IF(MotorPHSales[[#This Row],[Segment]]="Entry-level",MotorPHSales[[#This Row],[UnitPrice]]/(1+30%),IF(MotorPHSales[[#This Row],[Segment]]="Mid-range",MotorPHSales[[#This Row],[UnitPrice]]/(1+35%),MotorPHSales[[#This Row],[UnitPrice]]/(1+40%)))*MotorPHSales[[#This Row],[Quantity]]</f>
        <v>350538.4615384615</v>
      </c>
      <c r="Q780" s="44" t="str">
        <f>INDEX(CLEANED_MotorPH_Products_List_2!H:H,MATCH(MotorPHSales[[#This Row],[Product]],CLEANED_MotorPH_Products_List_2!$B:$B,0))</f>
        <v>CVT</v>
      </c>
    </row>
    <row r="781" spans="1:17" ht="15.75" x14ac:dyDescent="0.3">
      <c r="A781" s="43">
        <v>45872</v>
      </c>
      <c r="B781" s="44" t="str">
        <f>TEXT(MotorPHSales[[#This Row],[Date]],"mmmm")</f>
        <v>August</v>
      </c>
      <c r="C781" s="44">
        <f>DAY(MotorPHSales[[#This Row],[Date]])</f>
        <v>3</v>
      </c>
      <c r="D781" s="44">
        <f>YEAR(MotorPHSales[[#This Row],[Date]])</f>
        <v>2025</v>
      </c>
      <c r="E781" s="44" t="s">
        <v>194</v>
      </c>
      <c r="F781" s="44" t="s">
        <v>20</v>
      </c>
      <c r="G781" s="45">
        <v>178000</v>
      </c>
      <c r="H781" s="44">
        <v>1</v>
      </c>
      <c r="I781" s="45">
        <v>178000</v>
      </c>
      <c r="J781" s="44" t="s">
        <v>197</v>
      </c>
      <c r="K781" s="44" t="str">
        <f>INDEX(CLEANED_MotorPH_Products_List_2!C:C,MATCH(MotorPHSales[[#This Row],[Product]],CLEANED_MotorPH_Products_List_2!$B:$B,0))</f>
        <v>Naked bike</v>
      </c>
      <c r="L781" s="44" t="str">
        <f>INDEX(CLEANED_MotorPH_Products_List_2!E:E,MATCH(MotorPHSales[[#This Row],[Product]],CLEANED_MotorPH_Products_List_2!$B:$B,0))</f>
        <v>Single cylinder</v>
      </c>
      <c r="M781" s="44" t="str">
        <f>INDEX(CLEANED_MotorPH_Products_List_2!F:F,MATCH(MotorPHSales[[#This Row],[Product]],CLEANED_MotorPH_Products_List_2!$B:$B,0))</f>
        <v>liquid-cooled</v>
      </c>
      <c r="N781" s="44" t="str">
        <f>INDEX(CLEANED_MotorPH_Products_List_2!G:G,MATCH(MotorPHSales[[#This Row],[Product]],CLEANED_MotorPH_Products_List_2!$B:$B,0))</f>
        <v>199cc</v>
      </c>
      <c r="O781" s="44" t="str">
        <f>INDEX(CLEANED_MotorPH_Products_List_2!K:K,MATCH(MotorPHSales[[#This Row],[Product]],CLEANED_MotorPH_Products_List_2!B:B,0))</f>
        <v>Entry-level</v>
      </c>
      <c r="P781" s="45">
        <f>IF(MotorPHSales[[#This Row],[Segment]]="Entry-level",MotorPHSales[[#This Row],[UnitPrice]]/(1+30%),IF(MotorPHSales[[#This Row],[Segment]]="Mid-range",MotorPHSales[[#This Row],[UnitPrice]]/(1+35%),MotorPHSales[[#This Row],[UnitPrice]]/(1+40%)))*MotorPHSales[[#This Row],[Quantity]]</f>
        <v>136923.07692307691</v>
      </c>
      <c r="Q781" s="44" t="str">
        <f>INDEX(CLEANED_MotorPH_Products_List_2!H:H,MATCH(MotorPHSales[[#This Row],[Product]],CLEANED_MotorPH_Products_List_2!$B:$B,0))</f>
        <v>6-speed</v>
      </c>
    </row>
    <row r="782" spans="1:17" ht="15.75" x14ac:dyDescent="0.3">
      <c r="A782" s="43">
        <v>45846</v>
      </c>
      <c r="B782" s="44" t="str">
        <f>TEXT(MotorPHSales[[#This Row],[Date]],"mmmm")</f>
        <v>July</v>
      </c>
      <c r="C782" s="44">
        <f>DAY(MotorPHSales[[#This Row],[Date]])</f>
        <v>8</v>
      </c>
      <c r="D782" s="44">
        <f>YEAR(MotorPHSales[[#This Row],[Date]])</f>
        <v>2025</v>
      </c>
      <c r="E782" s="44" t="s">
        <v>194</v>
      </c>
      <c r="F782" s="44" t="s">
        <v>84</v>
      </c>
      <c r="G782" s="45">
        <v>995000</v>
      </c>
      <c r="H782" s="44">
        <v>10</v>
      </c>
      <c r="I782" s="45">
        <v>9950000</v>
      </c>
      <c r="J782" s="44" t="s">
        <v>195</v>
      </c>
      <c r="K782" s="44" t="str">
        <f>INDEX(CLEANED_MotorPH_Products_List_2!C:C,MATCH(MotorPHSales[[#This Row],[Product]],CLEANED_MotorPH_Products_List_2!$B:$B,0))</f>
        <v>Heritage</v>
      </c>
      <c r="L782" s="44" t="str">
        <f>INDEX(CLEANED_MotorPH_Products_List_2!E:E,MATCH(MotorPHSales[[#This Row],[Product]],CLEANED_MotorPH_Products_List_2!$B:$B,0))</f>
        <v>Flat twin</v>
      </c>
      <c r="M782" s="44" t="str">
        <f>INDEX(CLEANED_MotorPH_Products_List_2!F:F,MATCH(MotorPHSales[[#This Row],[Product]],CLEANED_MotorPH_Products_List_2!$B:$B,0))</f>
        <v>air</v>
      </c>
      <c r="N782" s="44">
        <f>INDEX(CLEANED_MotorPH_Products_List_2!G:G,MATCH(MotorPHSales[[#This Row],[Product]],CLEANED_MotorPH_Products_List_2!$B:$B,0))</f>
        <v>0</v>
      </c>
      <c r="O782" s="44" t="str">
        <f>INDEX(CLEANED_MotorPH_Products_List_2!K:K,MATCH(MotorPHSales[[#This Row],[Product]],CLEANED_MotorPH_Products_List_2!B:B,0))</f>
        <v>Premium</v>
      </c>
      <c r="P782" s="45">
        <f>IF(MotorPHSales[[#This Row],[Segment]]="Entry-level",MotorPHSales[[#This Row],[UnitPrice]]/(1+30%),IF(MotorPHSales[[#This Row],[Segment]]="Mid-range",MotorPHSales[[#This Row],[UnitPrice]]/(1+35%),MotorPHSales[[#This Row],[UnitPrice]]/(1+40%)))*MotorPHSales[[#This Row],[Quantity]]</f>
        <v>7107142.8571428582</v>
      </c>
      <c r="Q782" s="44">
        <f>INDEX(CLEANED_MotorPH_Products_List_2!H:H,MATCH(MotorPHSales[[#This Row],[Product]],CLEANED_MotorPH_Products_List_2!$B:$B,0))</f>
        <v>0</v>
      </c>
    </row>
    <row r="783" spans="1:17" ht="15.75" x14ac:dyDescent="0.3">
      <c r="A783" s="43">
        <v>45858</v>
      </c>
      <c r="B783" s="44" t="str">
        <f>TEXT(MotorPHSales[[#This Row],[Date]],"mmmm")</f>
        <v>July</v>
      </c>
      <c r="C783" s="44">
        <f>DAY(MotorPHSales[[#This Row],[Date]])</f>
        <v>20</v>
      </c>
      <c r="D783" s="44">
        <f>YEAR(MotorPHSales[[#This Row],[Date]])</f>
        <v>2025</v>
      </c>
      <c r="E783" s="44" t="s">
        <v>194</v>
      </c>
      <c r="F783" s="44" t="s">
        <v>76</v>
      </c>
      <c r="G783" s="45">
        <v>369000</v>
      </c>
      <c r="H783" s="44">
        <v>20</v>
      </c>
      <c r="I783" s="45">
        <v>7380000</v>
      </c>
      <c r="J783" s="44" t="s">
        <v>197</v>
      </c>
      <c r="K783" s="44" t="str">
        <f>INDEX(CLEANED_MotorPH_Products_List_2!C:C,MATCH(MotorPHSales[[#This Row],[Product]],CLEANED_MotorPH_Products_List_2!$B:$B,0))</f>
        <v>Adventure</v>
      </c>
      <c r="L783" s="44" t="str">
        <f>INDEX(CLEANED_MotorPH_Products_List_2!E:E,MATCH(MotorPHSales[[#This Row],[Product]],CLEANED_MotorPH_Products_List_2!$B:$B,0))</f>
        <v>Parallel-twin</v>
      </c>
      <c r="M783" s="44" t="str">
        <f>INDEX(CLEANED_MotorPH_Products_List_2!F:F,MATCH(MotorPHSales[[#This Row],[Product]],CLEANED_MotorPH_Products_List_2!$B:$B,0))</f>
        <v>liquid-cooled</v>
      </c>
      <c r="N783" s="44" t="str">
        <f>INDEX(CLEANED_MotorPH_Products_List_2!G:G,MATCH(MotorPHSales[[#This Row],[Product]],CLEANED_MotorPH_Products_List_2!$B:$B,0))</f>
        <v>649cc</v>
      </c>
      <c r="O783" s="44" t="str">
        <f>INDEX(CLEANED_MotorPH_Products_List_2!K:K,MATCH(MotorPHSales[[#This Row],[Product]],CLEANED_MotorPH_Products_List_2!B:B,0))</f>
        <v>Premium</v>
      </c>
      <c r="P783" s="45">
        <f>IF(MotorPHSales[[#This Row],[Segment]]="Entry-level",MotorPHSales[[#This Row],[UnitPrice]]/(1+30%),IF(MotorPHSales[[#This Row],[Segment]]="Mid-range",MotorPHSales[[#This Row],[UnitPrice]]/(1+35%),MotorPHSales[[#This Row],[UnitPrice]]/(1+40%)))*MotorPHSales[[#This Row],[Quantity]]</f>
        <v>5271428.5714285718</v>
      </c>
      <c r="Q783" s="44" t="str">
        <f>INDEX(CLEANED_MotorPH_Products_List_2!H:H,MATCH(MotorPHSales[[#This Row],[Product]],CLEANED_MotorPH_Products_List_2!$B:$B,0))</f>
        <v>6-speed</v>
      </c>
    </row>
    <row r="784" spans="1:17" ht="15.75" x14ac:dyDescent="0.3">
      <c r="A784" s="43">
        <v>45890</v>
      </c>
      <c r="B784" s="44" t="str">
        <f>TEXT(MotorPHSales[[#This Row],[Date]],"mmmm")</f>
        <v>August</v>
      </c>
      <c r="C784" s="44">
        <f>DAY(MotorPHSales[[#This Row],[Date]])</f>
        <v>21</v>
      </c>
      <c r="D784" s="44">
        <f>YEAR(MotorPHSales[[#This Row],[Date]])</f>
        <v>2025</v>
      </c>
      <c r="E784" s="44" t="s">
        <v>196</v>
      </c>
      <c r="F784" s="44" t="s">
        <v>10</v>
      </c>
      <c r="G784" s="45">
        <v>340000</v>
      </c>
      <c r="H784" s="44">
        <v>12</v>
      </c>
      <c r="I784" s="45">
        <v>4080000</v>
      </c>
      <c r="J784" s="44" t="s">
        <v>197</v>
      </c>
      <c r="K784" s="44" t="str">
        <f>INDEX(CLEANED_MotorPH_Products_List_2!C:C,MATCH(MotorPHSales[[#This Row],[Product]],CLEANED_MotorPH_Products_List_2!$B:$B,0))</f>
        <v>Sport</v>
      </c>
      <c r="L784" s="44" t="str">
        <f>INDEX(CLEANED_MotorPH_Products_List_2!E:E,MATCH(MotorPHSales[[#This Row],[Product]],CLEANED_MotorPH_Products_List_2!$B:$B,0))</f>
        <v>Parallel-twin</v>
      </c>
      <c r="M784" s="44" t="str">
        <f>INDEX(CLEANED_MotorPH_Products_List_2!F:F,MATCH(MotorPHSales[[#This Row],[Product]],CLEANED_MotorPH_Products_List_2!$B:$B,0))</f>
        <v>liquid-cooled</v>
      </c>
      <c r="N784" s="44" t="str">
        <f>INDEX(CLEANED_MotorPH_Products_List_2!G:G,MATCH(MotorPHSales[[#This Row],[Product]],CLEANED_MotorPH_Products_List_2!$B:$B,0))</f>
        <v>399cc</v>
      </c>
      <c r="O784" s="44" t="str">
        <f>INDEX(CLEANED_MotorPH_Products_List_2!K:K,MATCH(MotorPHSales[[#This Row],[Product]],CLEANED_MotorPH_Products_List_2!B:B,0))</f>
        <v>Mid-range</v>
      </c>
      <c r="P784" s="45">
        <f>IF(MotorPHSales[[#This Row],[Segment]]="Entry-level",MotorPHSales[[#This Row],[UnitPrice]]/(1+30%),IF(MotorPHSales[[#This Row],[Segment]]="Mid-range",MotorPHSales[[#This Row],[UnitPrice]]/(1+35%),MotorPHSales[[#This Row],[UnitPrice]]/(1+40%)))*MotorPHSales[[#This Row],[Quantity]]</f>
        <v>3022222.222222222</v>
      </c>
      <c r="Q784" s="44" t="str">
        <f>INDEX(CLEANED_MotorPH_Products_List_2!H:H,MATCH(MotorPHSales[[#This Row],[Product]],CLEANED_MotorPH_Products_List_2!$B:$B,0))</f>
        <v>6-speed</v>
      </c>
    </row>
    <row r="785" spans="1:17" ht="15.75" x14ac:dyDescent="0.3">
      <c r="A785" s="43">
        <v>45838</v>
      </c>
      <c r="B785" s="44" t="str">
        <f>TEXT(MotorPHSales[[#This Row],[Date]],"mmmm")</f>
        <v>June</v>
      </c>
      <c r="C785" s="44">
        <f>DAY(MotorPHSales[[#This Row],[Date]])</f>
        <v>30</v>
      </c>
      <c r="D785" s="44">
        <f>YEAR(MotorPHSales[[#This Row],[Date]])</f>
        <v>2025</v>
      </c>
      <c r="E785" s="44" t="s">
        <v>196</v>
      </c>
      <c r="F785" s="44" t="s">
        <v>70</v>
      </c>
      <c r="G785" s="45">
        <v>219000</v>
      </c>
      <c r="H785" s="44">
        <v>39</v>
      </c>
      <c r="I785" s="45">
        <v>8541000</v>
      </c>
      <c r="J785" s="44" t="s">
        <v>198</v>
      </c>
      <c r="K785" s="44" t="str">
        <f>INDEX(CLEANED_MotorPH_Products_List_2!C:C,MATCH(MotorPHSales[[#This Row],[Product]],CLEANED_MotorPH_Products_List_2!$B:$B,0))</f>
        <v>Scooter</v>
      </c>
      <c r="L785" s="44" t="str">
        <f>INDEX(CLEANED_MotorPH_Products_List_2!E:E,MATCH(MotorPHSales[[#This Row],[Product]],CLEANED_MotorPH_Products_List_2!$B:$B,0))</f>
        <v>Single cylinder</v>
      </c>
      <c r="M785" s="44" t="str">
        <f>INDEX(CLEANED_MotorPH_Products_List_2!F:F,MATCH(MotorPHSales[[#This Row],[Product]],CLEANED_MotorPH_Products_List_2!$B:$B,0))</f>
        <v>liquid-cooled</v>
      </c>
      <c r="N785" s="44" t="str">
        <f>INDEX(CLEANED_MotorPH_Products_List_2!G:G,MATCH(MotorPHSales[[#This Row],[Product]],CLEANED_MotorPH_Products_List_2!$B:$B,0))</f>
        <v>174cc</v>
      </c>
      <c r="O785" s="44" t="str">
        <f>INDEX(CLEANED_MotorPH_Products_List_2!K:K,MATCH(MotorPHSales[[#This Row],[Product]],CLEANED_MotorPH_Products_List_2!B:B,0))</f>
        <v>Entry-level</v>
      </c>
      <c r="P785" s="45">
        <f>IF(MotorPHSales[[#This Row],[Segment]]="Entry-level",MotorPHSales[[#This Row],[UnitPrice]]/(1+30%),IF(MotorPHSales[[#This Row],[Segment]]="Mid-range",MotorPHSales[[#This Row],[UnitPrice]]/(1+35%),MotorPHSales[[#This Row],[UnitPrice]]/(1+40%)))*MotorPHSales[[#This Row],[Quantity]]</f>
        <v>6570000</v>
      </c>
      <c r="Q785" s="44" t="str">
        <f>INDEX(CLEANED_MotorPH_Products_List_2!H:H,MATCH(MotorPHSales[[#This Row],[Product]],CLEANED_MotorPH_Products_List_2!$B:$B,0))</f>
        <v>CVT</v>
      </c>
    </row>
    <row r="786" spans="1:17" ht="15.75" x14ac:dyDescent="0.3">
      <c r="A786" s="43">
        <v>45887</v>
      </c>
      <c r="B786" s="44" t="str">
        <f>TEXT(MotorPHSales[[#This Row],[Date]],"mmmm")</f>
        <v>August</v>
      </c>
      <c r="C786" s="44">
        <f>DAY(MotorPHSales[[#This Row],[Date]])</f>
        <v>18</v>
      </c>
      <c r="D786" s="44">
        <f>YEAR(MotorPHSales[[#This Row],[Date]])</f>
        <v>2025</v>
      </c>
      <c r="E786" s="44" t="s">
        <v>196</v>
      </c>
      <c r="F786" s="44" t="s">
        <v>66</v>
      </c>
      <c r="G786" s="45">
        <v>499000</v>
      </c>
      <c r="H786" s="44">
        <v>47</v>
      </c>
      <c r="I786" s="45">
        <v>23453000</v>
      </c>
      <c r="J786" s="44" t="s">
        <v>195</v>
      </c>
      <c r="K786" s="44" t="str">
        <f>INDEX(CLEANED_MotorPH_Products_List_2!C:C,MATCH(MotorPHSales[[#This Row],[Product]],CLEANED_MotorPH_Products_List_2!$B:$B,0))</f>
        <v>Cruiser</v>
      </c>
      <c r="L786" s="44" t="str">
        <f>INDEX(CLEANED_MotorPH_Products_List_2!E:E,MATCH(MotorPHSales[[#This Row],[Product]],CLEANED_MotorPH_Products_List_2!$B:$B,0))</f>
        <v>V-twin</v>
      </c>
      <c r="M786" s="44" t="str">
        <f>INDEX(CLEANED_MotorPH_Products_List_2!F:F,MATCH(MotorPHSales[[#This Row],[Product]],CLEANED_MotorPH_Products_List_2!$B:$B,0))</f>
        <v>liquid-cooled</v>
      </c>
      <c r="N786" s="44" t="str">
        <f>INDEX(CLEANED_MotorPH_Products_List_2!G:G,MATCH(MotorPHSales[[#This Row],[Product]],CLEANED_MotorPH_Products_List_2!$B:$B,0))</f>
        <v>749cc</v>
      </c>
      <c r="O786" s="44" t="str">
        <f>INDEX(CLEANED_MotorPH_Products_List_2!K:K,MATCH(MotorPHSales[[#This Row],[Product]],CLEANED_MotorPH_Products_List_2!B:B,0))</f>
        <v>Premium</v>
      </c>
      <c r="P786" s="45">
        <f>IF(MotorPHSales[[#This Row],[Segment]]="Entry-level",MotorPHSales[[#This Row],[UnitPrice]]/(1+30%),IF(MotorPHSales[[#This Row],[Segment]]="Mid-range",MotorPHSales[[#This Row],[UnitPrice]]/(1+35%),MotorPHSales[[#This Row],[UnitPrice]]/(1+40%)))*MotorPHSales[[#This Row],[Quantity]]</f>
        <v>16752142.85714286</v>
      </c>
      <c r="Q786" s="44" t="str">
        <f>INDEX(CLEANED_MotorPH_Products_List_2!H:H,MATCH(MotorPHSales[[#This Row],[Product]],CLEANED_MotorPH_Products_List_2!$B:$B,0))</f>
        <v>6-speed</v>
      </c>
    </row>
    <row r="787" spans="1:17" ht="15.75" x14ac:dyDescent="0.3">
      <c r="A787" s="43">
        <v>45899</v>
      </c>
      <c r="B787" s="44" t="str">
        <f>TEXT(MotorPHSales[[#This Row],[Date]],"mmmm")</f>
        <v>August</v>
      </c>
      <c r="C787" s="44">
        <f>DAY(MotorPHSales[[#This Row],[Date]])</f>
        <v>30</v>
      </c>
      <c r="D787" s="44">
        <f>YEAR(MotorPHSales[[#This Row],[Date]])</f>
        <v>2025</v>
      </c>
      <c r="E787" s="44" t="s">
        <v>196</v>
      </c>
      <c r="F787" s="44" t="s">
        <v>92</v>
      </c>
      <c r="G787" s="45">
        <v>289000</v>
      </c>
      <c r="H787" s="44">
        <v>11</v>
      </c>
      <c r="I787" s="45">
        <v>3179000</v>
      </c>
      <c r="J787" s="44" t="s">
        <v>197</v>
      </c>
      <c r="K787" s="44" t="str">
        <f>INDEX(CLEANED_MotorPH_Products_List_2!C:C,MATCH(MotorPHSales[[#This Row],[Product]],CLEANED_MotorPH_Products_List_2!$B:$B,0))</f>
        <v>Scooter</v>
      </c>
      <c r="L787" s="44" t="str">
        <f>INDEX(CLEANED_MotorPH_Products_List_2!E:E,MATCH(MotorPHSales[[#This Row],[Product]],CLEANED_MotorPH_Products_List_2!$B:$B,0))</f>
        <v>Single cylinder</v>
      </c>
      <c r="M787" s="44" t="str">
        <f>INDEX(CLEANED_MotorPH_Products_List_2!F:F,MATCH(MotorPHSales[[#This Row],[Product]],CLEANED_MotorPH_Products_List_2!$B:$B,0))</f>
        <v>liquid-cooled</v>
      </c>
      <c r="N787" s="44" t="str">
        <f>INDEX(CLEANED_MotorPH_Products_List_2!G:G,MATCH(MotorPHSales[[#This Row],[Product]],CLEANED_MotorPH_Products_List_2!$B:$B,0))</f>
        <v>181cc</v>
      </c>
      <c r="O787" s="44" t="str">
        <f>INDEX(CLEANED_MotorPH_Products_List_2!K:K,MATCH(MotorPHSales[[#This Row],[Product]],CLEANED_MotorPH_Products_List_2!B:B,0))</f>
        <v>Entry-level</v>
      </c>
      <c r="P787" s="45">
        <f>IF(MotorPHSales[[#This Row],[Segment]]="Entry-level",MotorPHSales[[#This Row],[UnitPrice]]/(1+30%),IF(MotorPHSales[[#This Row],[Segment]]="Mid-range",MotorPHSales[[#This Row],[UnitPrice]]/(1+35%),MotorPHSales[[#This Row],[UnitPrice]]/(1+40%)))*MotorPHSales[[#This Row],[Quantity]]</f>
        <v>2445384.6153846155</v>
      </c>
      <c r="Q787" s="44" t="str">
        <f>INDEX(CLEANED_MotorPH_Products_List_2!H:H,MATCH(MotorPHSales[[#This Row],[Product]],CLEANED_MotorPH_Products_List_2!$B:$B,0))</f>
        <v>CVT</v>
      </c>
    </row>
    <row r="788" spans="1:17" ht="15.75" x14ac:dyDescent="0.3">
      <c r="A788" s="43">
        <v>45859</v>
      </c>
      <c r="B788" s="44" t="str">
        <f>TEXT(MotorPHSales[[#This Row],[Date]],"mmmm")</f>
        <v>July</v>
      </c>
      <c r="C788" s="44">
        <f>DAY(MotorPHSales[[#This Row],[Date]])</f>
        <v>21</v>
      </c>
      <c r="D788" s="44">
        <f>YEAR(MotorPHSales[[#This Row],[Date]])</f>
        <v>2025</v>
      </c>
      <c r="E788" s="44" t="s">
        <v>196</v>
      </c>
      <c r="F788" s="44" t="s">
        <v>12</v>
      </c>
      <c r="G788" s="45">
        <v>119900</v>
      </c>
      <c r="H788" s="44">
        <v>15</v>
      </c>
      <c r="I788" s="45">
        <v>1798500</v>
      </c>
      <c r="J788" s="44" t="s">
        <v>198</v>
      </c>
      <c r="K788" s="44" t="str">
        <f>INDEX(CLEANED_MotorPH_Products_List_2!C:C,MATCH(MotorPHSales[[#This Row],[Product]],CLEANED_MotorPH_Products_List_2!$B:$B,0))</f>
        <v>Underbone</v>
      </c>
      <c r="L788" s="44" t="str">
        <f>INDEX(CLEANED_MotorPH_Products_List_2!E:E,MATCH(MotorPHSales[[#This Row],[Product]],CLEANED_MotorPH_Products_List_2!$B:$B,0))</f>
        <v>Single cylinder</v>
      </c>
      <c r="M788" s="44" t="str">
        <f>INDEX(CLEANED_MotorPH_Products_List_2!F:F,MATCH(MotorPHSales[[#This Row],[Product]],CLEANED_MotorPH_Products_List_2!$B:$B,0))</f>
        <v>liquid-cooled</v>
      </c>
      <c r="N788" s="44" t="str">
        <f>INDEX(CLEANED_MotorPH_Products_List_2!G:G,MATCH(MotorPHSales[[#This Row],[Product]],CLEANED_MotorPH_Products_List_2!$B:$B,0))</f>
        <v>150cc</v>
      </c>
      <c r="O788" s="44" t="str">
        <f>INDEX(CLEANED_MotorPH_Products_List_2!K:K,MATCH(MotorPHSales[[#This Row],[Product]],CLEANED_MotorPH_Products_List_2!B:B,0))</f>
        <v>Entry-level</v>
      </c>
      <c r="P788" s="45">
        <f>IF(MotorPHSales[[#This Row],[Segment]]="Entry-level",MotorPHSales[[#This Row],[UnitPrice]]/(1+30%),IF(MotorPHSales[[#This Row],[Segment]]="Mid-range",MotorPHSales[[#This Row],[UnitPrice]]/(1+35%),MotorPHSales[[#This Row],[UnitPrice]]/(1+40%)))*MotorPHSales[[#This Row],[Quantity]]</f>
        <v>1383461.5384615385</v>
      </c>
      <c r="Q788" s="44" t="str">
        <f>INDEX(CLEANED_MotorPH_Products_List_2!H:H,MATCH(MotorPHSales[[#This Row],[Product]],CLEANED_MotorPH_Products_List_2!$B:$B,0))</f>
        <v>6-speed</v>
      </c>
    </row>
    <row r="789" spans="1:17" ht="15.75" x14ac:dyDescent="0.3">
      <c r="A789" s="43">
        <v>45871</v>
      </c>
      <c r="B789" s="44" t="str">
        <f>TEXT(MotorPHSales[[#This Row],[Date]],"mmmm")</f>
        <v>August</v>
      </c>
      <c r="C789" s="44">
        <f>DAY(MotorPHSales[[#This Row],[Date]])</f>
        <v>2</v>
      </c>
      <c r="D789" s="44">
        <f>YEAR(MotorPHSales[[#This Row],[Date]])</f>
        <v>2025</v>
      </c>
      <c r="E789" s="44" t="s">
        <v>194</v>
      </c>
      <c r="F789" s="44" t="s">
        <v>96</v>
      </c>
      <c r="G789" s="45">
        <v>80900</v>
      </c>
      <c r="H789" s="44">
        <v>47</v>
      </c>
      <c r="I789" s="45">
        <v>3802300</v>
      </c>
      <c r="J789" s="44" t="s">
        <v>195</v>
      </c>
      <c r="K789" s="44" t="str">
        <f>INDEX(CLEANED_MotorPH_Products_List_2!C:C,MATCH(MotorPHSales[[#This Row],[Product]],CLEANED_MotorPH_Products_List_2!$B:$B,0))</f>
        <v>Scooter</v>
      </c>
      <c r="L789" s="44" t="str">
        <f>INDEX(CLEANED_MotorPH_Products_List_2!E:E,MATCH(MotorPHSales[[#This Row],[Product]],CLEANED_MotorPH_Products_List_2!$B:$B,0))</f>
        <v>Single cylinder</v>
      </c>
      <c r="M789" s="44" t="str">
        <f>INDEX(CLEANED_MotorPH_Products_List_2!F:F,MATCH(MotorPHSales[[#This Row],[Product]],CLEANED_MotorPH_Products_List_2!$B:$B,0))</f>
        <v>air-cooled</v>
      </c>
      <c r="N789" s="44" t="str">
        <f>INDEX(CLEANED_MotorPH_Products_List_2!G:G,MATCH(MotorPHSales[[#This Row],[Product]],CLEANED_MotorPH_Products_List_2!$B:$B,0))</f>
        <v>124cc</v>
      </c>
      <c r="O789" s="44" t="str">
        <f>INDEX(CLEANED_MotorPH_Products_List_2!K:K,MATCH(MotorPHSales[[#This Row],[Product]],CLEANED_MotorPH_Products_List_2!B:B,0))</f>
        <v>Entry-level</v>
      </c>
      <c r="P789" s="45">
        <f>IF(MotorPHSales[[#This Row],[Segment]]="Entry-level",MotorPHSales[[#This Row],[UnitPrice]]/(1+30%),IF(MotorPHSales[[#This Row],[Segment]]="Mid-range",MotorPHSales[[#This Row],[UnitPrice]]/(1+35%),MotorPHSales[[#This Row],[UnitPrice]]/(1+40%)))*MotorPHSales[[#This Row],[Quantity]]</f>
        <v>2924846.1538461535</v>
      </c>
      <c r="Q789" s="44" t="str">
        <f>INDEX(CLEANED_MotorPH_Products_List_2!H:H,MATCH(MotorPHSales[[#This Row],[Product]],CLEANED_MotorPH_Products_List_2!$B:$B,0))</f>
        <v>CVT</v>
      </c>
    </row>
    <row r="790" spans="1:17" ht="15.75" x14ac:dyDescent="0.3">
      <c r="A790" s="43">
        <v>45860</v>
      </c>
      <c r="B790" s="44" t="str">
        <f>TEXT(MotorPHSales[[#This Row],[Date]],"mmmm")</f>
        <v>July</v>
      </c>
      <c r="C790" s="44">
        <f>DAY(MotorPHSales[[#This Row],[Date]])</f>
        <v>22</v>
      </c>
      <c r="D790" s="44">
        <f>YEAR(MotorPHSales[[#This Row],[Date]])</f>
        <v>2025</v>
      </c>
      <c r="E790" s="44" t="s">
        <v>196</v>
      </c>
      <c r="F790" s="44" t="s">
        <v>63</v>
      </c>
      <c r="G790" s="45">
        <v>48000</v>
      </c>
      <c r="H790" s="44">
        <v>11</v>
      </c>
      <c r="I790" s="45">
        <v>528000</v>
      </c>
      <c r="J790" s="44" t="s">
        <v>195</v>
      </c>
      <c r="K790" s="44" t="str">
        <f>INDEX(CLEANED_MotorPH_Products_List_2!C:C,MATCH(MotorPHSales[[#This Row],[Product]],CLEANED_MotorPH_Products_List_2!$B:$B,0))</f>
        <v>Commuter</v>
      </c>
      <c r="L790" s="44" t="str">
        <f>INDEX(CLEANED_MotorPH_Products_List_2!E:E,MATCH(MotorPHSales[[#This Row],[Product]],CLEANED_MotorPH_Products_List_2!$B:$B,0))</f>
        <v>Single cylinder</v>
      </c>
      <c r="M790" s="44" t="str">
        <f>INDEX(CLEANED_MotorPH_Products_List_2!F:F,MATCH(MotorPHSales[[#This Row],[Product]],CLEANED_MotorPH_Products_List_2!$B:$B,0))</f>
        <v>air-cooled</v>
      </c>
      <c r="N790" s="44" t="str">
        <f>INDEX(CLEANED_MotorPH_Products_List_2!G:G,MATCH(MotorPHSales[[#This Row],[Product]],CLEANED_MotorPH_Products_List_2!$B:$B,0))</f>
        <v>125cc</v>
      </c>
      <c r="O790" s="44" t="str">
        <f>INDEX(CLEANED_MotorPH_Products_List_2!K:K,MATCH(MotorPHSales[[#This Row],[Product]],CLEANED_MotorPH_Products_List_2!B:B,0))</f>
        <v>Entry-level</v>
      </c>
      <c r="P790" s="45">
        <f>IF(MotorPHSales[[#This Row],[Segment]]="Entry-level",MotorPHSales[[#This Row],[UnitPrice]]/(1+30%),IF(MotorPHSales[[#This Row],[Segment]]="Mid-range",MotorPHSales[[#This Row],[UnitPrice]]/(1+35%),MotorPHSales[[#This Row],[UnitPrice]]/(1+40%)))*MotorPHSales[[#This Row],[Quantity]]</f>
        <v>406153.84615384613</v>
      </c>
      <c r="Q790" s="44" t="str">
        <f>INDEX(CLEANED_MotorPH_Products_List_2!H:H,MATCH(MotorPHSales[[#This Row],[Product]],CLEANED_MotorPH_Products_List_2!$B:$B,0))</f>
        <v>4-speed</v>
      </c>
    </row>
    <row r="791" spans="1:17" ht="15.75" x14ac:dyDescent="0.3">
      <c r="A791" s="43">
        <v>45846</v>
      </c>
      <c r="B791" s="44" t="str">
        <f>TEXT(MotorPHSales[[#This Row],[Date]],"mmmm")</f>
        <v>July</v>
      </c>
      <c r="C791" s="44">
        <f>DAY(MotorPHSales[[#This Row],[Date]])</f>
        <v>8</v>
      </c>
      <c r="D791" s="44">
        <f>YEAR(MotorPHSales[[#This Row],[Date]])</f>
        <v>2025</v>
      </c>
      <c r="E791" s="44" t="s">
        <v>194</v>
      </c>
      <c r="F791" s="44" t="s">
        <v>90</v>
      </c>
      <c r="G791" s="45">
        <v>165000</v>
      </c>
      <c r="H791" s="44">
        <v>1</v>
      </c>
      <c r="I791" s="45">
        <v>165000</v>
      </c>
      <c r="J791" s="44" t="s">
        <v>197</v>
      </c>
      <c r="K791" s="44" t="str">
        <f>INDEX(CLEANED_MotorPH_Products_List_2!C:C,MATCH(MotorPHSales[[#This Row],[Product]],CLEANED_MotorPH_Products_List_2!$B:$B,0))</f>
        <v>Sport</v>
      </c>
      <c r="L791" s="44" t="str">
        <f>INDEX(CLEANED_MotorPH_Products_List_2!E:E,MATCH(MotorPHSales[[#This Row],[Product]],CLEANED_MotorPH_Products_List_2!$B:$B,0))</f>
        <v>Single cylinder</v>
      </c>
      <c r="M791" s="44" t="str">
        <f>INDEX(CLEANED_MotorPH_Products_List_2!F:F,MATCH(MotorPHSales[[#This Row],[Product]],CLEANED_MotorPH_Products_List_2!$B:$B,0))</f>
        <v>liquid-cooled</v>
      </c>
      <c r="N791" s="44" t="str">
        <f>INDEX(CLEANED_MotorPH_Products_List_2!G:G,MATCH(MotorPHSales[[#This Row],[Product]],CLEANED_MotorPH_Products_List_2!$B:$B,0))</f>
        <v>292cc</v>
      </c>
      <c r="O791" s="44" t="str">
        <f>INDEX(CLEANED_MotorPH_Products_List_2!K:K,MATCH(MotorPHSales[[#This Row],[Product]],CLEANED_MotorPH_Products_List_2!B:B,0))</f>
        <v>Mid-range</v>
      </c>
      <c r="P791" s="45">
        <f>IF(MotorPHSales[[#This Row],[Segment]]="Entry-level",MotorPHSales[[#This Row],[UnitPrice]]/(1+30%),IF(MotorPHSales[[#This Row],[Segment]]="Mid-range",MotorPHSales[[#This Row],[UnitPrice]]/(1+35%),MotorPHSales[[#This Row],[UnitPrice]]/(1+40%)))*MotorPHSales[[#This Row],[Quantity]]</f>
        <v>122222.22222222222</v>
      </c>
      <c r="Q791" s="44" t="str">
        <f>INDEX(CLEANED_MotorPH_Products_List_2!H:H,MATCH(MotorPHSales[[#This Row],[Product]],CLEANED_MotorPH_Products_List_2!$B:$B,0))</f>
        <v>6-speed</v>
      </c>
    </row>
    <row r="792" spans="1:17" ht="15.75" x14ac:dyDescent="0.3">
      <c r="A792" s="43">
        <v>45896</v>
      </c>
      <c r="B792" s="44" t="str">
        <f>TEXT(MotorPHSales[[#This Row],[Date]],"mmmm")</f>
        <v>August</v>
      </c>
      <c r="C792" s="44">
        <f>DAY(MotorPHSales[[#This Row],[Date]])</f>
        <v>27</v>
      </c>
      <c r="D792" s="44">
        <f>YEAR(MotorPHSales[[#This Row],[Date]])</f>
        <v>2025</v>
      </c>
      <c r="E792" s="44" t="s">
        <v>194</v>
      </c>
      <c r="F792" s="44" t="s">
        <v>82</v>
      </c>
      <c r="G792" s="45">
        <v>199000</v>
      </c>
      <c r="H792" s="44">
        <v>13</v>
      </c>
      <c r="I792" s="45">
        <v>2587000</v>
      </c>
      <c r="J792" s="44" t="s">
        <v>197</v>
      </c>
      <c r="K792" s="44" t="str">
        <f>INDEX(CLEANED_MotorPH_Products_List_2!C:C,MATCH(MotorPHSales[[#This Row],[Product]],CLEANED_MotorPH_Products_List_2!$B:$B,0))</f>
        <v>Dual-sport</v>
      </c>
      <c r="L792" s="44" t="str">
        <f>INDEX(CLEANED_MotorPH_Products_List_2!E:E,MATCH(MotorPHSales[[#This Row],[Product]],CLEANED_MotorPH_Products_List_2!$B:$B,0))</f>
        <v>Single cylinder</v>
      </c>
      <c r="M792" s="44" t="str">
        <f>INDEX(CLEANED_MotorPH_Products_List_2!F:F,MATCH(MotorPHSales[[#This Row],[Product]],CLEANED_MotorPH_Products_List_2!$B:$B,0))</f>
        <v>air-cooled</v>
      </c>
      <c r="N792" s="44" t="str">
        <f>INDEX(CLEANED_MotorPH_Products_List_2!G:G,MATCH(MotorPHSales[[#This Row],[Product]],CLEANED_MotorPH_Products_List_2!$B:$B,0))</f>
        <v>233cc</v>
      </c>
      <c r="O792" s="44" t="str">
        <f>INDEX(CLEANED_MotorPH_Products_List_2!K:K,MATCH(MotorPHSales[[#This Row],[Product]],CLEANED_MotorPH_Products_List_2!B:B,0))</f>
        <v>Mid-range</v>
      </c>
      <c r="P792" s="45">
        <f>IF(MotorPHSales[[#This Row],[Segment]]="Entry-level",MotorPHSales[[#This Row],[UnitPrice]]/(1+30%),IF(MotorPHSales[[#This Row],[Segment]]="Mid-range",MotorPHSales[[#This Row],[UnitPrice]]/(1+35%),MotorPHSales[[#This Row],[UnitPrice]]/(1+40%)))*MotorPHSales[[#This Row],[Quantity]]</f>
        <v>1916296.2962962959</v>
      </c>
      <c r="Q792" s="44" t="str">
        <f>INDEX(CLEANED_MotorPH_Products_List_2!H:H,MATCH(MotorPHSales[[#This Row],[Product]],CLEANED_MotorPH_Products_List_2!$B:$B,0))</f>
        <v>6-speed</v>
      </c>
    </row>
    <row r="793" spans="1:17" ht="15.75" x14ac:dyDescent="0.3">
      <c r="A793" s="43">
        <v>45887</v>
      </c>
      <c r="B793" s="44" t="str">
        <f>TEXT(MotorPHSales[[#This Row],[Date]],"mmmm")</f>
        <v>August</v>
      </c>
      <c r="C793" s="44">
        <f>DAY(MotorPHSales[[#This Row],[Date]])</f>
        <v>18</v>
      </c>
      <c r="D793" s="44">
        <f>YEAR(MotorPHSales[[#This Row],[Date]])</f>
        <v>2025</v>
      </c>
      <c r="E793" s="44" t="s">
        <v>196</v>
      </c>
      <c r="F793" s="44" t="s">
        <v>78</v>
      </c>
      <c r="G793" s="45">
        <v>99900</v>
      </c>
      <c r="H793" s="44">
        <v>4</v>
      </c>
      <c r="I793" s="45">
        <v>399600</v>
      </c>
      <c r="J793" s="44" t="s">
        <v>198</v>
      </c>
      <c r="K793" s="44" t="str">
        <f>INDEX(CLEANED_MotorPH_Products_List_2!C:C,MATCH(MotorPHSales[[#This Row],[Product]],CLEANED_MotorPH_Products_List_2!$B:$B,0))</f>
        <v>Street</v>
      </c>
      <c r="L793" s="44" t="str">
        <f>INDEX(CLEANED_MotorPH_Products_List_2!E:E,MATCH(MotorPHSales[[#This Row],[Product]],CLEANED_MotorPH_Products_List_2!$B:$B,0))</f>
        <v>Single cylinder</v>
      </c>
      <c r="M793" s="44" t="str">
        <f>INDEX(CLEANED_MotorPH_Products_List_2!F:F,MATCH(MotorPHSales[[#This Row],[Product]],CLEANED_MotorPH_Products_List_2!$B:$B,0))</f>
        <v>air-cooled</v>
      </c>
      <c r="N793" s="44" t="str">
        <f>INDEX(CLEANED_MotorPH_Products_List_2!G:G,MATCH(MotorPHSales[[#This Row],[Product]],CLEANED_MotorPH_Products_List_2!$B:$B,0))</f>
        <v>149cc</v>
      </c>
      <c r="O793" s="44" t="str">
        <f>INDEX(CLEANED_MotorPH_Products_List_2!K:K,MATCH(MotorPHSales[[#This Row],[Product]],CLEANED_MotorPH_Products_List_2!B:B,0))</f>
        <v>Entry-level</v>
      </c>
      <c r="P793" s="45">
        <f>IF(MotorPHSales[[#This Row],[Segment]]="Entry-level",MotorPHSales[[#This Row],[UnitPrice]]/(1+30%),IF(MotorPHSales[[#This Row],[Segment]]="Mid-range",MotorPHSales[[#This Row],[UnitPrice]]/(1+35%),MotorPHSales[[#This Row],[UnitPrice]]/(1+40%)))*MotorPHSales[[#This Row],[Quantity]]</f>
        <v>307384.61538461538</v>
      </c>
      <c r="Q793" s="44" t="str">
        <f>INDEX(CLEANED_MotorPH_Products_List_2!H:H,MATCH(MotorPHSales[[#This Row],[Product]],CLEANED_MotorPH_Products_List_2!$B:$B,0))</f>
        <v>5-speed</v>
      </c>
    </row>
    <row r="794" spans="1:17" ht="15.75" x14ac:dyDescent="0.3">
      <c r="A794" s="43">
        <v>45838</v>
      </c>
      <c r="B794" s="44" t="str">
        <f>TEXT(MotorPHSales[[#This Row],[Date]],"mmmm")</f>
        <v>June</v>
      </c>
      <c r="C794" s="44">
        <f>DAY(MotorPHSales[[#This Row],[Date]])</f>
        <v>30</v>
      </c>
      <c r="D794" s="44">
        <f>YEAR(MotorPHSales[[#This Row],[Date]])</f>
        <v>2025</v>
      </c>
      <c r="E794" s="44" t="s">
        <v>196</v>
      </c>
      <c r="F794" s="44" t="s">
        <v>14</v>
      </c>
      <c r="G794" s="45">
        <v>250000</v>
      </c>
      <c r="H794" s="44">
        <v>30</v>
      </c>
      <c r="I794" s="45">
        <v>7500000</v>
      </c>
      <c r="J794" s="44" t="s">
        <v>195</v>
      </c>
      <c r="K794" s="44" t="str">
        <f>INDEX(CLEANED_MotorPH_Products_List_2!C:C,MATCH(MotorPHSales[[#This Row],[Product]],CLEANED_MotorPH_Products_List_2!$B:$B,0))</f>
        <v>Classic</v>
      </c>
      <c r="L794" s="44" t="str">
        <f>INDEX(CLEANED_MotorPH_Products_List_2!E:E,MATCH(MotorPHSales[[#This Row],[Product]],CLEANED_MotorPH_Products_List_2!$B:$B,0))</f>
        <v>Single cylinder</v>
      </c>
      <c r="M794" s="44" t="str">
        <f>INDEX(CLEANED_MotorPH_Products_List_2!F:F,MATCH(MotorPHSales[[#This Row],[Product]],CLEANED_MotorPH_Products_List_2!$B:$B,0))</f>
        <v>air-cooled</v>
      </c>
      <c r="N794" s="44" t="str">
        <f>INDEX(CLEANED_MotorPH_Products_List_2!G:G,MATCH(MotorPHSales[[#This Row],[Product]],CLEANED_MotorPH_Products_List_2!$B:$B,0))</f>
        <v>349cc</v>
      </c>
      <c r="O794" s="44" t="str">
        <f>INDEX(CLEANED_MotorPH_Products_List_2!K:K,MATCH(MotorPHSales[[#This Row],[Product]],CLEANED_MotorPH_Products_List_2!B:B,0))</f>
        <v>Mid-range</v>
      </c>
      <c r="P794" s="45">
        <f>IF(MotorPHSales[[#This Row],[Segment]]="Entry-level",MotorPHSales[[#This Row],[UnitPrice]]/(1+30%),IF(MotorPHSales[[#This Row],[Segment]]="Mid-range",MotorPHSales[[#This Row],[UnitPrice]]/(1+35%),MotorPHSales[[#This Row],[UnitPrice]]/(1+40%)))*MotorPHSales[[#This Row],[Quantity]]</f>
        <v>5555555.555555555</v>
      </c>
      <c r="Q794" s="44" t="str">
        <f>INDEX(CLEANED_MotorPH_Products_List_2!H:H,MATCH(MotorPHSales[[#This Row],[Product]],CLEANED_MotorPH_Products_List_2!$B:$B,0))</f>
        <v>5-speed</v>
      </c>
    </row>
    <row r="795" spans="1:17" ht="15.75" x14ac:dyDescent="0.3">
      <c r="A795" s="43">
        <v>45859</v>
      </c>
      <c r="B795" s="44" t="str">
        <f>TEXT(MotorPHSales[[#This Row],[Date]],"mmmm")</f>
        <v>July</v>
      </c>
      <c r="C795" s="44">
        <f>DAY(MotorPHSales[[#This Row],[Date]])</f>
        <v>21</v>
      </c>
      <c r="D795" s="44">
        <f>YEAR(MotorPHSales[[#This Row],[Date]])</f>
        <v>2025</v>
      </c>
      <c r="E795" s="44" t="s">
        <v>196</v>
      </c>
      <c r="F795" s="44" t="s">
        <v>84</v>
      </c>
      <c r="G795" s="45">
        <v>995000</v>
      </c>
      <c r="H795" s="44">
        <v>14</v>
      </c>
      <c r="I795" s="45">
        <v>13930000</v>
      </c>
      <c r="J795" s="44" t="s">
        <v>195</v>
      </c>
      <c r="K795" s="44" t="str">
        <f>INDEX(CLEANED_MotorPH_Products_List_2!C:C,MATCH(MotorPHSales[[#This Row],[Product]],CLEANED_MotorPH_Products_List_2!$B:$B,0))</f>
        <v>Heritage</v>
      </c>
      <c r="L795" s="44" t="str">
        <f>INDEX(CLEANED_MotorPH_Products_List_2!E:E,MATCH(MotorPHSales[[#This Row],[Product]],CLEANED_MotorPH_Products_List_2!$B:$B,0))</f>
        <v>Flat twin</v>
      </c>
      <c r="M795" s="44" t="str">
        <f>INDEX(CLEANED_MotorPH_Products_List_2!F:F,MATCH(MotorPHSales[[#This Row],[Product]],CLEANED_MotorPH_Products_List_2!$B:$B,0))</f>
        <v>air</v>
      </c>
      <c r="N795" s="44">
        <f>INDEX(CLEANED_MotorPH_Products_List_2!G:G,MATCH(MotorPHSales[[#This Row],[Product]],CLEANED_MotorPH_Products_List_2!$B:$B,0))</f>
        <v>0</v>
      </c>
      <c r="O795" s="44" t="str">
        <f>INDEX(CLEANED_MotorPH_Products_List_2!K:K,MATCH(MotorPHSales[[#This Row],[Product]],CLEANED_MotorPH_Products_List_2!B:B,0))</f>
        <v>Premium</v>
      </c>
      <c r="P795" s="45">
        <f>IF(MotorPHSales[[#This Row],[Segment]]="Entry-level",MotorPHSales[[#This Row],[UnitPrice]]/(1+30%),IF(MotorPHSales[[#This Row],[Segment]]="Mid-range",MotorPHSales[[#This Row],[UnitPrice]]/(1+35%),MotorPHSales[[#This Row],[UnitPrice]]/(1+40%)))*MotorPHSales[[#This Row],[Quantity]]</f>
        <v>9950000.0000000019</v>
      </c>
      <c r="Q795" s="44">
        <f>INDEX(CLEANED_MotorPH_Products_List_2!H:H,MATCH(MotorPHSales[[#This Row],[Product]],CLEANED_MotorPH_Products_List_2!$B:$B,0))</f>
        <v>0</v>
      </c>
    </row>
    <row r="796" spans="1:17" ht="15.75" x14ac:dyDescent="0.3">
      <c r="A796" s="43">
        <v>45889</v>
      </c>
      <c r="B796" s="44" t="str">
        <f>TEXT(MotorPHSales[[#This Row],[Date]],"mmmm")</f>
        <v>August</v>
      </c>
      <c r="C796" s="44">
        <f>DAY(MotorPHSales[[#This Row],[Date]])</f>
        <v>20</v>
      </c>
      <c r="D796" s="44">
        <f>YEAR(MotorPHSales[[#This Row],[Date]])</f>
        <v>2025</v>
      </c>
      <c r="E796" s="44" t="s">
        <v>194</v>
      </c>
      <c r="F796" s="44" t="s">
        <v>24</v>
      </c>
      <c r="G796" s="45">
        <v>199900</v>
      </c>
      <c r="H796" s="44">
        <v>20</v>
      </c>
      <c r="I796" s="45">
        <v>3998000</v>
      </c>
      <c r="J796" s="44" t="s">
        <v>197</v>
      </c>
      <c r="K796" s="44" t="str">
        <f>INDEX(CLEANED_MotorPH_Products_List_2!C:C,MATCH(MotorPHSales[[#This Row],[Product]],CLEANED_MotorPH_Products_List_2!$B:$B,0))</f>
        <v>Sport touring</v>
      </c>
      <c r="L796" s="44" t="str">
        <f>INDEX(CLEANED_MotorPH_Products_List_2!E:E,MATCH(MotorPHSales[[#This Row],[Product]],CLEANED_MotorPH_Products_List_2!$B:$B,0))</f>
        <v>Single cylinder</v>
      </c>
      <c r="M796" s="44" t="str">
        <f>INDEX(CLEANED_MotorPH_Products_List_2!F:F,MATCH(MotorPHSales[[#This Row],[Product]],CLEANED_MotorPH_Products_List_2!$B:$B,0))</f>
        <v>liquid-cooled</v>
      </c>
      <c r="N796" s="44" t="str">
        <f>INDEX(CLEANED_MotorPH_Products_List_2!G:G,MATCH(MotorPHSales[[#This Row],[Product]],CLEANED_MotorPH_Products_List_2!$B:$B,0))</f>
        <v>373cc</v>
      </c>
      <c r="O796" s="44" t="str">
        <f>INDEX(CLEANED_MotorPH_Products_List_2!K:K,MATCH(MotorPHSales[[#This Row],[Product]],CLEANED_MotorPH_Products_List_2!B:B,0))</f>
        <v>Mid-range</v>
      </c>
      <c r="P796" s="45">
        <f>IF(MotorPHSales[[#This Row],[Segment]]="Entry-level",MotorPHSales[[#This Row],[UnitPrice]]/(1+30%),IF(MotorPHSales[[#This Row],[Segment]]="Mid-range",MotorPHSales[[#This Row],[UnitPrice]]/(1+35%),MotorPHSales[[#This Row],[UnitPrice]]/(1+40%)))*MotorPHSales[[#This Row],[Quantity]]</f>
        <v>2961481.4814814813</v>
      </c>
      <c r="Q796" s="44" t="str">
        <f>INDEX(CLEANED_MotorPH_Products_List_2!H:H,MATCH(MotorPHSales[[#This Row],[Product]],CLEANED_MotorPH_Products_List_2!$B:$B,0))</f>
        <v>6-speed</v>
      </c>
    </row>
    <row r="797" spans="1:17" ht="15.75" x14ac:dyDescent="0.3">
      <c r="A797" s="43">
        <v>45813</v>
      </c>
      <c r="B797" s="44" t="str">
        <f>TEXT(MotorPHSales[[#This Row],[Date]],"mmmm")</f>
        <v>June</v>
      </c>
      <c r="C797" s="44">
        <f>DAY(MotorPHSales[[#This Row],[Date]])</f>
        <v>5</v>
      </c>
      <c r="D797" s="44">
        <f>YEAR(MotorPHSales[[#This Row],[Date]])</f>
        <v>2025</v>
      </c>
      <c r="E797" s="44" t="s">
        <v>194</v>
      </c>
      <c r="F797" s="44" t="s">
        <v>10</v>
      </c>
      <c r="G797" s="45">
        <v>340000</v>
      </c>
      <c r="H797" s="44">
        <v>5</v>
      </c>
      <c r="I797" s="45">
        <v>1700000</v>
      </c>
      <c r="J797" s="44" t="s">
        <v>198</v>
      </c>
      <c r="K797" s="44" t="str">
        <f>INDEX(CLEANED_MotorPH_Products_List_2!C:C,MATCH(MotorPHSales[[#This Row],[Product]],CLEANED_MotorPH_Products_List_2!$B:$B,0))</f>
        <v>Sport</v>
      </c>
      <c r="L797" s="44" t="str">
        <f>INDEX(CLEANED_MotorPH_Products_List_2!E:E,MATCH(MotorPHSales[[#This Row],[Product]],CLEANED_MotorPH_Products_List_2!$B:$B,0))</f>
        <v>Parallel-twin</v>
      </c>
      <c r="M797" s="44" t="str">
        <f>INDEX(CLEANED_MotorPH_Products_List_2!F:F,MATCH(MotorPHSales[[#This Row],[Product]],CLEANED_MotorPH_Products_List_2!$B:$B,0))</f>
        <v>liquid-cooled</v>
      </c>
      <c r="N797" s="44" t="str">
        <f>INDEX(CLEANED_MotorPH_Products_List_2!G:G,MATCH(MotorPHSales[[#This Row],[Product]],CLEANED_MotorPH_Products_List_2!$B:$B,0))</f>
        <v>399cc</v>
      </c>
      <c r="O797" s="44" t="str">
        <f>INDEX(CLEANED_MotorPH_Products_List_2!K:K,MATCH(MotorPHSales[[#This Row],[Product]],CLEANED_MotorPH_Products_List_2!B:B,0))</f>
        <v>Mid-range</v>
      </c>
      <c r="P797" s="45">
        <f>IF(MotorPHSales[[#This Row],[Segment]]="Entry-level",MotorPHSales[[#This Row],[UnitPrice]]/(1+30%),IF(MotorPHSales[[#This Row],[Segment]]="Mid-range",MotorPHSales[[#This Row],[UnitPrice]]/(1+35%),MotorPHSales[[#This Row],[UnitPrice]]/(1+40%)))*MotorPHSales[[#This Row],[Quantity]]</f>
        <v>1259259.2592592591</v>
      </c>
      <c r="Q797" s="44" t="str">
        <f>INDEX(CLEANED_MotorPH_Products_List_2!H:H,MATCH(MotorPHSales[[#This Row],[Product]],CLEANED_MotorPH_Products_List_2!$B:$B,0))</f>
        <v>6-speed</v>
      </c>
    </row>
    <row r="798" spans="1:17" ht="15.75" x14ac:dyDescent="0.3">
      <c r="A798" s="43">
        <v>45837</v>
      </c>
      <c r="B798" s="44" t="str">
        <f>TEXT(MotorPHSales[[#This Row],[Date]],"mmmm")</f>
        <v>June</v>
      </c>
      <c r="C798" s="44">
        <f>DAY(MotorPHSales[[#This Row],[Date]])</f>
        <v>29</v>
      </c>
      <c r="D798" s="44">
        <f>YEAR(MotorPHSales[[#This Row],[Date]])</f>
        <v>2025</v>
      </c>
      <c r="E798" s="44" t="s">
        <v>194</v>
      </c>
      <c r="F798" s="44" t="s">
        <v>57</v>
      </c>
      <c r="G798" s="45">
        <v>125900</v>
      </c>
      <c r="H798" s="44">
        <v>7</v>
      </c>
      <c r="I798" s="45">
        <v>881300</v>
      </c>
      <c r="J798" s="44" t="s">
        <v>197</v>
      </c>
      <c r="K798" s="44" t="str">
        <f>INDEX(CLEANED_MotorPH_Products_List_2!C:C,MATCH(MotorPHSales[[#This Row],[Product]],CLEANED_MotorPH_Products_List_2!$B:$B,0))</f>
        <v>Underbone</v>
      </c>
      <c r="L798" s="44" t="str">
        <f>INDEX(CLEANED_MotorPH_Products_List_2!E:E,MATCH(MotorPHSales[[#This Row],[Product]],CLEANED_MotorPH_Products_List_2!$B:$B,0))</f>
        <v>Single cylinder</v>
      </c>
      <c r="M798" s="44" t="str">
        <f>INDEX(CLEANED_MotorPH_Products_List_2!F:F,MATCH(MotorPHSales[[#This Row],[Product]],CLEANED_MotorPH_Products_List_2!$B:$B,0))</f>
        <v>liquid-cooled</v>
      </c>
      <c r="N798" s="44" t="str">
        <f>INDEX(CLEANED_MotorPH_Products_List_2!G:G,MATCH(MotorPHSales[[#This Row],[Product]],CLEANED_MotorPH_Products_List_2!$B:$B,0))</f>
        <v>155cc</v>
      </c>
      <c r="O798" s="44" t="str">
        <f>INDEX(CLEANED_MotorPH_Products_List_2!K:K,MATCH(MotorPHSales[[#This Row],[Product]],CLEANED_MotorPH_Products_List_2!B:B,0))</f>
        <v>Entry-level</v>
      </c>
      <c r="P798" s="45">
        <f>IF(MotorPHSales[[#This Row],[Segment]]="Entry-level",MotorPHSales[[#This Row],[UnitPrice]]/(1+30%),IF(MotorPHSales[[#This Row],[Segment]]="Mid-range",MotorPHSales[[#This Row],[UnitPrice]]/(1+35%),MotorPHSales[[#This Row],[UnitPrice]]/(1+40%)))*MotorPHSales[[#This Row],[Quantity]]</f>
        <v>677923.07692307688</v>
      </c>
      <c r="Q798" s="44" t="str">
        <f>INDEX(CLEANED_MotorPH_Products_List_2!H:H,MATCH(MotorPHSales[[#This Row],[Product]],CLEANED_MotorPH_Products_List_2!$B:$B,0))</f>
        <v>6-speed</v>
      </c>
    </row>
    <row r="799" spans="1:17" ht="15.75" x14ac:dyDescent="0.3">
      <c r="A799" s="43">
        <v>45812</v>
      </c>
      <c r="B799" s="44" t="str">
        <f>TEXT(MotorPHSales[[#This Row],[Date]],"mmmm")</f>
        <v>June</v>
      </c>
      <c r="C799" s="44">
        <f>DAY(MotorPHSales[[#This Row],[Date]])</f>
        <v>4</v>
      </c>
      <c r="D799" s="44">
        <f>YEAR(MotorPHSales[[#This Row],[Date]])</f>
        <v>2025</v>
      </c>
      <c r="E799" s="44" t="s">
        <v>196</v>
      </c>
      <c r="F799" s="44" t="s">
        <v>28</v>
      </c>
      <c r="G799" s="45">
        <v>164900</v>
      </c>
      <c r="H799" s="44">
        <v>5</v>
      </c>
      <c r="I799" s="45">
        <v>824500</v>
      </c>
      <c r="J799" s="44" t="s">
        <v>195</v>
      </c>
      <c r="K799" s="44" t="str">
        <f>INDEX(CLEANED_MotorPH_Products_List_2!C:C,MATCH(MotorPHSales[[#This Row],[Product]],CLEANED_MotorPH_Products_List_2!$B:$B,0))</f>
        <v>Scooter</v>
      </c>
      <c r="L799" s="44" t="str">
        <f>INDEX(CLEANED_MotorPH_Products_List_2!E:E,MATCH(MotorPHSales[[#This Row],[Product]],CLEANED_MotorPH_Products_List_2!$B:$B,0))</f>
        <v>Single cylinder</v>
      </c>
      <c r="M799" s="44" t="str">
        <f>INDEX(CLEANED_MotorPH_Products_List_2!F:F,MATCH(MotorPHSales[[#This Row],[Product]],CLEANED_MotorPH_Products_List_2!$B:$B,0))</f>
        <v>liquid-cooled</v>
      </c>
      <c r="N799" s="44" t="str">
        <f>INDEX(CLEANED_MotorPH_Products_List_2!G:G,MATCH(MotorPHSales[[#This Row],[Product]],CLEANED_MotorPH_Products_List_2!$B:$B,0))</f>
        <v>157cc</v>
      </c>
      <c r="O799" s="44" t="str">
        <f>INDEX(CLEANED_MotorPH_Products_List_2!K:K,MATCH(MotorPHSales[[#This Row],[Product]],CLEANED_MotorPH_Products_List_2!B:B,0))</f>
        <v>Entry-level</v>
      </c>
      <c r="P799" s="45">
        <f>IF(MotorPHSales[[#This Row],[Segment]]="Entry-level",MotorPHSales[[#This Row],[UnitPrice]]/(1+30%),IF(MotorPHSales[[#This Row],[Segment]]="Mid-range",MotorPHSales[[#This Row],[UnitPrice]]/(1+35%),MotorPHSales[[#This Row],[UnitPrice]]/(1+40%)))*MotorPHSales[[#This Row],[Quantity]]</f>
        <v>634230.76923076925</v>
      </c>
      <c r="Q799" s="44" t="str">
        <f>INDEX(CLEANED_MotorPH_Products_List_2!H:H,MATCH(MotorPHSales[[#This Row],[Product]],CLEANED_MotorPH_Products_List_2!$B:$B,0))</f>
        <v>CVT</v>
      </c>
    </row>
    <row r="800" spans="1:17" ht="15.75" x14ac:dyDescent="0.3">
      <c r="A800" s="43">
        <v>45818</v>
      </c>
      <c r="B800" s="44" t="str">
        <f>TEXT(MotorPHSales[[#This Row],[Date]],"mmmm")</f>
        <v>June</v>
      </c>
      <c r="C800" s="44">
        <f>DAY(MotorPHSales[[#This Row],[Date]])</f>
        <v>10</v>
      </c>
      <c r="D800" s="44">
        <f>YEAR(MotorPHSales[[#This Row],[Date]])</f>
        <v>2025</v>
      </c>
      <c r="E800" s="44" t="s">
        <v>196</v>
      </c>
      <c r="F800" s="44" t="s">
        <v>84</v>
      </c>
      <c r="G800" s="45">
        <v>995000</v>
      </c>
      <c r="H800" s="44">
        <v>5</v>
      </c>
      <c r="I800" s="45">
        <v>4975000</v>
      </c>
      <c r="J800" s="44" t="s">
        <v>197</v>
      </c>
      <c r="K800" s="44" t="str">
        <f>INDEX(CLEANED_MotorPH_Products_List_2!C:C,MATCH(MotorPHSales[[#This Row],[Product]],CLEANED_MotorPH_Products_List_2!$B:$B,0))</f>
        <v>Heritage</v>
      </c>
      <c r="L800" s="44" t="str">
        <f>INDEX(CLEANED_MotorPH_Products_List_2!E:E,MATCH(MotorPHSales[[#This Row],[Product]],CLEANED_MotorPH_Products_List_2!$B:$B,0))</f>
        <v>Flat twin</v>
      </c>
      <c r="M800" s="44" t="str">
        <f>INDEX(CLEANED_MotorPH_Products_List_2!F:F,MATCH(MotorPHSales[[#This Row],[Product]],CLEANED_MotorPH_Products_List_2!$B:$B,0))</f>
        <v>air</v>
      </c>
      <c r="N800" s="44">
        <f>INDEX(CLEANED_MotorPH_Products_List_2!G:G,MATCH(MotorPHSales[[#This Row],[Product]],CLEANED_MotorPH_Products_List_2!$B:$B,0))</f>
        <v>0</v>
      </c>
      <c r="O800" s="44" t="str">
        <f>INDEX(CLEANED_MotorPH_Products_List_2!K:K,MATCH(MotorPHSales[[#This Row],[Product]],CLEANED_MotorPH_Products_List_2!B:B,0))</f>
        <v>Premium</v>
      </c>
      <c r="P800" s="45">
        <f>IF(MotorPHSales[[#This Row],[Segment]]="Entry-level",MotorPHSales[[#This Row],[UnitPrice]]/(1+30%),IF(MotorPHSales[[#This Row],[Segment]]="Mid-range",MotorPHSales[[#This Row],[UnitPrice]]/(1+35%),MotorPHSales[[#This Row],[UnitPrice]]/(1+40%)))*MotorPHSales[[#This Row],[Quantity]]</f>
        <v>3553571.4285714291</v>
      </c>
      <c r="Q800" s="44">
        <f>INDEX(CLEANED_MotorPH_Products_List_2!H:H,MATCH(MotorPHSales[[#This Row],[Product]],CLEANED_MotorPH_Products_List_2!$B:$B,0))</f>
        <v>0</v>
      </c>
    </row>
    <row r="801" spans="1:17" ht="15.75" x14ac:dyDescent="0.3">
      <c r="A801" s="43">
        <v>45864</v>
      </c>
      <c r="B801" s="44" t="str">
        <f>TEXT(MotorPHSales[[#This Row],[Date]],"mmmm")</f>
        <v>July</v>
      </c>
      <c r="C801" s="44">
        <f>DAY(MotorPHSales[[#This Row],[Date]])</f>
        <v>26</v>
      </c>
      <c r="D801" s="44">
        <f>YEAR(MotorPHSales[[#This Row],[Date]])</f>
        <v>2025</v>
      </c>
      <c r="E801" s="44" t="s">
        <v>196</v>
      </c>
      <c r="F801" s="44" t="s">
        <v>101</v>
      </c>
      <c r="G801" s="45">
        <v>72900</v>
      </c>
      <c r="H801" s="44">
        <v>11</v>
      </c>
      <c r="I801" s="45">
        <v>801900</v>
      </c>
      <c r="J801" s="44" t="s">
        <v>195</v>
      </c>
      <c r="K801" s="44" t="str">
        <f>INDEX(CLEANED_MotorPH_Products_List_2!C:C,MATCH(MotorPHSales[[#This Row],[Product]],CLEANED_MotorPH_Products_List_2!$B:$B,0))</f>
        <v>Underbone</v>
      </c>
      <c r="L801" s="44" t="str">
        <f>INDEX(CLEANED_MotorPH_Products_List_2!E:E,MATCH(MotorPHSales[[#This Row],[Product]],CLEANED_MotorPH_Products_List_2!$B:$B,0))</f>
        <v>Single cylinder</v>
      </c>
      <c r="M801" s="44" t="str">
        <f>INDEX(CLEANED_MotorPH_Products_List_2!F:F,MATCH(MotorPHSales[[#This Row],[Product]],CLEANED_MotorPH_Products_List_2!$B:$B,0))</f>
        <v>air-cooled</v>
      </c>
      <c r="N801" s="44" t="str">
        <f>INDEX(CLEANED_MotorPH_Products_List_2!G:G,MATCH(MotorPHSales[[#This Row],[Product]],CLEANED_MotorPH_Products_List_2!$B:$B,0))</f>
        <v>150cc</v>
      </c>
      <c r="O801" s="44" t="str">
        <f>INDEX(CLEANED_MotorPH_Products_List_2!K:K,MATCH(MotorPHSales[[#This Row],[Product]],CLEANED_MotorPH_Products_List_2!B:B,0))</f>
        <v>Entry-level</v>
      </c>
      <c r="P801" s="45">
        <f>IF(MotorPHSales[[#This Row],[Segment]]="Entry-level",MotorPHSales[[#This Row],[UnitPrice]]/(1+30%),IF(MotorPHSales[[#This Row],[Segment]]="Mid-range",MotorPHSales[[#This Row],[UnitPrice]]/(1+35%),MotorPHSales[[#This Row],[UnitPrice]]/(1+40%)))*MotorPHSales[[#This Row],[Quantity]]</f>
        <v>616846.15384615387</v>
      </c>
      <c r="Q801" s="44" t="str">
        <f>INDEX(CLEANED_MotorPH_Products_List_2!H:H,MATCH(MotorPHSales[[#This Row],[Product]],CLEANED_MotorPH_Products_List_2!$B:$B,0))</f>
        <v>CVT</v>
      </c>
    </row>
    <row r="802" spans="1:17" ht="15.75" x14ac:dyDescent="0.3">
      <c r="A802" s="43">
        <v>45825</v>
      </c>
      <c r="B802" s="44" t="str">
        <f>TEXT(MotorPHSales[[#This Row],[Date]],"mmmm")</f>
        <v>June</v>
      </c>
      <c r="C802" s="44">
        <f>DAY(MotorPHSales[[#This Row],[Date]])</f>
        <v>17</v>
      </c>
      <c r="D802" s="44">
        <f>YEAR(MotorPHSales[[#This Row],[Date]])</f>
        <v>2025</v>
      </c>
      <c r="E802" s="44" t="s">
        <v>196</v>
      </c>
      <c r="F802" s="44" t="s">
        <v>70</v>
      </c>
      <c r="G802" s="45">
        <v>219000</v>
      </c>
      <c r="H802" s="44">
        <v>24</v>
      </c>
      <c r="I802" s="45">
        <v>5256000</v>
      </c>
      <c r="J802" s="44" t="s">
        <v>198</v>
      </c>
      <c r="K802" s="44" t="str">
        <f>INDEX(CLEANED_MotorPH_Products_List_2!C:C,MATCH(MotorPHSales[[#This Row],[Product]],CLEANED_MotorPH_Products_List_2!$B:$B,0))</f>
        <v>Scooter</v>
      </c>
      <c r="L802" s="44" t="str">
        <f>INDEX(CLEANED_MotorPH_Products_List_2!E:E,MATCH(MotorPHSales[[#This Row],[Product]],CLEANED_MotorPH_Products_List_2!$B:$B,0))</f>
        <v>Single cylinder</v>
      </c>
      <c r="M802" s="44" t="str">
        <f>INDEX(CLEANED_MotorPH_Products_List_2!F:F,MATCH(MotorPHSales[[#This Row],[Product]],CLEANED_MotorPH_Products_List_2!$B:$B,0))</f>
        <v>liquid-cooled</v>
      </c>
      <c r="N802" s="44" t="str">
        <f>INDEX(CLEANED_MotorPH_Products_List_2!G:G,MATCH(MotorPHSales[[#This Row],[Product]],CLEANED_MotorPH_Products_List_2!$B:$B,0))</f>
        <v>174cc</v>
      </c>
      <c r="O802" s="44" t="str">
        <f>INDEX(CLEANED_MotorPH_Products_List_2!K:K,MATCH(MotorPHSales[[#This Row],[Product]],CLEANED_MotorPH_Products_List_2!B:B,0))</f>
        <v>Entry-level</v>
      </c>
      <c r="P802" s="45">
        <f>IF(MotorPHSales[[#This Row],[Segment]]="Entry-level",MotorPHSales[[#This Row],[UnitPrice]]/(1+30%),IF(MotorPHSales[[#This Row],[Segment]]="Mid-range",MotorPHSales[[#This Row],[UnitPrice]]/(1+35%),MotorPHSales[[#This Row],[UnitPrice]]/(1+40%)))*MotorPHSales[[#This Row],[Quantity]]</f>
        <v>4043076.923076923</v>
      </c>
      <c r="Q802" s="44" t="str">
        <f>INDEX(CLEANED_MotorPH_Products_List_2!H:H,MATCH(MotorPHSales[[#This Row],[Product]],CLEANED_MotorPH_Products_List_2!$B:$B,0))</f>
        <v>CVT</v>
      </c>
    </row>
    <row r="803" spans="1:17" ht="15.75" x14ac:dyDescent="0.3">
      <c r="A803" s="43">
        <v>45882</v>
      </c>
      <c r="B803" s="44" t="str">
        <f>TEXT(MotorPHSales[[#This Row],[Date]],"mmmm")</f>
        <v>August</v>
      </c>
      <c r="C803" s="44">
        <f>DAY(MotorPHSales[[#This Row],[Date]])</f>
        <v>13</v>
      </c>
      <c r="D803" s="44">
        <f>YEAR(MotorPHSales[[#This Row],[Date]])</f>
        <v>2025</v>
      </c>
      <c r="E803" s="44" t="s">
        <v>194</v>
      </c>
      <c r="F803" s="44" t="s">
        <v>46</v>
      </c>
      <c r="G803" s="45">
        <v>124000</v>
      </c>
      <c r="H803" s="44">
        <v>6</v>
      </c>
      <c r="I803" s="45">
        <v>744000</v>
      </c>
      <c r="J803" s="44" t="s">
        <v>198</v>
      </c>
      <c r="K803" s="44" t="str">
        <f>INDEX(CLEANED_MotorPH_Products_List_2!C:C,MATCH(MotorPHSales[[#This Row],[Product]],CLEANED_MotorPH_Products_List_2!$B:$B,0))</f>
        <v>Scooter</v>
      </c>
      <c r="L803" s="44" t="str">
        <f>INDEX(CLEANED_MotorPH_Products_List_2!E:E,MATCH(MotorPHSales[[#This Row],[Product]],CLEANED_MotorPH_Products_List_2!$B:$B,0))</f>
        <v>Single cylinder</v>
      </c>
      <c r="M803" s="44" t="str">
        <f>INDEX(CLEANED_MotorPH_Products_List_2!F:F,MATCH(MotorPHSales[[#This Row],[Product]],CLEANED_MotorPH_Products_List_2!$B:$B,0))</f>
        <v>liquid-cooled</v>
      </c>
      <c r="N803" s="44" t="str">
        <f>INDEX(CLEANED_MotorPH_Products_List_2!G:G,MATCH(MotorPHSales[[#This Row],[Product]],CLEANED_MotorPH_Products_List_2!$B:$B,0))</f>
        <v>155cc</v>
      </c>
      <c r="O803" s="44" t="str">
        <f>INDEX(CLEANED_MotorPH_Products_List_2!K:K,MATCH(MotorPHSales[[#This Row],[Product]],CLEANED_MotorPH_Products_List_2!B:B,0))</f>
        <v>Entry-level</v>
      </c>
      <c r="P803" s="45">
        <f>IF(MotorPHSales[[#This Row],[Segment]]="Entry-level",MotorPHSales[[#This Row],[UnitPrice]]/(1+30%),IF(MotorPHSales[[#This Row],[Segment]]="Mid-range",MotorPHSales[[#This Row],[UnitPrice]]/(1+35%),MotorPHSales[[#This Row],[UnitPrice]]/(1+40%)))*MotorPHSales[[#This Row],[Quantity]]</f>
        <v>572307.69230769225</v>
      </c>
      <c r="Q803" s="44" t="str">
        <f>INDEX(CLEANED_MotorPH_Products_List_2!H:H,MATCH(MotorPHSales[[#This Row],[Product]],CLEANED_MotorPH_Products_List_2!$B:$B,0))</f>
        <v>CVT</v>
      </c>
    </row>
    <row r="804" spans="1:17" ht="15.75" x14ac:dyDescent="0.3">
      <c r="A804" s="43">
        <v>45825</v>
      </c>
      <c r="B804" s="44" t="str">
        <f>TEXT(MotorPHSales[[#This Row],[Date]],"mmmm")</f>
        <v>June</v>
      </c>
      <c r="C804" s="44">
        <f>DAY(MotorPHSales[[#This Row],[Date]])</f>
        <v>17</v>
      </c>
      <c r="D804" s="44">
        <f>YEAR(MotorPHSales[[#This Row],[Date]])</f>
        <v>2025</v>
      </c>
      <c r="E804" s="44" t="s">
        <v>194</v>
      </c>
      <c r="F804" s="44" t="s">
        <v>40</v>
      </c>
      <c r="G804" s="45">
        <v>210000</v>
      </c>
      <c r="H804" s="44">
        <v>48</v>
      </c>
      <c r="I804" s="45">
        <v>10080000</v>
      </c>
      <c r="J804" s="44" t="s">
        <v>198</v>
      </c>
      <c r="K804" s="44" t="str">
        <f>INDEX(CLEANED_MotorPH_Products_List_2!C:C,MATCH(MotorPHSales[[#This Row],[Product]],CLEANED_MotorPH_Products_List_2!$B:$B,0))</f>
        <v>Scooter</v>
      </c>
      <c r="L804" s="44" t="str">
        <f>INDEX(CLEANED_MotorPH_Products_List_2!E:E,MATCH(MotorPHSales[[#This Row],[Product]],CLEANED_MotorPH_Products_List_2!$B:$B,0))</f>
        <v>Single cylinder</v>
      </c>
      <c r="M804" s="44" t="str">
        <f>INDEX(CLEANED_MotorPH_Products_List_2!F:F,MATCH(MotorPHSales[[#This Row],[Product]],CLEANED_MotorPH_Products_List_2!$B:$B,0))</f>
        <v>air-cooled</v>
      </c>
      <c r="N804" s="44" t="str">
        <f>INDEX(CLEANED_MotorPH_Products_List_2!G:G,MATCH(MotorPHSales[[#This Row],[Product]],CLEANED_MotorPH_Products_List_2!$B:$B,0))</f>
        <v>150cc</v>
      </c>
      <c r="O804" s="44" t="str">
        <f>INDEX(CLEANED_MotorPH_Products_List_2!K:K,MATCH(MotorPHSales[[#This Row],[Product]],CLEANED_MotorPH_Products_List_2!B:B,0))</f>
        <v>Entry-level</v>
      </c>
      <c r="P804" s="45">
        <f>IF(MotorPHSales[[#This Row],[Segment]]="Entry-level",MotorPHSales[[#This Row],[UnitPrice]]/(1+30%),IF(MotorPHSales[[#This Row],[Segment]]="Mid-range",MotorPHSales[[#This Row],[UnitPrice]]/(1+35%),MotorPHSales[[#This Row],[UnitPrice]]/(1+40%)))*MotorPHSales[[#This Row],[Quantity]]</f>
        <v>7753846.153846154</v>
      </c>
      <c r="Q804" s="44" t="str">
        <f>INDEX(CLEANED_MotorPH_Products_List_2!H:H,MATCH(MotorPHSales[[#This Row],[Product]],CLEANED_MotorPH_Products_List_2!$B:$B,0))</f>
        <v>CVT</v>
      </c>
    </row>
    <row r="805" spans="1:17" ht="15.75" x14ac:dyDescent="0.3">
      <c r="A805" s="43">
        <v>45892</v>
      </c>
      <c r="B805" s="44" t="str">
        <f>TEXT(MotorPHSales[[#This Row],[Date]],"mmmm")</f>
        <v>August</v>
      </c>
      <c r="C805" s="44">
        <f>DAY(MotorPHSales[[#This Row],[Date]])</f>
        <v>23</v>
      </c>
      <c r="D805" s="44">
        <f>YEAR(MotorPHSales[[#This Row],[Date]])</f>
        <v>2025</v>
      </c>
      <c r="E805" s="44" t="s">
        <v>194</v>
      </c>
      <c r="F805" s="44" t="s">
        <v>74</v>
      </c>
      <c r="G805" s="45">
        <v>349000</v>
      </c>
      <c r="H805" s="44">
        <v>25</v>
      </c>
      <c r="I805" s="45">
        <v>8725000</v>
      </c>
      <c r="J805" s="44" t="s">
        <v>195</v>
      </c>
      <c r="K805" s="44" t="str">
        <f>INDEX(CLEANED_MotorPH_Products_List_2!C:C,MATCH(MotorPHSales[[#This Row],[Product]],CLEANED_MotorPH_Products_List_2!$B:$B,0))</f>
        <v>Cruiser</v>
      </c>
      <c r="L805" s="44" t="str">
        <f>INDEX(CLEANED_MotorPH_Products_List_2!E:E,MATCH(MotorPHSales[[#This Row],[Product]],CLEANED_MotorPH_Products_List_2!$B:$B,0))</f>
        <v>Parallel-twin</v>
      </c>
      <c r="M805" s="44" t="str">
        <f>INDEX(CLEANED_MotorPH_Products_List_2!F:F,MATCH(MotorPHSales[[#This Row],[Product]],CLEANED_MotorPH_Products_List_2!$B:$B,0))</f>
        <v>liquid-cooled</v>
      </c>
      <c r="N805" s="44" t="str">
        <f>INDEX(CLEANED_MotorPH_Products_List_2!G:G,MATCH(MotorPHSales[[#This Row],[Product]],CLEANED_MotorPH_Products_List_2!$B:$B,0))</f>
        <v>500cc</v>
      </c>
      <c r="O805" s="44" t="str">
        <f>INDEX(CLEANED_MotorPH_Products_List_2!K:K,MATCH(MotorPHSales[[#This Row],[Product]],CLEANED_MotorPH_Products_List_2!B:B,0))</f>
        <v>Mid-range</v>
      </c>
      <c r="P805" s="45">
        <f>IF(MotorPHSales[[#This Row],[Segment]]="Entry-level",MotorPHSales[[#This Row],[UnitPrice]]/(1+30%),IF(MotorPHSales[[#This Row],[Segment]]="Mid-range",MotorPHSales[[#This Row],[UnitPrice]]/(1+35%),MotorPHSales[[#This Row],[UnitPrice]]/(1+40%)))*MotorPHSales[[#This Row],[Quantity]]</f>
        <v>6462962.9629629627</v>
      </c>
      <c r="Q805" s="44" t="str">
        <f>INDEX(CLEANED_MotorPH_Products_List_2!H:H,MATCH(MotorPHSales[[#This Row],[Product]],CLEANED_MotorPH_Products_List_2!$B:$B,0))</f>
        <v>6-speed</v>
      </c>
    </row>
    <row r="806" spans="1:17" ht="15.75" x14ac:dyDescent="0.3">
      <c r="A806" s="43">
        <v>45896</v>
      </c>
      <c r="B806" s="44" t="str">
        <f>TEXT(MotorPHSales[[#This Row],[Date]],"mmmm")</f>
        <v>August</v>
      </c>
      <c r="C806" s="44">
        <f>DAY(MotorPHSales[[#This Row],[Date]])</f>
        <v>27</v>
      </c>
      <c r="D806" s="44">
        <f>YEAR(MotorPHSales[[#This Row],[Date]])</f>
        <v>2025</v>
      </c>
      <c r="E806" s="44" t="s">
        <v>196</v>
      </c>
      <c r="F806" s="44" t="s">
        <v>82</v>
      </c>
      <c r="G806" s="45">
        <v>199000</v>
      </c>
      <c r="H806" s="44">
        <v>17</v>
      </c>
      <c r="I806" s="45">
        <v>3383000</v>
      </c>
      <c r="J806" s="44" t="s">
        <v>197</v>
      </c>
      <c r="K806" s="44" t="str">
        <f>INDEX(CLEANED_MotorPH_Products_List_2!C:C,MATCH(MotorPHSales[[#This Row],[Product]],CLEANED_MotorPH_Products_List_2!$B:$B,0))</f>
        <v>Dual-sport</v>
      </c>
      <c r="L806" s="44" t="str">
        <f>INDEX(CLEANED_MotorPH_Products_List_2!E:E,MATCH(MotorPHSales[[#This Row],[Product]],CLEANED_MotorPH_Products_List_2!$B:$B,0))</f>
        <v>Single cylinder</v>
      </c>
      <c r="M806" s="44" t="str">
        <f>INDEX(CLEANED_MotorPH_Products_List_2!F:F,MATCH(MotorPHSales[[#This Row],[Product]],CLEANED_MotorPH_Products_List_2!$B:$B,0))</f>
        <v>air-cooled</v>
      </c>
      <c r="N806" s="44" t="str">
        <f>INDEX(CLEANED_MotorPH_Products_List_2!G:G,MATCH(MotorPHSales[[#This Row],[Product]],CLEANED_MotorPH_Products_List_2!$B:$B,0))</f>
        <v>233cc</v>
      </c>
      <c r="O806" s="44" t="str">
        <f>INDEX(CLEANED_MotorPH_Products_List_2!K:K,MATCH(MotorPHSales[[#This Row],[Product]],CLEANED_MotorPH_Products_List_2!B:B,0))</f>
        <v>Mid-range</v>
      </c>
      <c r="P806" s="45">
        <f>IF(MotorPHSales[[#This Row],[Segment]]="Entry-level",MotorPHSales[[#This Row],[UnitPrice]]/(1+30%),IF(MotorPHSales[[#This Row],[Segment]]="Mid-range",MotorPHSales[[#This Row],[UnitPrice]]/(1+35%),MotorPHSales[[#This Row],[UnitPrice]]/(1+40%)))*MotorPHSales[[#This Row],[Quantity]]</f>
        <v>2505925.9259259254</v>
      </c>
      <c r="Q806" s="44" t="str">
        <f>INDEX(CLEANED_MotorPH_Products_List_2!H:H,MATCH(MotorPHSales[[#This Row],[Product]],CLEANED_MotorPH_Products_List_2!$B:$B,0))</f>
        <v>6-speed</v>
      </c>
    </row>
    <row r="807" spans="1:17" ht="15.75" x14ac:dyDescent="0.3">
      <c r="A807" s="43">
        <v>45877</v>
      </c>
      <c r="B807" s="44" t="str">
        <f>TEXT(MotorPHSales[[#This Row],[Date]],"mmmm")</f>
        <v>August</v>
      </c>
      <c r="C807" s="44">
        <f>DAY(MotorPHSales[[#This Row],[Date]])</f>
        <v>8</v>
      </c>
      <c r="D807" s="44">
        <f>YEAR(MotorPHSales[[#This Row],[Date]])</f>
        <v>2025</v>
      </c>
      <c r="E807" s="44" t="s">
        <v>194</v>
      </c>
      <c r="F807" s="44" t="s">
        <v>38</v>
      </c>
      <c r="G807" s="45">
        <v>295000</v>
      </c>
      <c r="H807" s="44">
        <v>31</v>
      </c>
      <c r="I807" s="45">
        <v>9145000</v>
      </c>
      <c r="J807" s="44" t="s">
        <v>195</v>
      </c>
      <c r="K807" s="44" t="str">
        <f>INDEX(CLEANED_MotorPH_Products_List_2!C:C,MATCH(MotorPHSales[[#This Row],[Product]],CLEANED_MotorPH_Products_List_2!$B:$B,0))</f>
        <v>Scrambler</v>
      </c>
      <c r="L807" s="44" t="str">
        <f>INDEX(CLEANED_MotorPH_Products_List_2!E:E,MATCH(MotorPHSales[[#This Row],[Product]],CLEANED_MotorPH_Products_List_2!$B:$B,0))</f>
        <v>Single cylinder</v>
      </c>
      <c r="M807" s="44" t="str">
        <f>INDEX(CLEANED_MotorPH_Products_List_2!F:F,MATCH(MotorPHSales[[#This Row],[Product]],CLEANED_MotorPH_Products_List_2!$B:$B,0))</f>
        <v>liquid-cooled</v>
      </c>
      <c r="N807" s="44" t="str">
        <f>INDEX(CLEANED_MotorPH_Products_List_2!G:G,MATCH(MotorPHSales[[#This Row],[Product]],CLEANED_MotorPH_Products_List_2!$B:$B,0))</f>
        <v>373cc</v>
      </c>
      <c r="O807" s="44" t="str">
        <f>INDEX(CLEANED_MotorPH_Products_List_2!K:K,MATCH(MotorPHSales[[#This Row],[Product]],CLEANED_MotorPH_Products_List_2!B:B,0))</f>
        <v>Mid-range</v>
      </c>
      <c r="P807" s="45">
        <f>IF(MotorPHSales[[#This Row],[Segment]]="Entry-level",MotorPHSales[[#This Row],[UnitPrice]]/(1+30%),IF(MotorPHSales[[#This Row],[Segment]]="Mid-range",MotorPHSales[[#This Row],[UnitPrice]]/(1+35%),MotorPHSales[[#This Row],[UnitPrice]]/(1+40%)))*MotorPHSales[[#This Row],[Quantity]]</f>
        <v>6774074.0740740737</v>
      </c>
      <c r="Q807" s="44" t="str">
        <f>INDEX(CLEANED_MotorPH_Products_List_2!H:H,MATCH(MotorPHSales[[#This Row],[Product]],CLEANED_MotorPH_Products_List_2!$B:$B,0))</f>
        <v>6-speed</v>
      </c>
    </row>
    <row r="808" spans="1:17" ht="15.75" x14ac:dyDescent="0.3">
      <c r="A808" s="43">
        <v>45842</v>
      </c>
      <c r="B808" s="44" t="str">
        <f>TEXT(MotorPHSales[[#This Row],[Date]],"mmmm")</f>
        <v>July</v>
      </c>
      <c r="C808" s="44">
        <f>DAY(MotorPHSales[[#This Row],[Date]])</f>
        <v>4</v>
      </c>
      <c r="D808" s="44">
        <f>YEAR(MotorPHSales[[#This Row],[Date]])</f>
        <v>2025</v>
      </c>
      <c r="E808" s="44" t="s">
        <v>196</v>
      </c>
      <c r="F808" s="44" t="s">
        <v>26</v>
      </c>
      <c r="G808" s="45">
        <v>151900</v>
      </c>
      <c r="H808" s="44">
        <v>29</v>
      </c>
      <c r="I808" s="45">
        <v>4405100</v>
      </c>
      <c r="J808" s="44" t="s">
        <v>197</v>
      </c>
      <c r="K808" s="44" t="str">
        <f>INDEX(CLEANED_MotorPH_Products_List_2!C:C,MATCH(MotorPHSales[[#This Row],[Product]],CLEANED_MotorPH_Products_List_2!$B:$B,0))</f>
        <v>Scooter</v>
      </c>
      <c r="L808" s="44" t="str">
        <f>INDEX(CLEANED_MotorPH_Products_List_2!E:E,MATCH(MotorPHSales[[#This Row],[Product]],CLEANED_MotorPH_Products_List_2!$B:$B,0))</f>
        <v>Single cylinder</v>
      </c>
      <c r="M808" s="44" t="str">
        <f>INDEX(CLEANED_MotorPH_Products_List_2!F:F,MATCH(MotorPHSales[[#This Row],[Product]],CLEANED_MotorPH_Products_List_2!$B:$B,0))</f>
        <v>liquid-cooled</v>
      </c>
      <c r="N808" s="44" t="str">
        <f>INDEX(CLEANED_MotorPH_Products_List_2!G:G,MATCH(MotorPHSales[[#This Row],[Product]],CLEANED_MotorPH_Products_List_2!$B:$B,0))</f>
        <v>155cc</v>
      </c>
      <c r="O808" s="44" t="str">
        <f>INDEX(CLEANED_MotorPH_Products_List_2!K:K,MATCH(MotorPHSales[[#This Row],[Product]],CLEANED_MotorPH_Products_List_2!B:B,0))</f>
        <v>Entry-level</v>
      </c>
      <c r="P808" s="45">
        <f>IF(MotorPHSales[[#This Row],[Segment]]="Entry-level",MotorPHSales[[#This Row],[UnitPrice]]/(1+30%),IF(MotorPHSales[[#This Row],[Segment]]="Mid-range",MotorPHSales[[#This Row],[UnitPrice]]/(1+35%),MotorPHSales[[#This Row],[UnitPrice]]/(1+40%)))*MotorPHSales[[#This Row],[Quantity]]</f>
        <v>3388538.4615384615</v>
      </c>
      <c r="Q808" s="44" t="str">
        <f>INDEX(CLEANED_MotorPH_Products_List_2!H:H,MATCH(MotorPHSales[[#This Row],[Product]],CLEANED_MotorPH_Products_List_2!$B:$B,0))</f>
        <v>CVT</v>
      </c>
    </row>
    <row r="809" spans="1:17" ht="15.75" x14ac:dyDescent="0.3">
      <c r="A809" s="43">
        <v>45814</v>
      </c>
      <c r="B809" s="44" t="str">
        <f>TEXT(MotorPHSales[[#This Row],[Date]],"mmmm")</f>
        <v>June</v>
      </c>
      <c r="C809" s="44">
        <f>DAY(MotorPHSales[[#This Row],[Date]])</f>
        <v>6</v>
      </c>
      <c r="D809" s="44">
        <f>YEAR(MotorPHSales[[#This Row],[Date]])</f>
        <v>2025</v>
      </c>
      <c r="E809" s="44" t="s">
        <v>196</v>
      </c>
      <c r="F809" s="44" t="s">
        <v>44</v>
      </c>
      <c r="G809" s="45">
        <v>331000</v>
      </c>
      <c r="H809" s="44">
        <v>3</v>
      </c>
      <c r="I809" s="45">
        <v>993000</v>
      </c>
      <c r="J809" s="44" t="s">
        <v>197</v>
      </c>
      <c r="K809" s="44" t="str">
        <f>INDEX(CLEANED_MotorPH_Products_List_2!C:C,MATCH(MotorPHSales[[#This Row],[Product]],CLEANED_MotorPH_Products_List_2!$B:$B,0))</f>
        <v>Naked bike</v>
      </c>
      <c r="L809" s="44" t="str">
        <f>INDEX(CLEANED_MotorPH_Products_List_2!E:E,MATCH(MotorPHSales[[#This Row],[Product]],CLEANED_MotorPH_Products_List_2!$B:$B,0))</f>
        <v>Parallel-twin</v>
      </c>
      <c r="M809" s="44" t="str">
        <f>INDEX(CLEANED_MotorPH_Products_List_2!F:F,MATCH(MotorPHSales[[#This Row],[Product]],CLEANED_MotorPH_Products_List_2!$B:$B,0))</f>
        <v>liquid-cooled</v>
      </c>
      <c r="N809" s="44" t="str">
        <f>INDEX(CLEANED_MotorPH_Products_List_2!G:G,MATCH(MotorPHSales[[#This Row],[Product]],CLEANED_MotorPH_Products_List_2!$B:$B,0))</f>
        <v>399cc</v>
      </c>
      <c r="O809" s="44" t="str">
        <f>INDEX(CLEANED_MotorPH_Products_List_2!K:K,MATCH(MotorPHSales[[#This Row],[Product]],CLEANED_MotorPH_Products_List_2!B:B,0))</f>
        <v>Mid-range</v>
      </c>
      <c r="P809" s="45">
        <f>IF(MotorPHSales[[#This Row],[Segment]]="Entry-level",MotorPHSales[[#This Row],[UnitPrice]]/(1+30%),IF(MotorPHSales[[#This Row],[Segment]]="Mid-range",MotorPHSales[[#This Row],[UnitPrice]]/(1+35%),MotorPHSales[[#This Row],[UnitPrice]]/(1+40%)))*MotorPHSales[[#This Row],[Quantity]]</f>
        <v>735555.5555555555</v>
      </c>
      <c r="Q809" s="44" t="str">
        <f>INDEX(CLEANED_MotorPH_Products_List_2!H:H,MATCH(MotorPHSales[[#This Row],[Product]],CLEANED_MotorPH_Products_List_2!$B:$B,0))</f>
        <v>6-speed</v>
      </c>
    </row>
    <row r="810" spans="1:17" ht="15.75" x14ac:dyDescent="0.3">
      <c r="A810" s="43">
        <v>45861</v>
      </c>
      <c r="B810" s="44" t="str">
        <f>TEXT(MotorPHSales[[#This Row],[Date]],"mmmm")</f>
        <v>July</v>
      </c>
      <c r="C810" s="44">
        <f>DAY(MotorPHSales[[#This Row],[Date]])</f>
        <v>23</v>
      </c>
      <c r="D810" s="44">
        <f>YEAR(MotorPHSales[[#This Row],[Date]])</f>
        <v>2025</v>
      </c>
      <c r="E810" s="44" t="s">
        <v>194</v>
      </c>
      <c r="F810" s="44" t="s">
        <v>53</v>
      </c>
      <c r="G810" s="45">
        <v>345000</v>
      </c>
      <c r="H810" s="44">
        <v>10</v>
      </c>
      <c r="I810" s="45">
        <v>3450000</v>
      </c>
      <c r="J810" s="44" t="s">
        <v>197</v>
      </c>
      <c r="K810" s="44" t="str">
        <f>INDEX(CLEANED_MotorPH_Products_List_2!C:C,MATCH(MotorPHSales[[#This Row],[Product]],CLEANED_MotorPH_Products_List_2!$B:$B,0))</f>
        <v>Touring</v>
      </c>
      <c r="L810" s="44" t="str">
        <f>INDEX(CLEANED_MotorPH_Products_List_2!E:E,MATCH(MotorPHSales[[#This Row],[Product]],CLEANED_MotorPH_Products_List_2!$B:$B,0))</f>
        <v>Parallel-twin</v>
      </c>
      <c r="M810" s="44" t="str">
        <f>INDEX(CLEANED_MotorPH_Products_List_2!F:F,MATCH(MotorPHSales[[#This Row],[Product]],CLEANED_MotorPH_Products_List_2!$B:$B,0))</f>
        <v>liquid-cooled</v>
      </c>
      <c r="N810" s="44" t="str">
        <f>INDEX(CLEANED_MotorPH_Products_List_2!G:G,MATCH(MotorPHSales[[#This Row],[Product]],CLEANED_MotorPH_Products_List_2!$B:$B,0))</f>
        <v>649cc</v>
      </c>
      <c r="O810" s="44" t="str">
        <f>INDEX(CLEANED_MotorPH_Products_List_2!K:K,MATCH(MotorPHSales[[#This Row],[Product]],CLEANED_MotorPH_Products_List_2!B:B,0))</f>
        <v>Premium</v>
      </c>
      <c r="P810" s="45">
        <f>IF(MotorPHSales[[#This Row],[Segment]]="Entry-level",MotorPHSales[[#This Row],[UnitPrice]]/(1+30%),IF(MotorPHSales[[#This Row],[Segment]]="Mid-range",MotorPHSales[[#This Row],[UnitPrice]]/(1+35%),MotorPHSales[[#This Row],[UnitPrice]]/(1+40%)))*MotorPHSales[[#This Row],[Quantity]]</f>
        <v>2464285.7142857146</v>
      </c>
      <c r="Q810" s="44" t="str">
        <f>INDEX(CLEANED_MotorPH_Products_List_2!H:H,MATCH(MotorPHSales[[#This Row],[Product]],CLEANED_MotorPH_Products_List_2!$B:$B,0))</f>
        <v>6-speed</v>
      </c>
    </row>
    <row r="811" spans="1:17" ht="15.75" x14ac:dyDescent="0.3">
      <c r="A811" s="43">
        <v>45874</v>
      </c>
      <c r="B811" s="44" t="str">
        <f>TEXT(MotorPHSales[[#This Row],[Date]],"mmmm")</f>
        <v>August</v>
      </c>
      <c r="C811" s="44">
        <f>DAY(MotorPHSales[[#This Row],[Date]])</f>
        <v>5</v>
      </c>
      <c r="D811" s="44">
        <f>YEAR(MotorPHSales[[#This Row],[Date]])</f>
        <v>2025</v>
      </c>
      <c r="E811" s="44" t="s">
        <v>196</v>
      </c>
      <c r="F811" s="44" t="s">
        <v>6</v>
      </c>
      <c r="G811" s="45">
        <v>389000</v>
      </c>
      <c r="H811" s="44">
        <v>12</v>
      </c>
      <c r="I811" s="45">
        <v>4668000</v>
      </c>
      <c r="J811" s="44" t="s">
        <v>198</v>
      </c>
      <c r="K811" s="44" t="str">
        <f>INDEX(CLEANED_MotorPH_Products_List_2!C:C,MATCH(MotorPHSales[[#This Row],[Product]],CLEANED_MotorPH_Products_List_2!$B:$B,0))</f>
        <v>Sport</v>
      </c>
      <c r="L811" s="44" t="str">
        <f>INDEX(CLEANED_MotorPH_Products_List_2!E:E,MATCH(MotorPHSales[[#This Row],[Product]],CLEANED_MotorPH_Products_List_2!$B:$B,0))</f>
        <v>Parallel-twin</v>
      </c>
      <c r="M811" s="44" t="str">
        <f>INDEX(CLEANED_MotorPH_Products_List_2!F:F,MATCH(MotorPHSales[[#This Row],[Product]],CLEANED_MotorPH_Products_List_2!$B:$B,0))</f>
        <v>liquid-cooled</v>
      </c>
      <c r="N811" s="44" t="str">
        <f>INDEX(CLEANED_MotorPH_Products_List_2!G:G,MATCH(MotorPHSales[[#This Row],[Product]],CLEANED_MotorPH_Products_List_2!$B:$B,0))</f>
        <v>471cc</v>
      </c>
      <c r="O811" s="44" t="str">
        <f>INDEX(CLEANED_MotorPH_Products_List_2!K:K,MATCH(MotorPHSales[[#This Row],[Product]],CLEANED_MotorPH_Products_List_2!B:B,0))</f>
        <v>Mid-range</v>
      </c>
      <c r="P811" s="45">
        <f>IF(MotorPHSales[[#This Row],[Segment]]="Entry-level",MotorPHSales[[#This Row],[UnitPrice]]/(1+30%),IF(MotorPHSales[[#This Row],[Segment]]="Mid-range",MotorPHSales[[#This Row],[UnitPrice]]/(1+35%),MotorPHSales[[#This Row],[UnitPrice]]/(1+40%)))*MotorPHSales[[#This Row],[Quantity]]</f>
        <v>3457777.777777778</v>
      </c>
      <c r="Q811" s="44" t="str">
        <f>INDEX(CLEANED_MotorPH_Products_List_2!H:H,MATCH(MotorPHSales[[#This Row],[Product]],CLEANED_MotorPH_Products_List_2!$B:$B,0))</f>
        <v>6-speed</v>
      </c>
    </row>
    <row r="812" spans="1:17" ht="15.75" x14ac:dyDescent="0.3">
      <c r="A812" s="43">
        <v>45885</v>
      </c>
      <c r="B812" s="44" t="str">
        <f>TEXT(MotorPHSales[[#This Row],[Date]],"mmmm")</f>
        <v>August</v>
      </c>
      <c r="C812" s="44">
        <f>DAY(MotorPHSales[[#This Row],[Date]])</f>
        <v>16</v>
      </c>
      <c r="D812" s="44">
        <f>YEAR(MotorPHSales[[#This Row],[Date]])</f>
        <v>2025</v>
      </c>
      <c r="E812" s="44" t="s">
        <v>194</v>
      </c>
      <c r="F812" s="44" t="s">
        <v>94</v>
      </c>
      <c r="G812" s="45">
        <v>299000</v>
      </c>
      <c r="H812" s="44">
        <v>29</v>
      </c>
      <c r="I812" s="45">
        <v>8671000</v>
      </c>
      <c r="J812" s="44" t="s">
        <v>195</v>
      </c>
      <c r="K812" s="44" t="str">
        <f>INDEX(CLEANED_MotorPH_Products_List_2!C:C,MATCH(MotorPHSales[[#This Row],[Product]],CLEANED_MotorPH_Products_List_2!$B:$B,0))</f>
        <v>Dual-sport</v>
      </c>
      <c r="L812" s="44" t="str">
        <f>INDEX(CLEANED_MotorPH_Products_List_2!E:E,MATCH(MotorPHSales[[#This Row],[Product]],CLEANED_MotorPH_Products_List_2!$B:$B,0))</f>
        <v>Single cylinder</v>
      </c>
      <c r="M812" s="44" t="str">
        <f>INDEX(CLEANED_MotorPH_Products_List_2!F:F,MATCH(MotorPHSales[[#This Row],[Product]],CLEANED_MotorPH_Products_List_2!$B:$B,0))</f>
        <v>air-cooled</v>
      </c>
      <c r="N812" s="44" t="str">
        <f>INDEX(CLEANED_MotorPH_Products_List_2!G:G,MATCH(MotorPHSales[[#This Row],[Product]],CLEANED_MotorPH_Products_List_2!$B:$B,0))</f>
        <v>249cc</v>
      </c>
      <c r="O812" s="44" t="str">
        <f>INDEX(CLEANED_MotorPH_Products_List_2!K:K,MATCH(MotorPHSales[[#This Row],[Product]],CLEANED_MotorPH_Products_List_2!B:B,0))</f>
        <v>Mid-range</v>
      </c>
      <c r="P812" s="45">
        <f>IF(MotorPHSales[[#This Row],[Segment]]="Entry-level",MotorPHSales[[#This Row],[UnitPrice]]/(1+30%),IF(MotorPHSales[[#This Row],[Segment]]="Mid-range",MotorPHSales[[#This Row],[UnitPrice]]/(1+35%),MotorPHSales[[#This Row],[UnitPrice]]/(1+40%)))*MotorPHSales[[#This Row],[Quantity]]</f>
        <v>6422962.9629629627</v>
      </c>
      <c r="Q812" s="44" t="str">
        <f>INDEX(CLEANED_MotorPH_Products_List_2!H:H,MATCH(MotorPHSales[[#This Row],[Product]],CLEANED_MotorPH_Products_List_2!$B:$B,0))</f>
        <v>5-speed</v>
      </c>
    </row>
    <row r="813" spans="1:17" ht="15.75" x14ac:dyDescent="0.3">
      <c r="A813" s="43">
        <v>45851</v>
      </c>
      <c r="B813" s="44" t="str">
        <f>TEXT(MotorPHSales[[#This Row],[Date]],"mmmm")</f>
        <v>July</v>
      </c>
      <c r="C813" s="44">
        <f>DAY(MotorPHSales[[#This Row],[Date]])</f>
        <v>13</v>
      </c>
      <c r="D813" s="44">
        <f>YEAR(MotorPHSales[[#This Row],[Date]])</f>
        <v>2025</v>
      </c>
      <c r="E813" s="44" t="s">
        <v>196</v>
      </c>
      <c r="F813" s="44" t="s">
        <v>53</v>
      </c>
      <c r="G813" s="45">
        <v>345000</v>
      </c>
      <c r="H813" s="44">
        <v>42</v>
      </c>
      <c r="I813" s="45">
        <v>14490000</v>
      </c>
      <c r="J813" s="44" t="s">
        <v>197</v>
      </c>
      <c r="K813" s="44" t="str">
        <f>INDEX(CLEANED_MotorPH_Products_List_2!C:C,MATCH(MotorPHSales[[#This Row],[Product]],CLEANED_MotorPH_Products_List_2!$B:$B,0))</f>
        <v>Touring</v>
      </c>
      <c r="L813" s="44" t="str">
        <f>INDEX(CLEANED_MotorPH_Products_List_2!E:E,MATCH(MotorPHSales[[#This Row],[Product]],CLEANED_MotorPH_Products_List_2!$B:$B,0))</f>
        <v>Parallel-twin</v>
      </c>
      <c r="M813" s="44" t="str">
        <f>INDEX(CLEANED_MotorPH_Products_List_2!F:F,MATCH(MotorPHSales[[#This Row],[Product]],CLEANED_MotorPH_Products_List_2!$B:$B,0))</f>
        <v>liquid-cooled</v>
      </c>
      <c r="N813" s="44" t="str">
        <f>INDEX(CLEANED_MotorPH_Products_List_2!G:G,MATCH(MotorPHSales[[#This Row],[Product]],CLEANED_MotorPH_Products_List_2!$B:$B,0))</f>
        <v>649cc</v>
      </c>
      <c r="O813" s="44" t="str">
        <f>INDEX(CLEANED_MotorPH_Products_List_2!K:K,MATCH(MotorPHSales[[#This Row],[Product]],CLEANED_MotorPH_Products_List_2!B:B,0))</f>
        <v>Premium</v>
      </c>
      <c r="P813" s="45">
        <f>IF(MotorPHSales[[#This Row],[Segment]]="Entry-level",MotorPHSales[[#This Row],[UnitPrice]]/(1+30%),IF(MotorPHSales[[#This Row],[Segment]]="Mid-range",MotorPHSales[[#This Row],[UnitPrice]]/(1+35%),MotorPHSales[[#This Row],[UnitPrice]]/(1+40%)))*MotorPHSales[[#This Row],[Quantity]]</f>
        <v>10350000</v>
      </c>
      <c r="Q813" s="44" t="str">
        <f>INDEX(CLEANED_MotorPH_Products_List_2!H:H,MATCH(MotorPHSales[[#This Row],[Product]],CLEANED_MotorPH_Products_List_2!$B:$B,0))</f>
        <v>6-speed</v>
      </c>
    </row>
    <row r="814" spans="1:17" ht="15.75" x14ac:dyDescent="0.3">
      <c r="A814" s="43">
        <v>45883</v>
      </c>
      <c r="B814" s="44" t="str">
        <f>TEXT(MotorPHSales[[#This Row],[Date]],"mmmm")</f>
        <v>August</v>
      </c>
      <c r="C814" s="44">
        <f>DAY(MotorPHSales[[#This Row],[Date]])</f>
        <v>14</v>
      </c>
      <c r="D814" s="44">
        <f>YEAR(MotorPHSales[[#This Row],[Date]])</f>
        <v>2025</v>
      </c>
      <c r="E814" s="44" t="s">
        <v>194</v>
      </c>
      <c r="F814" s="44" t="s">
        <v>53</v>
      </c>
      <c r="G814" s="45">
        <v>345000</v>
      </c>
      <c r="H814" s="44">
        <v>18</v>
      </c>
      <c r="I814" s="45">
        <v>6210000</v>
      </c>
      <c r="J814" s="44" t="s">
        <v>198</v>
      </c>
      <c r="K814" s="44" t="str">
        <f>INDEX(CLEANED_MotorPH_Products_List_2!C:C,MATCH(MotorPHSales[[#This Row],[Product]],CLEANED_MotorPH_Products_List_2!$B:$B,0))</f>
        <v>Touring</v>
      </c>
      <c r="L814" s="44" t="str">
        <f>INDEX(CLEANED_MotorPH_Products_List_2!E:E,MATCH(MotorPHSales[[#This Row],[Product]],CLEANED_MotorPH_Products_List_2!$B:$B,0))</f>
        <v>Parallel-twin</v>
      </c>
      <c r="M814" s="44" t="str">
        <f>INDEX(CLEANED_MotorPH_Products_List_2!F:F,MATCH(MotorPHSales[[#This Row],[Product]],CLEANED_MotorPH_Products_List_2!$B:$B,0))</f>
        <v>liquid-cooled</v>
      </c>
      <c r="N814" s="44" t="str">
        <f>INDEX(CLEANED_MotorPH_Products_List_2!G:G,MATCH(MotorPHSales[[#This Row],[Product]],CLEANED_MotorPH_Products_List_2!$B:$B,0))</f>
        <v>649cc</v>
      </c>
      <c r="O814" s="44" t="str">
        <f>INDEX(CLEANED_MotorPH_Products_List_2!K:K,MATCH(MotorPHSales[[#This Row],[Product]],CLEANED_MotorPH_Products_List_2!B:B,0))</f>
        <v>Premium</v>
      </c>
      <c r="P814" s="45">
        <f>IF(MotorPHSales[[#This Row],[Segment]]="Entry-level",MotorPHSales[[#This Row],[UnitPrice]]/(1+30%),IF(MotorPHSales[[#This Row],[Segment]]="Mid-range",MotorPHSales[[#This Row],[UnitPrice]]/(1+35%),MotorPHSales[[#This Row],[UnitPrice]]/(1+40%)))*MotorPHSales[[#This Row],[Quantity]]</f>
        <v>4435714.2857142864</v>
      </c>
      <c r="Q814" s="44" t="str">
        <f>INDEX(CLEANED_MotorPH_Products_List_2!H:H,MATCH(MotorPHSales[[#This Row],[Product]],CLEANED_MotorPH_Products_List_2!$B:$B,0))</f>
        <v>6-speed</v>
      </c>
    </row>
    <row r="815" spans="1:17" ht="15.75" x14ac:dyDescent="0.3">
      <c r="A815" s="43">
        <v>45831</v>
      </c>
      <c r="B815" s="44" t="str">
        <f>TEXT(MotorPHSales[[#This Row],[Date]],"mmmm")</f>
        <v>June</v>
      </c>
      <c r="C815" s="44">
        <f>DAY(MotorPHSales[[#This Row],[Date]])</f>
        <v>23</v>
      </c>
      <c r="D815" s="44">
        <f>YEAR(MotorPHSales[[#This Row],[Date]])</f>
        <v>2025</v>
      </c>
      <c r="E815" s="44" t="s">
        <v>196</v>
      </c>
      <c r="F815" s="44" t="s">
        <v>70</v>
      </c>
      <c r="G815" s="45">
        <v>219000</v>
      </c>
      <c r="H815" s="44">
        <v>17</v>
      </c>
      <c r="I815" s="45">
        <v>3723000</v>
      </c>
      <c r="J815" s="44" t="s">
        <v>198</v>
      </c>
      <c r="K815" s="44" t="str">
        <f>INDEX(CLEANED_MotorPH_Products_List_2!C:C,MATCH(MotorPHSales[[#This Row],[Product]],CLEANED_MotorPH_Products_List_2!$B:$B,0))</f>
        <v>Scooter</v>
      </c>
      <c r="L815" s="44" t="str">
        <f>INDEX(CLEANED_MotorPH_Products_List_2!E:E,MATCH(MotorPHSales[[#This Row],[Product]],CLEANED_MotorPH_Products_List_2!$B:$B,0))</f>
        <v>Single cylinder</v>
      </c>
      <c r="M815" s="44" t="str">
        <f>INDEX(CLEANED_MotorPH_Products_List_2!F:F,MATCH(MotorPHSales[[#This Row],[Product]],CLEANED_MotorPH_Products_List_2!$B:$B,0))</f>
        <v>liquid-cooled</v>
      </c>
      <c r="N815" s="44" t="str">
        <f>INDEX(CLEANED_MotorPH_Products_List_2!G:G,MATCH(MotorPHSales[[#This Row],[Product]],CLEANED_MotorPH_Products_List_2!$B:$B,0))</f>
        <v>174cc</v>
      </c>
      <c r="O815" s="44" t="str">
        <f>INDEX(CLEANED_MotorPH_Products_List_2!K:K,MATCH(MotorPHSales[[#This Row],[Product]],CLEANED_MotorPH_Products_List_2!B:B,0))</f>
        <v>Entry-level</v>
      </c>
      <c r="P815" s="45">
        <f>IF(MotorPHSales[[#This Row],[Segment]]="Entry-level",MotorPHSales[[#This Row],[UnitPrice]]/(1+30%),IF(MotorPHSales[[#This Row],[Segment]]="Mid-range",MotorPHSales[[#This Row],[UnitPrice]]/(1+35%),MotorPHSales[[#This Row],[UnitPrice]]/(1+40%)))*MotorPHSales[[#This Row],[Quantity]]</f>
        <v>2863846.153846154</v>
      </c>
      <c r="Q815" s="44" t="str">
        <f>INDEX(CLEANED_MotorPH_Products_List_2!H:H,MATCH(MotorPHSales[[#This Row],[Product]],CLEANED_MotorPH_Products_List_2!$B:$B,0))</f>
        <v>CVT</v>
      </c>
    </row>
    <row r="816" spans="1:17" ht="15.75" x14ac:dyDescent="0.3">
      <c r="A816" s="43">
        <v>45863</v>
      </c>
      <c r="B816" s="44" t="str">
        <f>TEXT(MotorPHSales[[#This Row],[Date]],"mmmm")</f>
        <v>July</v>
      </c>
      <c r="C816" s="44">
        <f>DAY(MotorPHSales[[#This Row],[Date]])</f>
        <v>25</v>
      </c>
      <c r="D816" s="44">
        <f>YEAR(MotorPHSales[[#This Row],[Date]])</f>
        <v>2025</v>
      </c>
      <c r="E816" s="44" t="s">
        <v>194</v>
      </c>
      <c r="F816" s="44" t="s">
        <v>59</v>
      </c>
      <c r="G816" s="45">
        <v>67900</v>
      </c>
      <c r="H816" s="44">
        <v>11</v>
      </c>
      <c r="I816" s="45">
        <v>746900</v>
      </c>
      <c r="J816" s="44" t="s">
        <v>195</v>
      </c>
      <c r="K816" s="44" t="str">
        <f>INDEX(CLEANED_MotorPH_Products_List_2!C:C,MATCH(MotorPHSales[[#This Row],[Product]],CLEANED_MotorPH_Products_List_2!$B:$B,0))</f>
        <v>Commuter</v>
      </c>
      <c r="L816" s="44" t="str">
        <f>INDEX(CLEANED_MotorPH_Products_List_2!E:E,MATCH(MotorPHSales[[#This Row],[Product]],CLEANED_MotorPH_Products_List_2!$B:$B,0))</f>
        <v>Single cylinder</v>
      </c>
      <c r="M816" s="44" t="str">
        <f>INDEX(CLEANED_MotorPH_Products_List_2!F:F,MATCH(MotorPHSales[[#This Row],[Product]],CLEANED_MotorPH_Products_List_2!$B:$B,0))</f>
        <v>air-cooled</v>
      </c>
      <c r="N816" s="44" t="str">
        <f>INDEX(CLEANED_MotorPH_Products_List_2!G:G,MATCH(MotorPHSales[[#This Row],[Product]],CLEANED_MotorPH_Products_List_2!$B:$B,0))</f>
        <v>125cc</v>
      </c>
      <c r="O816" s="44" t="str">
        <f>INDEX(CLEANED_MotorPH_Products_List_2!K:K,MATCH(MotorPHSales[[#This Row],[Product]],CLEANED_MotorPH_Products_List_2!B:B,0))</f>
        <v>Entry-level</v>
      </c>
      <c r="P816" s="45">
        <f>IF(MotorPHSales[[#This Row],[Segment]]="Entry-level",MotorPHSales[[#This Row],[UnitPrice]]/(1+30%),IF(MotorPHSales[[#This Row],[Segment]]="Mid-range",MotorPHSales[[#This Row],[UnitPrice]]/(1+35%),MotorPHSales[[#This Row],[UnitPrice]]/(1+40%)))*MotorPHSales[[#This Row],[Quantity]]</f>
        <v>574538.4615384615</v>
      </c>
      <c r="Q816" s="44" t="str">
        <f>INDEX(CLEANED_MotorPH_Products_List_2!H:H,MATCH(MotorPHSales[[#This Row],[Product]],CLEANED_MotorPH_Products_List_2!$B:$B,0))</f>
        <v>4-speed</v>
      </c>
    </row>
    <row r="817" spans="1:17" ht="15.75" x14ac:dyDescent="0.3">
      <c r="A817" s="43">
        <v>45888</v>
      </c>
      <c r="B817" s="44" t="str">
        <f>TEXT(MotorPHSales[[#This Row],[Date]],"mmmm")</f>
        <v>August</v>
      </c>
      <c r="C817" s="44">
        <f>DAY(MotorPHSales[[#This Row],[Date]])</f>
        <v>19</v>
      </c>
      <c r="D817" s="44">
        <f>YEAR(MotorPHSales[[#This Row],[Date]])</f>
        <v>2025</v>
      </c>
      <c r="E817" s="44" t="s">
        <v>196</v>
      </c>
      <c r="F817" s="44" t="s">
        <v>47</v>
      </c>
      <c r="G817" s="45">
        <v>398000</v>
      </c>
      <c r="H817" s="44">
        <v>8</v>
      </c>
      <c r="I817" s="45">
        <v>3184000</v>
      </c>
      <c r="J817" s="44" t="s">
        <v>198</v>
      </c>
      <c r="K817" s="44" t="str">
        <f>INDEX(CLEANED_MotorPH_Products_List_2!C:C,MATCH(MotorPHSales[[#This Row],[Product]],CLEANED_MotorPH_Products_List_2!$B:$B,0))</f>
        <v>Cruiser</v>
      </c>
      <c r="L817" s="44" t="str">
        <f>INDEX(CLEANED_MotorPH_Products_List_2!E:E,MATCH(MotorPHSales[[#This Row],[Product]],CLEANED_MotorPH_Products_List_2!$B:$B,0))</f>
        <v>Parallel-twin</v>
      </c>
      <c r="M817" s="44" t="str">
        <f>INDEX(CLEANED_MotorPH_Products_List_2!F:F,MATCH(MotorPHSales[[#This Row],[Product]],CLEANED_MotorPH_Products_List_2!$B:$B,0))</f>
        <v>liquid-cooled</v>
      </c>
      <c r="N817" s="44" t="str">
        <f>INDEX(CLEANED_MotorPH_Products_List_2!G:G,MATCH(MotorPHSales[[#This Row],[Product]],CLEANED_MotorPH_Products_List_2!$B:$B,0))</f>
        <v>649cc</v>
      </c>
      <c r="O817" s="44" t="str">
        <f>INDEX(CLEANED_MotorPH_Products_List_2!K:K,MATCH(MotorPHSales[[#This Row],[Product]],CLEANED_MotorPH_Products_List_2!B:B,0))</f>
        <v>Premium</v>
      </c>
      <c r="P817" s="45">
        <f>IF(MotorPHSales[[#This Row],[Segment]]="Entry-level",MotorPHSales[[#This Row],[UnitPrice]]/(1+30%),IF(MotorPHSales[[#This Row],[Segment]]="Mid-range",MotorPHSales[[#This Row],[UnitPrice]]/(1+35%),MotorPHSales[[#This Row],[UnitPrice]]/(1+40%)))*MotorPHSales[[#This Row],[Quantity]]</f>
        <v>2274285.7142857146</v>
      </c>
      <c r="Q817" s="44" t="str">
        <f>INDEX(CLEANED_MotorPH_Products_List_2!H:H,MATCH(MotorPHSales[[#This Row],[Product]],CLEANED_MotorPH_Products_List_2!$B:$B,0))</f>
        <v>6-speed</v>
      </c>
    </row>
    <row r="818" spans="1:17" ht="15.75" x14ac:dyDescent="0.3">
      <c r="A818" s="43">
        <v>45883</v>
      </c>
      <c r="B818" s="44" t="str">
        <f>TEXT(MotorPHSales[[#This Row],[Date]],"mmmm")</f>
        <v>August</v>
      </c>
      <c r="C818" s="44">
        <f>DAY(MotorPHSales[[#This Row],[Date]])</f>
        <v>14</v>
      </c>
      <c r="D818" s="44">
        <f>YEAR(MotorPHSales[[#This Row],[Date]])</f>
        <v>2025</v>
      </c>
      <c r="E818" s="44" t="s">
        <v>196</v>
      </c>
      <c r="F818" s="44" t="s">
        <v>26</v>
      </c>
      <c r="G818" s="45">
        <v>151900</v>
      </c>
      <c r="H818" s="44">
        <v>41</v>
      </c>
      <c r="I818" s="45">
        <v>6227900</v>
      </c>
      <c r="J818" s="44" t="s">
        <v>198</v>
      </c>
      <c r="K818" s="44" t="str">
        <f>INDEX(CLEANED_MotorPH_Products_List_2!C:C,MATCH(MotorPHSales[[#This Row],[Product]],CLEANED_MotorPH_Products_List_2!$B:$B,0))</f>
        <v>Scooter</v>
      </c>
      <c r="L818" s="44" t="str">
        <f>INDEX(CLEANED_MotorPH_Products_List_2!E:E,MATCH(MotorPHSales[[#This Row],[Product]],CLEANED_MotorPH_Products_List_2!$B:$B,0))</f>
        <v>Single cylinder</v>
      </c>
      <c r="M818" s="44" t="str">
        <f>INDEX(CLEANED_MotorPH_Products_List_2!F:F,MATCH(MotorPHSales[[#This Row],[Product]],CLEANED_MotorPH_Products_List_2!$B:$B,0))</f>
        <v>liquid-cooled</v>
      </c>
      <c r="N818" s="44" t="str">
        <f>INDEX(CLEANED_MotorPH_Products_List_2!G:G,MATCH(MotorPHSales[[#This Row],[Product]],CLEANED_MotorPH_Products_List_2!$B:$B,0))</f>
        <v>155cc</v>
      </c>
      <c r="O818" s="44" t="str">
        <f>INDEX(CLEANED_MotorPH_Products_List_2!K:K,MATCH(MotorPHSales[[#This Row],[Product]],CLEANED_MotorPH_Products_List_2!B:B,0))</f>
        <v>Entry-level</v>
      </c>
      <c r="P818" s="45">
        <f>IF(MotorPHSales[[#This Row],[Segment]]="Entry-level",MotorPHSales[[#This Row],[UnitPrice]]/(1+30%),IF(MotorPHSales[[#This Row],[Segment]]="Mid-range",MotorPHSales[[#This Row],[UnitPrice]]/(1+35%),MotorPHSales[[#This Row],[UnitPrice]]/(1+40%)))*MotorPHSales[[#This Row],[Quantity]]</f>
        <v>4790692.307692308</v>
      </c>
      <c r="Q818" s="44" t="str">
        <f>INDEX(CLEANED_MotorPH_Products_List_2!H:H,MATCH(MotorPHSales[[#This Row],[Product]],CLEANED_MotorPH_Products_List_2!$B:$B,0))</f>
        <v>CVT</v>
      </c>
    </row>
    <row r="819" spans="1:17" ht="15.75" x14ac:dyDescent="0.3">
      <c r="A819" s="43">
        <v>45824</v>
      </c>
      <c r="B819" s="44" t="str">
        <f>TEXT(MotorPHSales[[#This Row],[Date]],"mmmm")</f>
        <v>June</v>
      </c>
      <c r="C819" s="44">
        <f>DAY(MotorPHSales[[#This Row],[Date]])</f>
        <v>16</v>
      </c>
      <c r="D819" s="44">
        <f>YEAR(MotorPHSales[[#This Row],[Date]])</f>
        <v>2025</v>
      </c>
      <c r="E819" s="44" t="s">
        <v>194</v>
      </c>
      <c r="F819" s="44" t="s">
        <v>78</v>
      </c>
      <c r="G819" s="45">
        <v>99900</v>
      </c>
      <c r="H819" s="44">
        <v>19</v>
      </c>
      <c r="I819" s="45">
        <v>1898100</v>
      </c>
      <c r="J819" s="44" t="s">
        <v>197</v>
      </c>
      <c r="K819" s="44" t="str">
        <f>INDEX(CLEANED_MotorPH_Products_List_2!C:C,MATCH(MotorPHSales[[#This Row],[Product]],CLEANED_MotorPH_Products_List_2!$B:$B,0))</f>
        <v>Street</v>
      </c>
      <c r="L819" s="44" t="str">
        <f>INDEX(CLEANED_MotorPH_Products_List_2!E:E,MATCH(MotorPHSales[[#This Row],[Product]],CLEANED_MotorPH_Products_List_2!$B:$B,0))</f>
        <v>Single cylinder</v>
      </c>
      <c r="M819" s="44" t="str">
        <f>INDEX(CLEANED_MotorPH_Products_List_2!F:F,MATCH(MotorPHSales[[#This Row],[Product]],CLEANED_MotorPH_Products_List_2!$B:$B,0))</f>
        <v>air-cooled</v>
      </c>
      <c r="N819" s="44" t="str">
        <f>INDEX(CLEANED_MotorPH_Products_List_2!G:G,MATCH(MotorPHSales[[#This Row],[Product]],CLEANED_MotorPH_Products_List_2!$B:$B,0))</f>
        <v>149cc</v>
      </c>
      <c r="O819" s="44" t="str">
        <f>INDEX(CLEANED_MotorPH_Products_List_2!K:K,MATCH(MotorPHSales[[#This Row],[Product]],CLEANED_MotorPH_Products_List_2!B:B,0))</f>
        <v>Entry-level</v>
      </c>
      <c r="P819" s="45">
        <f>IF(MotorPHSales[[#This Row],[Segment]]="Entry-level",MotorPHSales[[#This Row],[UnitPrice]]/(1+30%),IF(MotorPHSales[[#This Row],[Segment]]="Mid-range",MotorPHSales[[#This Row],[UnitPrice]]/(1+35%),MotorPHSales[[#This Row],[UnitPrice]]/(1+40%)))*MotorPHSales[[#This Row],[Quantity]]</f>
        <v>1460076.923076923</v>
      </c>
      <c r="Q819" s="44" t="str">
        <f>INDEX(CLEANED_MotorPH_Products_List_2!H:H,MATCH(MotorPHSales[[#This Row],[Product]],CLEANED_MotorPH_Products_List_2!$B:$B,0))</f>
        <v>5-speed</v>
      </c>
    </row>
    <row r="820" spans="1:17" ht="15.75" x14ac:dyDescent="0.3">
      <c r="A820" s="43">
        <v>45816</v>
      </c>
      <c r="B820" s="44" t="str">
        <f>TEXT(MotorPHSales[[#This Row],[Date]],"mmmm")</f>
        <v>June</v>
      </c>
      <c r="C820" s="44">
        <f>DAY(MotorPHSales[[#This Row],[Date]])</f>
        <v>8</v>
      </c>
      <c r="D820" s="44">
        <f>YEAR(MotorPHSales[[#This Row],[Date]])</f>
        <v>2025</v>
      </c>
      <c r="E820" s="44" t="s">
        <v>194</v>
      </c>
      <c r="F820" s="44" t="s">
        <v>96</v>
      </c>
      <c r="G820" s="45">
        <v>80900</v>
      </c>
      <c r="H820" s="44">
        <v>18</v>
      </c>
      <c r="I820" s="45">
        <v>1456200</v>
      </c>
      <c r="J820" s="44" t="s">
        <v>197</v>
      </c>
      <c r="K820" s="44" t="str">
        <f>INDEX(CLEANED_MotorPH_Products_List_2!C:C,MATCH(MotorPHSales[[#This Row],[Product]],CLEANED_MotorPH_Products_List_2!$B:$B,0))</f>
        <v>Scooter</v>
      </c>
      <c r="L820" s="44" t="str">
        <f>INDEX(CLEANED_MotorPH_Products_List_2!E:E,MATCH(MotorPHSales[[#This Row],[Product]],CLEANED_MotorPH_Products_List_2!$B:$B,0))</f>
        <v>Single cylinder</v>
      </c>
      <c r="M820" s="44" t="str">
        <f>INDEX(CLEANED_MotorPH_Products_List_2!F:F,MATCH(MotorPHSales[[#This Row],[Product]],CLEANED_MotorPH_Products_List_2!$B:$B,0))</f>
        <v>air-cooled</v>
      </c>
      <c r="N820" s="44" t="str">
        <f>INDEX(CLEANED_MotorPH_Products_List_2!G:G,MATCH(MotorPHSales[[#This Row],[Product]],CLEANED_MotorPH_Products_List_2!$B:$B,0))</f>
        <v>124cc</v>
      </c>
      <c r="O820" s="44" t="str">
        <f>INDEX(CLEANED_MotorPH_Products_List_2!K:K,MATCH(MotorPHSales[[#This Row],[Product]],CLEANED_MotorPH_Products_List_2!B:B,0))</f>
        <v>Entry-level</v>
      </c>
      <c r="P820" s="45">
        <f>IF(MotorPHSales[[#This Row],[Segment]]="Entry-level",MotorPHSales[[#This Row],[UnitPrice]]/(1+30%),IF(MotorPHSales[[#This Row],[Segment]]="Mid-range",MotorPHSales[[#This Row],[UnitPrice]]/(1+35%),MotorPHSales[[#This Row],[UnitPrice]]/(1+40%)))*MotorPHSales[[#This Row],[Quantity]]</f>
        <v>1120153.846153846</v>
      </c>
      <c r="Q820" s="44" t="str">
        <f>INDEX(CLEANED_MotorPH_Products_List_2!H:H,MATCH(MotorPHSales[[#This Row],[Product]],CLEANED_MotorPH_Products_List_2!$B:$B,0))</f>
        <v>CVT</v>
      </c>
    </row>
    <row r="821" spans="1:17" ht="15.75" x14ac:dyDescent="0.3">
      <c r="A821" s="43">
        <v>45812</v>
      </c>
      <c r="B821" s="44" t="str">
        <f>TEXT(MotorPHSales[[#This Row],[Date]],"mmmm")</f>
        <v>June</v>
      </c>
      <c r="C821" s="44">
        <f>DAY(MotorPHSales[[#This Row],[Date]])</f>
        <v>4</v>
      </c>
      <c r="D821" s="44">
        <f>YEAR(MotorPHSales[[#This Row],[Date]])</f>
        <v>2025</v>
      </c>
      <c r="E821" s="44" t="s">
        <v>194</v>
      </c>
      <c r="F821" s="44" t="s">
        <v>84</v>
      </c>
      <c r="G821" s="45">
        <v>995000</v>
      </c>
      <c r="H821" s="44">
        <v>8</v>
      </c>
      <c r="I821" s="45">
        <v>7960000</v>
      </c>
      <c r="J821" s="44" t="s">
        <v>198</v>
      </c>
      <c r="K821" s="44" t="str">
        <f>INDEX(CLEANED_MotorPH_Products_List_2!C:C,MATCH(MotorPHSales[[#This Row],[Product]],CLEANED_MotorPH_Products_List_2!$B:$B,0))</f>
        <v>Heritage</v>
      </c>
      <c r="L821" s="44" t="str">
        <f>INDEX(CLEANED_MotorPH_Products_List_2!E:E,MATCH(MotorPHSales[[#This Row],[Product]],CLEANED_MotorPH_Products_List_2!$B:$B,0))</f>
        <v>Flat twin</v>
      </c>
      <c r="M821" s="44" t="str">
        <f>INDEX(CLEANED_MotorPH_Products_List_2!F:F,MATCH(MotorPHSales[[#This Row],[Product]],CLEANED_MotorPH_Products_List_2!$B:$B,0))</f>
        <v>air</v>
      </c>
      <c r="N821" s="44">
        <f>INDEX(CLEANED_MotorPH_Products_List_2!G:G,MATCH(MotorPHSales[[#This Row],[Product]],CLEANED_MotorPH_Products_List_2!$B:$B,0))</f>
        <v>0</v>
      </c>
      <c r="O821" s="44" t="str">
        <f>INDEX(CLEANED_MotorPH_Products_List_2!K:K,MATCH(MotorPHSales[[#This Row],[Product]],CLEANED_MotorPH_Products_List_2!B:B,0))</f>
        <v>Premium</v>
      </c>
      <c r="P821" s="45">
        <f>IF(MotorPHSales[[#This Row],[Segment]]="Entry-level",MotorPHSales[[#This Row],[UnitPrice]]/(1+30%),IF(MotorPHSales[[#This Row],[Segment]]="Mid-range",MotorPHSales[[#This Row],[UnitPrice]]/(1+35%),MotorPHSales[[#This Row],[UnitPrice]]/(1+40%)))*MotorPHSales[[#This Row],[Quantity]]</f>
        <v>5685714.2857142864</v>
      </c>
      <c r="Q821" s="44">
        <f>INDEX(CLEANED_MotorPH_Products_List_2!H:H,MATCH(MotorPHSales[[#This Row],[Product]],CLEANED_MotorPH_Products_List_2!$B:$B,0))</f>
        <v>0</v>
      </c>
    </row>
    <row r="822" spans="1:17" ht="15.75" x14ac:dyDescent="0.3">
      <c r="A822" s="43">
        <v>45812</v>
      </c>
      <c r="B822" s="44" t="str">
        <f>TEXT(MotorPHSales[[#This Row],[Date]],"mmmm")</f>
        <v>June</v>
      </c>
      <c r="C822" s="44">
        <f>DAY(MotorPHSales[[#This Row],[Date]])</f>
        <v>4</v>
      </c>
      <c r="D822" s="44">
        <f>YEAR(MotorPHSales[[#This Row],[Date]])</f>
        <v>2025</v>
      </c>
      <c r="E822" s="44" t="s">
        <v>194</v>
      </c>
      <c r="F822" s="44" t="s">
        <v>63</v>
      </c>
      <c r="G822" s="45">
        <v>48000</v>
      </c>
      <c r="H822" s="44">
        <v>6</v>
      </c>
      <c r="I822" s="45">
        <v>288000</v>
      </c>
      <c r="J822" s="44" t="s">
        <v>198</v>
      </c>
      <c r="K822" s="44" t="str">
        <f>INDEX(CLEANED_MotorPH_Products_List_2!C:C,MATCH(MotorPHSales[[#This Row],[Product]],CLEANED_MotorPH_Products_List_2!$B:$B,0))</f>
        <v>Commuter</v>
      </c>
      <c r="L822" s="44" t="str">
        <f>INDEX(CLEANED_MotorPH_Products_List_2!E:E,MATCH(MotorPHSales[[#This Row],[Product]],CLEANED_MotorPH_Products_List_2!$B:$B,0))</f>
        <v>Single cylinder</v>
      </c>
      <c r="M822" s="44" t="str">
        <f>INDEX(CLEANED_MotorPH_Products_List_2!F:F,MATCH(MotorPHSales[[#This Row],[Product]],CLEANED_MotorPH_Products_List_2!$B:$B,0))</f>
        <v>air-cooled</v>
      </c>
      <c r="N822" s="44" t="str">
        <f>INDEX(CLEANED_MotorPH_Products_List_2!G:G,MATCH(MotorPHSales[[#This Row],[Product]],CLEANED_MotorPH_Products_List_2!$B:$B,0))</f>
        <v>125cc</v>
      </c>
      <c r="O822" s="44" t="str">
        <f>INDEX(CLEANED_MotorPH_Products_List_2!K:K,MATCH(MotorPHSales[[#This Row],[Product]],CLEANED_MotorPH_Products_List_2!B:B,0))</f>
        <v>Entry-level</v>
      </c>
      <c r="P822" s="45">
        <f>IF(MotorPHSales[[#This Row],[Segment]]="Entry-level",MotorPHSales[[#This Row],[UnitPrice]]/(1+30%),IF(MotorPHSales[[#This Row],[Segment]]="Mid-range",MotorPHSales[[#This Row],[UnitPrice]]/(1+35%),MotorPHSales[[#This Row],[UnitPrice]]/(1+40%)))*MotorPHSales[[#This Row],[Quantity]]</f>
        <v>221538.46153846153</v>
      </c>
      <c r="Q822" s="44" t="str">
        <f>INDEX(CLEANED_MotorPH_Products_List_2!H:H,MATCH(MotorPHSales[[#This Row],[Product]],CLEANED_MotorPH_Products_List_2!$B:$B,0))</f>
        <v>4-speed</v>
      </c>
    </row>
    <row r="823" spans="1:17" ht="15.75" x14ac:dyDescent="0.3">
      <c r="A823" s="43">
        <v>45864</v>
      </c>
      <c r="B823" s="44" t="str">
        <f>TEXT(MotorPHSales[[#This Row],[Date]],"mmmm")</f>
        <v>July</v>
      </c>
      <c r="C823" s="44">
        <f>DAY(MotorPHSales[[#This Row],[Date]])</f>
        <v>26</v>
      </c>
      <c r="D823" s="44">
        <f>YEAR(MotorPHSales[[#This Row],[Date]])</f>
        <v>2025</v>
      </c>
      <c r="E823" s="44" t="s">
        <v>194</v>
      </c>
      <c r="F823" s="44" t="s">
        <v>78</v>
      </c>
      <c r="G823" s="45">
        <v>99900</v>
      </c>
      <c r="H823" s="44">
        <v>6</v>
      </c>
      <c r="I823" s="45">
        <v>599400</v>
      </c>
      <c r="J823" s="44" t="s">
        <v>197</v>
      </c>
      <c r="K823" s="44" t="str">
        <f>INDEX(CLEANED_MotorPH_Products_List_2!C:C,MATCH(MotorPHSales[[#This Row],[Product]],CLEANED_MotorPH_Products_List_2!$B:$B,0))</f>
        <v>Street</v>
      </c>
      <c r="L823" s="44" t="str">
        <f>INDEX(CLEANED_MotorPH_Products_List_2!E:E,MATCH(MotorPHSales[[#This Row],[Product]],CLEANED_MotorPH_Products_List_2!$B:$B,0))</f>
        <v>Single cylinder</v>
      </c>
      <c r="M823" s="44" t="str">
        <f>INDEX(CLEANED_MotorPH_Products_List_2!F:F,MATCH(MotorPHSales[[#This Row],[Product]],CLEANED_MotorPH_Products_List_2!$B:$B,0))</f>
        <v>air-cooled</v>
      </c>
      <c r="N823" s="44" t="str">
        <f>INDEX(CLEANED_MotorPH_Products_List_2!G:G,MATCH(MotorPHSales[[#This Row],[Product]],CLEANED_MotorPH_Products_List_2!$B:$B,0))</f>
        <v>149cc</v>
      </c>
      <c r="O823" s="44" t="str">
        <f>INDEX(CLEANED_MotorPH_Products_List_2!K:K,MATCH(MotorPHSales[[#This Row],[Product]],CLEANED_MotorPH_Products_List_2!B:B,0))</f>
        <v>Entry-level</v>
      </c>
      <c r="P823" s="45">
        <f>IF(MotorPHSales[[#This Row],[Segment]]="Entry-level",MotorPHSales[[#This Row],[UnitPrice]]/(1+30%),IF(MotorPHSales[[#This Row],[Segment]]="Mid-range",MotorPHSales[[#This Row],[UnitPrice]]/(1+35%),MotorPHSales[[#This Row],[UnitPrice]]/(1+40%)))*MotorPHSales[[#This Row],[Quantity]]</f>
        <v>461076.92307692306</v>
      </c>
      <c r="Q823" s="44" t="str">
        <f>INDEX(CLEANED_MotorPH_Products_List_2!H:H,MATCH(MotorPHSales[[#This Row],[Product]],CLEANED_MotorPH_Products_List_2!$B:$B,0))</f>
        <v>5-speed</v>
      </c>
    </row>
    <row r="824" spans="1:17" ht="15.75" x14ac:dyDescent="0.3">
      <c r="A824" s="43">
        <v>45833</v>
      </c>
      <c r="B824" s="44" t="str">
        <f>TEXT(MotorPHSales[[#This Row],[Date]],"mmmm")</f>
        <v>June</v>
      </c>
      <c r="C824" s="44">
        <f>DAY(MotorPHSales[[#This Row],[Date]])</f>
        <v>25</v>
      </c>
      <c r="D824" s="44">
        <f>YEAR(MotorPHSales[[#This Row],[Date]])</f>
        <v>2025</v>
      </c>
      <c r="E824" s="44" t="s">
        <v>194</v>
      </c>
      <c r="F824" s="44" t="s">
        <v>16</v>
      </c>
      <c r="G824" s="45">
        <v>165000</v>
      </c>
      <c r="H824" s="44">
        <v>2</v>
      </c>
      <c r="I824" s="45">
        <v>330000</v>
      </c>
      <c r="J824" s="44" t="s">
        <v>198</v>
      </c>
      <c r="K824" s="44" t="str">
        <f>INDEX(CLEANED_MotorPH_Products_List_2!C:C,MATCH(MotorPHSales[[#This Row],[Product]],CLEANED_MotorPH_Products_List_2!$B:$B,0))</f>
        <v>Naked bike</v>
      </c>
      <c r="L824" s="44" t="str">
        <f>INDEX(CLEANED_MotorPH_Products_List_2!E:E,MATCH(MotorPHSales[[#This Row],[Product]],CLEANED_MotorPH_Products_List_2!$B:$B,0))</f>
        <v>Single cylinder</v>
      </c>
      <c r="M824" s="44" t="str">
        <f>INDEX(CLEANED_MotorPH_Products_List_2!F:F,MATCH(MotorPHSales[[#This Row],[Product]],CLEANED_MotorPH_Products_List_2!$B:$B,0))</f>
        <v>liquid-cooled</v>
      </c>
      <c r="N824" s="44" t="str">
        <f>INDEX(CLEANED_MotorPH_Products_List_2!G:G,MATCH(MotorPHSales[[#This Row],[Product]],CLEANED_MotorPH_Products_List_2!$B:$B,0))</f>
        <v>292cc</v>
      </c>
      <c r="O824" s="44" t="str">
        <f>INDEX(CLEANED_MotorPH_Products_List_2!K:K,MATCH(MotorPHSales[[#This Row],[Product]],CLEANED_MotorPH_Products_List_2!B:B,0))</f>
        <v>Mid-range</v>
      </c>
      <c r="P824" s="45">
        <f>IF(MotorPHSales[[#This Row],[Segment]]="Entry-level",MotorPHSales[[#This Row],[UnitPrice]]/(1+30%),IF(MotorPHSales[[#This Row],[Segment]]="Mid-range",MotorPHSales[[#This Row],[UnitPrice]]/(1+35%),MotorPHSales[[#This Row],[UnitPrice]]/(1+40%)))*MotorPHSales[[#This Row],[Quantity]]</f>
        <v>244444.44444444444</v>
      </c>
      <c r="Q824" s="44" t="str">
        <f>INDEX(CLEANED_MotorPH_Products_List_2!H:H,MATCH(MotorPHSales[[#This Row],[Product]],CLEANED_MotorPH_Products_List_2!$B:$B,0))</f>
        <v>6-speed</v>
      </c>
    </row>
    <row r="825" spans="1:17" ht="15.75" x14ac:dyDescent="0.3">
      <c r="A825" s="43">
        <v>45875</v>
      </c>
      <c r="B825" s="44" t="str">
        <f>TEXT(MotorPHSales[[#This Row],[Date]],"mmmm")</f>
        <v>August</v>
      </c>
      <c r="C825" s="44">
        <f>DAY(MotorPHSales[[#This Row],[Date]])</f>
        <v>6</v>
      </c>
      <c r="D825" s="44">
        <f>YEAR(MotorPHSales[[#This Row],[Date]])</f>
        <v>2025</v>
      </c>
      <c r="E825" s="44" t="s">
        <v>196</v>
      </c>
      <c r="F825" s="44" t="s">
        <v>24</v>
      </c>
      <c r="G825" s="45">
        <v>199900</v>
      </c>
      <c r="H825" s="44">
        <v>24</v>
      </c>
      <c r="I825" s="45">
        <v>4797600</v>
      </c>
      <c r="J825" s="44" t="s">
        <v>195</v>
      </c>
      <c r="K825" s="44" t="str">
        <f>INDEX(CLEANED_MotorPH_Products_List_2!C:C,MATCH(MotorPHSales[[#This Row],[Product]],CLEANED_MotorPH_Products_List_2!$B:$B,0))</f>
        <v>Sport touring</v>
      </c>
      <c r="L825" s="44" t="str">
        <f>INDEX(CLEANED_MotorPH_Products_List_2!E:E,MATCH(MotorPHSales[[#This Row],[Product]],CLEANED_MotorPH_Products_List_2!$B:$B,0))</f>
        <v>Single cylinder</v>
      </c>
      <c r="M825" s="44" t="str">
        <f>INDEX(CLEANED_MotorPH_Products_List_2!F:F,MATCH(MotorPHSales[[#This Row],[Product]],CLEANED_MotorPH_Products_List_2!$B:$B,0))</f>
        <v>liquid-cooled</v>
      </c>
      <c r="N825" s="44" t="str">
        <f>INDEX(CLEANED_MotorPH_Products_List_2!G:G,MATCH(MotorPHSales[[#This Row],[Product]],CLEANED_MotorPH_Products_List_2!$B:$B,0))</f>
        <v>373cc</v>
      </c>
      <c r="O825" s="44" t="str">
        <f>INDEX(CLEANED_MotorPH_Products_List_2!K:K,MATCH(MotorPHSales[[#This Row],[Product]],CLEANED_MotorPH_Products_List_2!B:B,0))</f>
        <v>Mid-range</v>
      </c>
      <c r="P825" s="45">
        <f>IF(MotorPHSales[[#This Row],[Segment]]="Entry-level",MotorPHSales[[#This Row],[UnitPrice]]/(1+30%),IF(MotorPHSales[[#This Row],[Segment]]="Mid-range",MotorPHSales[[#This Row],[UnitPrice]]/(1+35%),MotorPHSales[[#This Row],[UnitPrice]]/(1+40%)))*MotorPHSales[[#This Row],[Quantity]]</f>
        <v>3553777.777777778</v>
      </c>
      <c r="Q825" s="44" t="str">
        <f>INDEX(CLEANED_MotorPH_Products_List_2!H:H,MATCH(MotorPHSales[[#This Row],[Product]],CLEANED_MotorPH_Products_List_2!$B:$B,0))</f>
        <v>6-speed</v>
      </c>
    </row>
    <row r="826" spans="1:17" ht="15.75" x14ac:dyDescent="0.3">
      <c r="A826" s="43">
        <v>45875</v>
      </c>
      <c r="B826" s="44" t="str">
        <f>TEXT(MotorPHSales[[#This Row],[Date]],"mmmm")</f>
        <v>August</v>
      </c>
      <c r="C826" s="44">
        <f>DAY(MotorPHSales[[#This Row],[Date]])</f>
        <v>6</v>
      </c>
      <c r="D826" s="44">
        <f>YEAR(MotorPHSales[[#This Row],[Date]])</f>
        <v>2025</v>
      </c>
      <c r="E826" s="44" t="s">
        <v>194</v>
      </c>
      <c r="F826" s="44" t="s">
        <v>34</v>
      </c>
      <c r="G826" s="45">
        <v>320000</v>
      </c>
      <c r="H826" s="44">
        <v>28</v>
      </c>
      <c r="I826" s="45">
        <v>8960000</v>
      </c>
      <c r="J826" s="44" t="s">
        <v>197</v>
      </c>
      <c r="K826" s="44" t="str">
        <f>INDEX(CLEANED_MotorPH_Products_List_2!C:C,MATCH(MotorPHSales[[#This Row],[Product]],CLEANED_MotorPH_Products_List_2!$B:$B,0))</f>
        <v>Adventure</v>
      </c>
      <c r="L826" s="44" t="str">
        <f>INDEX(CLEANED_MotorPH_Products_List_2!E:E,MATCH(MotorPHSales[[#This Row],[Product]],CLEANED_MotorPH_Products_List_2!$B:$B,0))</f>
        <v>Single cylinder</v>
      </c>
      <c r="M826" s="44" t="str">
        <f>INDEX(CLEANED_MotorPH_Products_List_2!F:F,MATCH(MotorPHSales[[#This Row],[Product]],CLEANED_MotorPH_Products_List_2!$B:$B,0))</f>
        <v>liquid-cooled</v>
      </c>
      <c r="N826" s="44" t="str">
        <f>INDEX(CLEANED_MotorPH_Products_List_2!G:G,MATCH(MotorPHSales[[#This Row],[Product]],CLEANED_MotorPH_Products_List_2!$B:$B,0))</f>
        <v>313cc</v>
      </c>
      <c r="O826" s="44" t="str">
        <f>INDEX(CLEANED_MotorPH_Products_List_2!K:K,MATCH(MotorPHSales[[#This Row],[Product]],CLEANED_MotorPH_Products_List_2!B:B,0))</f>
        <v>Mid-range</v>
      </c>
      <c r="P826" s="45">
        <f>IF(MotorPHSales[[#This Row],[Segment]]="Entry-level",MotorPHSales[[#This Row],[UnitPrice]]/(1+30%),IF(MotorPHSales[[#This Row],[Segment]]="Mid-range",MotorPHSales[[#This Row],[UnitPrice]]/(1+35%),MotorPHSales[[#This Row],[UnitPrice]]/(1+40%)))*MotorPHSales[[#This Row],[Quantity]]</f>
        <v>6637037.0370370364</v>
      </c>
      <c r="Q826" s="44" t="str">
        <f>INDEX(CLEANED_MotorPH_Products_List_2!H:H,MATCH(MotorPHSales[[#This Row],[Product]],CLEANED_MotorPH_Products_List_2!$B:$B,0))</f>
        <v>6-speed</v>
      </c>
    </row>
    <row r="827" spans="1:17" ht="15.75" x14ac:dyDescent="0.3">
      <c r="A827" s="43">
        <v>45835</v>
      </c>
      <c r="B827" s="44" t="str">
        <f>TEXT(MotorPHSales[[#This Row],[Date]],"mmmm")</f>
        <v>June</v>
      </c>
      <c r="C827" s="44">
        <f>DAY(MotorPHSales[[#This Row],[Date]])</f>
        <v>27</v>
      </c>
      <c r="D827" s="44">
        <f>YEAR(MotorPHSales[[#This Row],[Date]])</f>
        <v>2025</v>
      </c>
      <c r="E827" s="44" t="s">
        <v>194</v>
      </c>
      <c r="F827" s="44" t="s">
        <v>90</v>
      </c>
      <c r="G827" s="45">
        <v>165000</v>
      </c>
      <c r="H827" s="44">
        <v>19</v>
      </c>
      <c r="I827" s="45">
        <v>3135000</v>
      </c>
      <c r="J827" s="44" t="s">
        <v>197</v>
      </c>
      <c r="K827" s="44" t="str">
        <f>INDEX(CLEANED_MotorPH_Products_List_2!C:C,MATCH(MotorPHSales[[#This Row],[Product]],CLEANED_MotorPH_Products_List_2!$B:$B,0))</f>
        <v>Sport</v>
      </c>
      <c r="L827" s="44" t="str">
        <f>INDEX(CLEANED_MotorPH_Products_List_2!E:E,MATCH(MotorPHSales[[#This Row],[Product]],CLEANED_MotorPH_Products_List_2!$B:$B,0))</f>
        <v>Single cylinder</v>
      </c>
      <c r="M827" s="44" t="str">
        <f>INDEX(CLEANED_MotorPH_Products_List_2!F:F,MATCH(MotorPHSales[[#This Row],[Product]],CLEANED_MotorPH_Products_List_2!$B:$B,0))</f>
        <v>liquid-cooled</v>
      </c>
      <c r="N827" s="44" t="str">
        <f>INDEX(CLEANED_MotorPH_Products_List_2!G:G,MATCH(MotorPHSales[[#This Row],[Product]],CLEANED_MotorPH_Products_List_2!$B:$B,0))</f>
        <v>292cc</v>
      </c>
      <c r="O827" s="44" t="str">
        <f>INDEX(CLEANED_MotorPH_Products_List_2!K:K,MATCH(MotorPHSales[[#This Row],[Product]],CLEANED_MotorPH_Products_List_2!B:B,0))</f>
        <v>Mid-range</v>
      </c>
      <c r="P827" s="45">
        <f>IF(MotorPHSales[[#This Row],[Segment]]="Entry-level",MotorPHSales[[#This Row],[UnitPrice]]/(1+30%),IF(MotorPHSales[[#This Row],[Segment]]="Mid-range",MotorPHSales[[#This Row],[UnitPrice]]/(1+35%),MotorPHSales[[#This Row],[UnitPrice]]/(1+40%)))*MotorPHSales[[#This Row],[Quantity]]</f>
        <v>2322222.222222222</v>
      </c>
      <c r="Q827" s="44" t="str">
        <f>INDEX(CLEANED_MotorPH_Products_List_2!H:H,MATCH(MotorPHSales[[#This Row],[Product]],CLEANED_MotorPH_Products_List_2!$B:$B,0))</f>
        <v>6-speed</v>
      </c>
    </row>
    <row r="828" spans="1:17" ht="15.75" x14ac:dyDescent="0.3">
      <c r="A828" s="43">
        <v>45840</v>
      </c>
      <c r="B828" s="44" t="str">
        <f>TEXT(MotorPHSales[[#This Row],[Date]],"mmmm")</f>
        <v>July</v>
      </c>
      <c r="C828" s="44">
        <f>DAY(MotorPHSales[[#This Row],[Date]])</f>
        <v>2</v>
      </c>
      <c r="D828" s="44">
        <f>YEAR(MotorPHSales[[#This Row],[Date]])</f>
        <v>2025</v>
      </c>
      <c r="E828" s="44" t="s">
        <v>196</v>
      </c>
      <c r="F828" s="44" t="s">
        <v>14</v>
      </c>
      <c r="G828" s="45">
        <v>250000</v>
      </c>
      <c r="H828" s="44">
        <v>19</v>
      </c>
      <c r="I828" s="45">
        <v>4750000</v>
      </c>
      <c r="J828" s="44" t="s">
        <v>197</v>
      </c>
      <c r="K828" s="44" t="str">
        <f>INDEX(CLEANED_MotorPH_Products_List_2!C:C,MATCH(MotorPHSales[[#This Row],[Product]],CLEANED_MotorPH_Products_List_2!$B:$B,0))</f>
        <v>Classic</v>
      </c>
      <c r="L828" s="44" t="str">
        <f>INDEX(CLEANED_MotorPH_Products_List_2!E:E,MATCH(MotorPHSales[[#This Row],[Product]],CLEANED_MotorPH_Products_List_2!$B:$B,0))</f>
        <v>Single cylinder</v>
      </c>
      <c r="M828" s="44" t="str">
        <f>INDEX(CLEANED_MotorPH_Products_List_2!F:F,MATCH(MotorPHSales[[#This Row],[Product]],CLEANED_MotorPH_Products_List_2!$B:$B,0))</f>
        <v>air-cooled</v>
      </c>
      <c r="N828" s="44" t="str">
        <f>INDEX(CLEANED_MotorPH_Products_List_2!G:G,MATCH(MotorPHSales[[#This Row],[Product]],CLEANED_MotorPH_Products_List_2!$B:$B,0))</f>
        <v>349cc</v>
      </c>
      <c r="O828" s="44" t="str">
        <f>INDEX(CLEANED_MotorPH_Products_List_2!K:K,MATCH(MotorPHSales[[#This Row],[Product]],CLEANED_MotorPH_Products_List_2!B:B,0))</f>
        <v>Mid-range</v>
      </c>
      <c r="P828" s="45">
        <f>IF(MotorPHSales[[#This Row],[Segment]]="Entry-level",MotorPHSales[[#This Row],[UnitPrice]]/(1+30%),IF(MotorPHSales[[#This Row],[Segment]]="Mid-range",MotorPHSales[[#This Row],[UnitPrice]]/(1+35%),MotorPHSales[[#This Row],[UnitPrice]]/(1+40%)))*MotorPHSales[[#This Row],[Quantity]]</f>
        <v>3518518.5185185182</v>
      </c>
      <c r="Q828" s="44" t="str">
        <f>INDEX(CLEANED_MotorPH_Products_List_2!H:H,MATCH(MotorPHSales[[#This Row],[Product]],CLEANED_MotorPH_Products_List_2!$B:$B,0))</f>
        <v>5-speed</v>
      </c>
    </row>
    <row r="829" spans="1:17" ht="15.75" x14ac:dyDescent="0.3">
      <c r="A829" s="43">
        <v>45858</v>
      </c>
      <c r="B829" s="44" t="str">
        <f>TEXT(MotorPHSales[[#This Row],[Date]],"mmmm")</f>
        <v>July</v>
      </c>
      <c r="C829" s="44">
        <f>DAY(MotorPHSales[[#This Row],[Date]])</f>
        <v>20</v>
      </c>
      <c r="D829" s="44">
        <f>YEAR(MotorPHSales[[#This Row],[Date]])</f>
        <v>2025</v>
      </c>
      <c r="E829" s="44" t="s">
        <v>196</v>
      </c>
      <c r="F829" s="44" t="s">
        <v>47</v>
      </c>
      <c r="G829" s="45">
        <v>398000</v>
      </c>
      <c r="H829" s="44">
        <v>28</v>
      </c>
      <c r="I829" s="45">
        <v>11144000</v>
      </c>
      <c r="J829" s="44" t="s">
        <v>198</v>
      </c>
      <c r="K829" s="44" t="str">
        <f>INDEX(CLEANED_MotorPH_Products_List_2!C:C,MATCH(MotorPHSales[[#This Row],[Product]],CLEANED_MotorPH_Products_List_2!$B:$B,0))</f>
        <v>Cruiser</v>
      </c>
      <c r="L829" s="44" t="str">
        <f>INDEX(CLEANED_MotorPH_Products_List_2!E:E,MATCH(MotorPHSales[[#This Row],[Product]],CLEANED_MotorPH_Products_List_2!$B:$B,0))</f>
        <v>Parallel-twin</v>
      </c>
      <c r="M829" s="44" t="str">
        <f>INDEX(CLEANED_MotorPH_Products_List_2!F:F,MATCH(MotorPHSales[[#This Row],[Product]],CLEANED_MotorPH_Products_List_2!$B:$B,0))</f>
        <v>liquid-cooled</v>
      </c>
      <c r="N829" s="44" t="str">
        <f>INDEX(CLEANED_MotorPH_Products_List_2!G:G,MATCH(MotorPHSales[[#This Row],[Product]],CLEANED_MotorPH_Products_List_2!$B:$B,0))</f>
        <v>649cc</v>
      </c>
      <c r="O829" s="44" t="str">
        <f>INDEX(CLEANED_MotorPH_Products_List_2!K:K,MATCH(MotorPHSales[[#This Row],[Product]],CLEANED_MotorPH_Products_List_2!B:B,0))</f>
        <v>Premium</v>
      </c>
      <c r="P829" s="45">
        <f>IF(MotorPHSales[[#This Row],[Segment]]="Entry-level",MotorPHSales[[#This Row],[UnitPrice]]/(1+30%),IF(MotorPHSales[[#This Row],[Segment]]="Mid-range",MotorPHSales[[#This Row],[UnitPrice]]/(1+35%),MotorPHSales[[#This Row],[UnitPrice]]/(1+40%)))*MotorPHSales[[#This Row],[Quantity]]</f>
        <v>7960000.0000000009</v>
      </c>
      <c r="Q829" s="44" t="str">
        <f>INDEX(CLEANED_MotorPH_Products_List_2!H:H,MATCH(MotorPHSales[[#This Row],[Product]],CLEANED_MotorPH_Products_List_2!$B:$B,0))</f>
        <v>6-speed</v>
      </c>
    </row>
    <row r="830" spans="1:17" ht="15.75" x14ac:dyDescent="0.3">
      <c r="A830" s="43">
        <v>45869</v>
      </c>
      <c r="B830" s="44" t="str">
        <f>TEXT(MotorPHSales[[#This Row],[Date]],"mmmm")</f>
        <v>July</v>
      </c>
      <c r="C830" s="44">
        <f>DAY(MotorPHSales[[#This Row],[Date]])</f>
        <v>31</v>
      </c>
      <c r="D830" s="44">
        <f>YEAR(MotorPHSales[[#This Row],[Date]])</f>
        <v>2025</v>
      </c>
      <c r="E830" s="44" t="s">
        <v>196</v>
      </c>
      <c r="F830" s="44" t="s">
        <v>40</v>
      </c>
      <c r="G830" s="45">
        <v>210000</v>
      </c>
      <c r="H830" s="44">
        <v>3</v>
      </c>
      <c r="I830" s="45">
        <v>630000</v>
      </c>
      <c r="J830" s="44" t="s">
        <v>195</v>
      </c>
      <c r="K830" s="44" t="str">
        <f>INDEX(CLEANED_MotorPH_Products_List_2!C:C,MATCH(MotorPHSales[[#This Row],[Product]],CLEANED_MotorPH_Products_List_2!$B:$B,0))</f>
        <v>Scooter</v>
      </c>
      <c r="L830" s="44" t="str">
        <f>INDEX(CLEANED_MotorPH_Products_List_2!E:E,MATCH(MotorPHSales[[#This Row],[Product]],CLEANED_MotorPH_Products_List_2!$B:$B,0))</f>
        <v>Single cylinder</v>
      </c>
      <c r="M830" s="44" t="str">
        <f>INDEX(CLEANED_MotorPH_Products_List_2!F:F,MATCH(MotorPHSales[[#This Row],[Product]],CLEANED_MotorPH_Products_List_2!$B:$B,0))</f>
        <v>air-cooled</v>
      </c>
      <c r="N830" s="44" t="str">
        <f>INDEX(CLEANED_MotorPH_Products_List_2!G:G,MATCH(MotorPHSales[[#This Row],[Product]],CLEANED_MotorPH_Products_List_2!$B:$B,0))</f>
        <v>150cc</v>
      </c>
      <c r="O830" s="44" t="str">
        <f>INDEX(CLEANED_MotorPH_Products_List_2!K:K,MATCH(MotorPHSales[[#This Row],[Product]],CLEANED_MotorPH_Products_List_2!B:B,0))</f>
        <v>Entry-level</v>
      </c>
      <c r="P830" s="45">
        <f>IF(MotorPHSales[[#This Row],[Segment]]="Entry-level",MotorPHSales[[#This Row],[UnitPrice]]/(1+30%),IF(MotorPHSales[[#This Row],[Segment]]="Mid-range",MotorPHSales[[#This Row],[UnitPrice]]/(1+35%),MotorPHSales[[#This Row],[UnitPrice]]/(1+40%)))*MotorPHSales[[#This Row],[Quantity]]</f>
        <v>484615.38461538462</v>
      </c>
      <c r="Q830" s="44" t="str">
        <f>INDEX(CLEANED_MotorPH_Products_List_2!H:H,MATCH(MotorPHSales[[#This Row],[Product]],CLEANED_MotorPH_Products_List_2!$B:$B,0))</f>
        <v>CVT</v>
      </c>
    </row>
    <row r="831" spans="1:17" ht="15.75" x14ac:dyDescent="0.3">
      <c r="A831" s="43">
        <v>45859</v>
      </c>
      <c r="B831" s="44" t="str">
        <f>TEXT(MotorPHSales[[#This Row],[Date]],"mmmm")</f>
        <v>July</v>
      </c>
      <c r="C831" s="44">
        <f>DAY(MotorPHSales[[#This Row],[Date]])</f>
        <v>21</v>
      </c>
      <c r="D831" s="44">
        <f>YEAR(MotorPHSales[[#This Row],[Date]])</f>
        <v>2025</v>
      </c>
      <c r="E831" s="44" t="s">
        <v>194</v>
      </c>
      <c r="F831" s="44" t="s">
        <v>92</v>
      </c>
      <c r="G831" s="45">
        <v>289000</v>
      </c>
      <c r="H831" s="44">
        <v>46</v>
      </c>
      <c r="I831" s="45">
        <v>13294000</v>
      </c>
      <c r="J831" s="44" t="s">
        <v>195</v>
      </c>
      <c r="K831" s="44" t="str">
        <f>INDEX(CLEANED_MotorPH_Products_List_2!C:C,MATCH(MotorPHSales[[#This Row],[Product]],CLEANED_MotorPH_Products_List_2!$B:$B,0))</f>
        <v>Scooter</v>
      </c>
      <c r="L831" s="44" t="str">
        <f>INDEX(CLEANED_MotorPH_Products_List_2!E:E,MATCH(MotorPHSales[[#This Row],[Product]],CLEANED_MotorPH_Products_List_2!$B:$B,0))</f>
        <v>Single cylinder</v>
      </c>
      <c r="M831" s="44" t="str">
        <f>INDEX(CLEANED_MotorPH_Products_List_2!F:F,MATCH(MotorPHSales[[#This Row],[Product]],CLEANED_MotorPH_Products_List_2!$B:$B,0))</f>
        <v>liquid-cooled</v>
      </c>
      <c r="N831" s="44" t="str">
        <f>INDEX(CLEANED_MotorPH_Products_List_2!G:G,MATCH(MotorPHSales[[#This Row],[Product]],CLEANED_MotorPH_Products_List_2!$B:$B,0))</f>
        <v>181cc</v>
      </c>
      <c r="O831" s="44" t="str">
        <f>INDEX(CLEANED_MotorPH_Products_List_2!K:K,MATCH(MotorPHSales[[#This Row],[Product]],CLEANED_MotorPH_Products_List_2!B:B,0))</f>
        <v>Entry-level</v>
      </c>
      <c r="P831" s="45">
        <f>IF(MotorPHSales[[#This Row],[Segment]]="Entry-level",MotorPHSales[[#This Row],[UnitPrice]]/(1+30%),IF(MotorPHSales[[#This Row],[Segment]]="Mid-range",MotorPHSales[[#This Row],[UnitPrice]]/(1+35%),MotorPHSales[[#This Row],[UnitPrice]]/(1+40%)))*MotorPHSales[[#This Row],[Quantity]]</f>
        <v>10226153.846153846</v>
      </c>
      <c r="Q831" s="44" t="str">
        <f>INDEX(CLEANED_MotorPH_Products_List_2!H:H,MATCH(MotorPHSales[[#This Row],[Product]],CLEANED_MotorPH_Products_List_2!$B:$B,0))</f>
        <v>CVT</v>
      </c>
    </row>
    <row r="832" spans="1:17" ht="15.75" x14ac:dyDescent="0.3">
      <c r="A832" s="43">
        <v>45827</v>
      </c>
      <c r="B832" s="44" t="str">
        <f>TEXT(MotorPHSales[[#This Row],[Date]],"mmmm")</f>
        <v>June</v>
      </c>
      <c r="C832" s="44">
        <f>DAY(MotorPHSales[[#This Row],[Date]])</f>
        <v>19</v>
      </c>
      <c r="D832" s="44">
        <f>YEAR(MotorPHSales[[#This Row],[Date]])</f>
        <v>2025</v>
      </c>
      <c r="E832" s="44" t="s">
        <v>194</v>
      </c>
      <c r="F832" s="44" t="s">
        <v>97</v>
      </c>
      <c r="G832" s="45">
        <v>269000</v>
      </c>
      <c r="H832" s="44">
        <v>13</v>
      </c>
      <c r="I832" s="45">
        <v>3497000</v>
      </c>
      <c r="J832" s="44" t="s">
        <v>197</v>
      </c>
      <c r="K832" s="44" t="str">
        <f>INDEX(CLEANED_MotorPH_Products_List_2!C:C,MATCH(MotorPHSales[[#This Row],[Product]],CLEANED_MotorPH_Products_List_2!$B:$B,0))</f>
        <v>Cafe racer</v>
      </c>
      <c r="L832" s="44" t="str">
        <f>INDEX(CLEANED_MotorPH_Products_List_2!E:E,MATCH(MotorPHSales[[#This Row],[Product]],CLEANED_MotorPH_Products_List_2!$B:$B,0))</f>
        <v>Single cylinder</v>
      </c>
      <c r="M832" s="44" t="str">
        <f>INDEX(CLEANED_MotorPH_Products_List_2!F:F,MATCH(MotorPHSales[[#This Row],[Product]],CLEANED_MotorPH_Products_List_2!$B:$B,0))</f>
        <v>liquid-cooled</v>
      </c>
      <c r="N832" s="44" t="str">
        <f>INDEX(CLEANED_MotorPH_Products_List_2!G:G,MATCH(MotorPHSales[[#This Row],[Product]],CLEANED_MotorPH_Products_List_2!$B:$B,0))</f>
        <v>348cc</v>
      </c>
      <c r="O832" s="44" t="str">
        <f>INDEX(CLEANED_MotorPH_Products_List_2!K:K,MATCH(MotorPHSales[[#This Row],[Product]],CLEANED_MotorPH_Products_List_2!B:B,0))</f>
        <v>Mid-range</v>
      </c>
      <c r="P832" s="45">
        <f>IF(MotorPHSales[[#This Row],[Segment]]="Entry-level",MotorPHSales[[#This Row],[UnitPrice]]/(1+30%),IF(MotorPHSales[[#This Row],[Segment]]="Mid-range",MotorPHSales[[#This Row],[UnitPrice]]/(1+35%),MotorPHSales[[#This Row],[UnitPrice]]/(1+40%)))*MotorPHSales[[#This Row],[Quantity]]</f>
        <v>2590370.3703703703</v>
      </c>
      <c r="Q832" s="44" t="str">
        <f>INDEX(CLEANED_MotorPH_Products_List_2!H:H,MATCH(MotorPHSales[[#This Row],[Product]],CLEANED_MotorPH_Products_List_2!$B:$B,0))</f>
        <v>6-speed</v>
      </c>
    </row>
    <row r="833" spans="1:17" ht="15.75" x14ac:dyDescent="0.3">
      <c r="A833" s="43">
        <v>45829</v>
      </c>
      <c r="B833" s="44" t="str">
        <f>TEXT(MotorPHSales[[#This Row],[Date]],"mmmm")</f>
        <v>June</v>
      </c>
      <c r="C833" s="44">
        <f>DAY(MotorPHSales[[#This Row],[Date]])</f>
        <v>21</v>
      </c>
      <c r="D833" s="44">
        <f>YEAR(MotorPHSales[[#This Row],[Date]])</f>
        <v>2025</v>
      </c>
      <c r="E833" s="44" t="s">
        <v>194</v>
      </c>
      <c r="F833" s="44" t="s">
        <v>64</v>
      </c>
      <c r="G833" s="45">
        <v>128000</v>
      </c>
      <c r="H833" s="44">
        <v>20</v>
      </c>
      <c r="I833" s="45">
        <v>2560000</v>
      </c>
      <c r="J833" s="44" t="s">
        <v>198</v>
      </c>
      <c r="K833" s="44" t="str">
        <f>INDEX(CLEANED_MotorPH_Products_List_2!C:C,MATCH(MotorPHSales[[#This Row],[Product]],CLEANED_MotorPH_Products_List_2!$B:$B,0))</f>
        <v>Scooter</v>
      </c>
      <c r="L833" s="44" t="str">
        <f>INDEX(CLEANED_MotorPH_Products_List_2!E:E,MATCH(MotorPHSales[[#This Row],[Product]],CLEANED_MotorPH_Products_List_2!$B:$B,0))</f>
        <v>Single cylinder</v>
      </c>
      <c r="M833" s="44" t="str">
        <f>INDEX(CLEANED_MotorPH_Products_List_2!F:F,MATCH(MotorPHSales[[#This Row],[Product]],CLEANED_MotorPH_Products_List_2!$B:$B,0))</f>
        <v>liquid-cooled</v>
      </c>
      <c r="N833" s="44" t="str">
        <f>INDEX(CLEANED_MotorPH_Products_List_2!G:G,MATCH(MotorPHSales[[#This Row],[Product]],CLEANED_MotorPH_Products_List_2!$B:$B,0))</f>
        <v>149cc</v>
      </c>
      <c r="O833" s="44" t="str">
        <f>INDEX(CLEANED_MotorPH_Products_List_2!K:K,MATCH(MotorPHSales[[#This Row],[Product]],CLEANED_MotorPH_Products_List_2!B:B,0))</f>
        <v>Entry-level</v>
      </c>
      <c r="P833" s="45">
        <f>IF(MotorPHSales[[#This Row],[Segment]]="Entry-level",MotorPHSales[[#This Row],[UnitPrice]]/(1+30%),IF(MotorPHSales[[#This Row],[Segment]]="Mid-range",MotorPHSales[[#This Row],[UnitPrice]]/(1+35%),MotorPHSales[[#This Row],[UnitPrice]]/(1+40%)))*MotorPHSales[[#This Row],[Quantity]]</f>
        <v>1969230.769230769</v>
      </c>
      <c r="Q833" s="44" t="str">
        <f>INDEX(CLEANED_MotorPH_Products_List_2!H:H,MATCH(MotorPHSales[[#This Row],[Product]],CLEANED_MotorPH_Products_List_2!$B:$B,0))</f>
        <v>CVT</v>
      </c>
    </row>
    <row r="834" spans="1:17" ht="15.75" x14ac:dyDescent="0.3">
      <c r="A834" s="43">
        <v>45813</v>
      </c>
      <c r="B834" s="44" t="str">
        <f>TEXT(MotorPHSales[[#This Row],[Date]],"mmmm")</f>
        <v>June</v>
      </c>
      <c r="C834" s="44">
        <f>DAY(MotorPHSales[[#This Row],[Date]])</f>
        <v>5</v>
      </c>
      <c r="D834" s="44">
        <f>YEAR(MotorPHSales[[#This Row],[Date]])</f>
        <v>2025</v>
      </c>
      <c r="E834" s="44" t="s">
        <v>196</v>
      </c>
      <c r="F834" s="44" t="s">
        <v>46</v>
      </c>
      <c r="G834" s="45">
        <v>124000</v>
      </c>
      <c r="H834" s="44">
        <v>29</v>
      </c>
      <c r="I834" s="45">
        <v>3596000</v>
      </c>
      <c r="J834" s="44" t="s">
        <v>195</v>
      </c>
      <c r="K834" s="44" t="str">
        <f>INDEX(CLEANED_MotorPH_Products_List_2!C:C,MATCH(MotorPHSales[[#This Row],[Product]],CLEANED_MotorPH_Products_List_2!$B:$B,0))</f>
        <v>Scooter</v>
      </c>
      <c r="L834" s="44" t="str">
        <f>INDEX(CLEANED_MotorPH_Products_List_2!E:E,MATCH(MotorPHSales[[#This Row],[Product]],CLEANED_MotorPH_Products_List_2!$B:$B,0))</f>
        <v>Single cylinder</v>
      </c>
      <c r="M834" s="44" t="str">
        <f>INDEX(CLEANED_MotorPH_Products_List_2!F:F,MATCH(MotorPHSales[[#This Row],[Product]],CLEANED_MotorPH_Products_List_2!$B:$B,0))</f>
        <v>liquid-cooled</v>
      </c>
      <c r="N834" s="44" t="str">
        <f>INDEX(CLEANED_MotorPH_Products_List_2!G:G,MATCH(MotorPHSales[[#This Row],[Product]],CLEANED_MotorPH_Products_List_2!$B:$B,0))</f>
        <v>155cc</v>
      </c>
      <c r="O834" s="44" t="str">
        <f>INDEX(CLEANED_MotorPH_Products_List_2!K:K,MATCH(MotorPHSales[[#This Row],[Product]],CLEANED_MotorPH_Products_List_2!B:B,0))</f>
        <v>Entry-level</v>
      </c>
      <c r="P834" s="45">
        <f>IF(MotorPHSales[[#This Row],[Segment]]="Entry-level",MotorPHSales[[#This Row],[UnitPrice]]/(1+30%),IF(MotorPHSales[[#This Row],[Segment]]="Mid-range",MotorPHSales[[#This Row],[UnitPrice]]/(1+35%),MotorPHSales[[#This Row],[UnitPrice]]/(1+40%)))*MotorPHSales[[#This Row],[Quantity]]</f>
        <v>2766153.846153846</v>
      </c>
      <c r="Q834" s="44" t="str">
        <f>INDEX(CLEANED_MotorPH_Products_List_2!H:H,MATCH(MotorPHSales[[#This Row],[Product]],CLEANED_MotorPH_Products_List_2!$B:$B,0))</f>
        <v>CVT</v>
      </c>
    </row>
    <row r="835" spans="1:17" ht="15.75" x14ac:dyDescent="0.3">
      <c r="A835" s="43">
        <v>45890</v>
      </c>
      <c r="B835" s="44" t="str">
        <f>TEXT(MotorPHSales[[#This Row],[Date]],"mmmm")</f>
        <v>August</v>
      </c>
      <c r="C835" s="44">
        <f>DAY(MotorPHSales[[#This Row],[Date]])</f>
        <v>21</v>
      </c>
      <c r="D835" s="44">
        <f>YEAR(MotorPHSales[[#This Row],[Date]])</f>
        <v>2025</v>
      </c>
      <c r="E835" s="44" t="s">
        <v>196</v>
      </c>
      <c r="F835" s="44" t="s">
        <v>63</v>
      </c>
      <c r="G835" s="45">
        <v>48000</v>
      </c>
      <c r="H835" s="44">
        <v>13</v>
      </c>
      <c r="I835" s="45">
        <v>624000</v>
      </c>
      <c r="J835" s="44" t="s">
        <v>197</v>
      </c>
      <c r="K835" s="44" t="str">
        <f>INDEX(CLEANED_MotorPH_Products_List_2!C:C,MATCH(MotorPHSales[[#This Row],[Product]],CLEANED_MotorPH_Products_List_2!$B:$B,0))</f>
        <v>Commuter</v>
      </c>
      <c r="L835" s="44" t="str">
        <f>INDEX(CLEANED_MotorPH_Products_List_2!E:E,MATCH(MotorPHSales[[#This Row],[Product]],CLEANED_MotorPH_Products_List_2!$B:$B,0))</f>
        <v>Single cylinder</v>
      </c>
      <c r="M835" s="44" t="str">
        <f>INDEX(CLEANED_MotorPH_Products_List_2!F:F,MATCH(MotorPHSales[[#This Row],[Product]],CLEANED_MotorPH_Products_List_2!$B:$B,0))</f>
        <v>air-cooled</v>
      </c>
      <c r="N835" s="44" t="str">
        <f>INDEX(CLEANED_MotorPH_Products_List_2!G:G,MATCH(MotorPHSales[[#This Row],[Product]],CLEANED_MotorPH_Products_List_2!$B:$B,0))</f>
        <v>125cc</v>
      </c>
      <c r="O835" s="44" t="str">
        <f>INDEX(CLEANED_MotorPH_Products_List_2!K:K,MATCH(MotorPHSales[[#This Row],[Product]],CLEANED_MotorPH_Products_List_2!B:B,0))</f>
        <v>Entry-level</v>
      </c>
      <c r="P835" s="45">
        <f>IF(MotorPHSales[[#This Row],[Segment]]="Entry-level",MotorPHSales[[#This Row],[UnitPrice]]/(1+30%),IF(MotorPHSales[[#This Row],[Segment]]="Mid-range",MotorPHSales[[#This Row],[UnitPrice]]/(1+35%),MotorPHSales[[#This Row],[UnitPrice]]/(1+40%)))*MotorPHSales[[#This Row],[Quantity]]</f>
        <v>480000</v>
      </c>
      <c r="Q835" s="44" t="str">
        <f>INDEX(CLEANED_MotorPH_Products_List_2!H:H,MATCH(MotorPHSales[[#This Row],[Product]],CLEANED_MotorPH_Products_List_2!$B:$B,0))</f>
        <v>4-speed</v>
      </c>
    </row>
    <row r="836" spans="1:17" ht="15.75" x14ac:dyDescent="0.3">
      <c r="A836" s="43">
        <v>45900</v>
      </c>
      <c r="B836" s="44" t="str">
        <f>TEXT(MotorPHSales[[#This Row],[Date]],"mmmm")</f>
        <v>August</v>
      </c>
      <c r="C836" s="44">
        <f>DAY(MotorPHSales[[#This Row],[Date]])</f>
        <v>31</v>
      </c>
      <c r="D836" s="44">
        <f>YEAR(MotorPHSales[[#This Row],[Date]])</f>
        <v>2025</v>
      </c>
      <c r="E836" s="44" t="s">
        <v>194</v>
      </c>
      <c r="F836" s="44" t="s">
        <v>40</v>
      </c>
      <c r="G836" s="45">
        <v>210000</v>
      </c>
      <c r="H836" s="44">
        <v>6</v>
      </c>
      <c r="I836" s="45">
        <v>1260000</v>
      </c>
      <c r="J836" s="44" t="s">
        <v>198</v>
      </c>
      <c r="K836" s="44" t="str">
        <f>INDEX(CLEANED_MotorPH_Products_List_2!C:C,MATCH(MotorPHSales[[#This Row],[Product]],CLEANED_MotorPH_Products_List_2!$B:$B,0))</f>
        <v>Scooter</v>
      </c>
      <c r="L836" s="44" t="str">
        <f>INDEX(CLEANED_MotorPH_Products_List_2!E:E,MATCH(MotorPHSales[[#This Row],[Product]],CLEANED_MotorPH_Products_List_2!$B:$B,0))</f>
        <v>Single cylinder</v>
      </c>
      <c r="M836" s="44" t="str">
        <f>INDEX(CLEANED_MotorPH_Products_List_2!F:F,MATCH(MotorPHSales[[#This Row],[Product]],CLEANED_MotorPH_Products_List_2!$B:$B,0))</f>
        <v>air-cooled</v>
      </c>
      <c r="N836" s="44" t="str">
        <f>INDEX(CLEANED_MotorPH_Products_List_2!G:G,MATCH(MotorPHSales[[#This Row],[Product]],CLEANED_MotorPH_Products_List_2!$B:$B,0))</f>
        <v>150cc</v>
      </c>
      <c r="O836" s="44" t="str">
        <f>INDEX(CLEANED_MotorPH_Products_List_2!K:K,MATCH(MotorPHSales[[#This Row],[Product]],CLEANED_MotorPH_Products_List_2!B:B,0))</f>
        <v>Entry-level</v>
      </c>
      <c r="P836" s="45">
        <f>IF(MotorPHSales[[#This Row],[Segment]]="Entry-level",MotorPHSales[[#This Row],[UnitPrice]]/(1+30%),IF(MotorPHSales[[#This Row],[Segment]]="Mid-range",MotorPHSales[[#This Row],[UnitPrice]]/(1+35%),MotorPHSales[[#This Row],[UnitPrice]]/(1+40%)))*MotorPHSales[[#This Row],[Quantity]]</f>
        <v>969230.76923076925</v>
      </c>
      <c r="Q836" s="44" t="str">
        <f>INDEX(CLEANED_MotorPH_Products_List_2!H:H,MATCH(MotorPHSales[[#This Row],[Product]],CLEANED_MotorPH_Products_List_2!$B:$B,0))</f>
        <v>CVT</v>
      </c>
    </row>
    <row r="837" spans="1:17" ht="15.75" x14ac:dyDescent="0.3">
      <c r="A837" s="43">
        <v>45850</v>
      </c>
      <c r="B837" s="44" t="str">
        <f>TEXT(MotorPHSales[[#This Row],[Date]],"mmmm")</f>
        <v>July</v>
      </c>
      <c r="C837" s="44">
        <f>DAY(MotorPHSales[[#This Row],[Date]])</f>
        <v>12</v>
      </c>
      <c r="D837" s="44">
        <f>YEAR(MotorPHSales[[#This Row],[Date]])</f>
        <v>2025</v>
      </c>
      <c r="E837" s="44" t="s">
        <v>194</v>
      </c>
      <c r="F837" s="44" t="s">
        <v>38</v>
      </c>
      <c r="G837" s="45">
        <v>295000</v>
      </c>
      <c r="H837" s="44">
        <v>43</v>
      </c>
      <c r="I837" s="45">
        <v>12685000</v>
      </c>
      <c r="J837" s="44" t="s">
        <v>195</v>
      </c>
      <c r="K837" s="44" t="str">
        <f>INDEX(CLEANED_MotorPH_Products_List_2!C:C,MATCH(MotorPHSales[[#This Row],[Product]],CLEANED_MotorPH_Products_List_2!$B:$B,0))</f>
        <v>Scrambler</v>
      </c>
      <c r="L837" s="44" t="str">
        <f>INDEX(CLEANED_MotorPH_Products_List_2!E:E,MATCH(MotorPHSales[[#This Row],[Product]],CLEANED_MotorPH_Products_List_2!$B:$B,0))</f>
        <v>Single cylinder</v>
      </c>
      <c r="M837" s="44" t="str">
        <f>INDEX(CLEANED_MotorPH_Products_List_2!F:F,MATCH(MotorPHSales[[#This Row],[Product]],CLEANED_MotorPH_Products_List_2!$B:$B,0))</f>
        <v>liquid-cooled</v>
      </c>
      <c r="N837" s="44" t="str">
        <f>INDEX(CLEANED_MotorPH_Products_List_2!G:G,MATCH(MotorPHSales[[#This Row],[Product]],CLEANED_MotorPH_Products_List_2!$B:$B,0))</f>
        <v>373cc</v>
      </c>
      <c r="O837" s="44" t="str">
        <f>INDEX(CLEANED_MotorPH_Products_List_2!K:K,MATCH(MotorPHSales[[#This Row],[Product]],CLEANED_MotorPH_Products_List_2!B:B,0))</f>
        <v>Mid-range</v>
      </c>
      <c r="P837" s="45">
        <f>IF(MotorPHSales[[#This Row],[Segment]]="Entry-level",MotorPHSales[[#This Row],[UnitPrice]]/(1+30%),IF(MotorPHSales[[#This Row],[Segment]]="Mid-range",MotorPHSales[[#This Row],[UnitPrice]]/(1+35%),MotorPHSales[[#This Row],[UnitPrice]]/(1+40%)))*MotorPHSales[[#This Row],[Quantity]]</f>
        <v>9396296.2962962966</v>
      </c>
      <c r="Q837" s="44" t="str">
        <f>INDEX(CLEANED_MotorPH_Products_List_2!H:H,MATCH(MotorPHSales[[#This Row],[Product]],CLEANED_MotorPH_Products_List_2!$B:$B,0))</f>
        <v>6-speed</v>
      </c>
    </row>
    <row r="838" spans="1:17" ht="15.75" x14ac:dyDescent="0.3">
      <c r="A838" s="43">
        <v>45869</v>
      </c>
      <c r="B838" s="44" t="str">
        <f>TEXT(MotorPHSales[[#This Row],[Date]],"mmmm")</f>
        <v>July</v>
      </c>
      <c r="C838" s="44">
        <f>DAY(MotorPHSales[[#This Row],[Date]])</f>
        <v>31</v>
      </c>
      <c r="D838" s="44">
        <f>YEAR(MotorPHSales[[#This Row],[Date]])</f>
        <v>2025</v>
      </c>
      <c r="E838" s="44" t="s">
        <v>194</v>
      </c>
      <c r="F838" s="44" t="s">
        <v>74</v>
      </c>
      <c r="G838" s="45">
        <v>349000</v>
      </c>
      <c r="H838" s="44">
        <v>17</v>
      </c>
      <c r="I838" s="45">
        <v>5933000</v>
      </c>
      <c r="J838" s="44" t="s">
        <v>198</v>
      </c>
      <c r="K838" s="44" t="str">
        <f>INDEX(CLEANED_MotorPH_Products_List_2!C:C,MATCH(MotorPHSales[[#This Row],[Product]],CLEANED_MotorPH_Products_List_2!$B:$B,0))</f>
        <v>Cruiser</v>
      </c>
      <c r="L838" s="44" t="str">
        <f>INDEX(CLEANED_MotorPH_Products_List_2!E:E,MATCH(MotorPHSales[[#This Row],[Product]],CLEANED_MotorPH_Products_List_2!$B:$B,0))</f>
        <v>Parallel-twin</v>
      </c>
      <c r="M838" s="44" t="str">
        <f>INDEX(CLEANED_MotorPH_Products_List_2!F:F,MATCH(MotorPHSales[[#This Row],[Product]],CLEANED_MotorPH_Products_List_2!$B:$B,0))</f>
        <v>liquid-cooled</v>
      </c>
      <c r="N838" s="44" t="str">
        <f>INDEX(CLEANED_MotorPH_Products_List_2!G:G,MATCH(MotorPHSales[[#This Row],[Product]],CLEANED_MotorPH_Products_List_2!$B:$B,0))</f>
        <v>500cc</v>
      </c>
      <c r="O838" s="44" t="str">
        <f>INDEX(CLEANED_MotorPH_Products_List_2!K:K,MATCH(MotorPHSales[[#This Row],[Product]],CLEANED_MotorPH_Products_List_2!B:B,0))</f>
        <v>Mid-range</v>
      </c>
      <c r="P838" s="45">
        <f>IF(MotorPHSales[[#This Row],[Segment]]="Entry-level",MotorPHSales[[#This Row],[UnitPrice]]/(1+30%),IF(MotorPHSales[[#This Row],[Segment]]="Mid-range",MotorPHSales[[#This Row],[UnitPrice]]/(1+35%),MotorPHSales[[#This Row],[UnitPrice]]/(1+40%)))*MotorPHSales[[#This Row],[Quantity]]</f>
        <v>4394814.8148148144</v>
      </c>
      <c r="Q838" s="44" t="str">
        <f>INDEX(CLEANED_MotorPH_Products_List_2!H:H,MATCH(MotorPHSales[[#This Row],[Product]],CLEANED_MotorPH_Products_List_2!$B:$B,0))</f>
        <v>6-speed</v>
      </c>
    </row>
    <row r="839" spans="1:17" ht="15.75" x14ac:dyDescent="0.3">
      <c r="A839" s="43">
        <v>45830</v>
      </c>
      <c r="B839" s="44" t="str">
        <f>TEXT(MotorPHSales[[#This Row],[Date]],"mmmm")</f>
        <v>June</v>
      </c>
      <c r="C839" s="44">
        <f>DAY(MotorPHSales[[#This Row],[Date]])</f>
        <v>22</v>
      </c>
      <c r="D839" s="44">
        <f>YEAR(MotorPHSales[[#This Row],[Date]])</f>
        <v>2025</v>
      </c>
      <c r="E839" s="44" t="s">
        <v>194</v>
      </c>
      <c r="F839" s="44" t="s">
        <v>63</v>
      </c>
      <c r="G839" s="45">
        <v>48000</v>
      </c>
      <c r="H839" s="44">
        <v>5</v>
      </c>
      <c r="I839" s="45">
        <v>240000</v>
      </c>
      <c r="J839" s="44" t="s">
        <v>197</v>
      </c>
      <c r="K839" s="44" t="str">
        <f>INDEX(CLEANED_MotorPH_Products_List_2!C:C,MATCH(MotorPHSales[[#This Row],[Product]],CLEANED_MotorPH_Products_List_2!$B:$B,0))</f>
        <v>Commuter</v>
      </c>
      <c r="L839" s="44" t="str">
        <f>INDEX(CLEANED_MotorPH_Products_List_2!E:E,MATCH(MotorPHSales[[#This Row],[Product]],CLEANED_MotorPH_Products_List_2!$B:$B,0))</f>
        <v>Single cylinder</v>
      </c>
      <c r="M839" s="44" t="str">
        <f>INDEX(CLEANED_MotorPH_Products_List_2!F:F,MATCH(MotorPHSales[[#This Row],[Product]],CLEANED_MotorPH_Products_List_2!$B:$B,0))</f>
        <v>air-cooled</v>
      </c>
      <c r="N839" s="44" t="str">
        <f>INDEX(CLEANED_MotorPH_Products_List_2!G:G,MATCH(MotorPHSales[[#This Row],[Product]],CLEANED_MotorPH_Products_List_2!$B:$B,0))</f>
        <v>125cc</v>
      </c>
      <c r="O839" s="44" t="str">
        <f>INDEX(CLEANED_MotorPH_Products_List_2!K:K,MATCH(MotorPHSales[[#This Row],[Product]],CLEANED_MotorPH_Products_List_2!B:B,0))</f>
        <v>Entry-level</v>
      </c>
      <c r="P839" s="45">
        <f>IF(MotorPHSales[[#This Row],[Segment]]="Entry-level",MotorPHSales[[#This Row],[UnitPrice]]/(1+30%),IF(MotorPHSales[[#This Row],[Segment]]="Mid-range",MotorPHSales[[#This Row],[UnitPrice]]/(1+35%),MotorPHSales[[#This Row],[UnitPrice]]/(1+40%)))*MotorPHSales[[#This Row],[Quantity]]</f>
        <v>184615.38461538462</v>
      </c>
      <c r="Q839" s="44" t="str">
        <f>INDEX(CLEANED_MotorPH_Products_List_2!H:H,MATCH(MotorPHSales[[#This Row],[Product]],CLEANED_MotorPH_Products_List_2!$B:$B,0))</f>
        <v>4-speed</v>
      </c>
    </row>
    <row r="840" spans="1:17" ht="15.75" x14ac:dyDescent="0.3">
      <c r="A840" s="43">
        <v>45829</v>
      </c>
      <c r="B840" s="44" t="str">
        <f>TEXT(MotorPHSales[[#This Row],[Date]],"mmmm")</f>
        <v>June</v>
      </c>
      <c r="C840" s="44">
        <f>DAY(MotorPHSales[[#This Row],[Date]])</f>
        <v>21</v>
      </c>
      <c r="D840" s="44">
        <f>YEAR(MotorPHSales[[#This Row],[Date]])</f>
        <v>2025</v>
      </c>
      <c r="E840" s="44" t="s">
        <v>196</v>
      </c>
      <c r="F840" s="44" t="s">
        <v>28</v>
      </c>
      <c r="G840" s="45">
        <v>164900</v>
      </c>
      <c r="H840" s="44">
        <v>12</v>
      </c>
      <c r="I840" s="45">
        <v>1978800</v>
      </c>
      <c r="J840" s="44" t="s">
        <v>198</v>
      </c>
      <c r="K840" s="44" t="str">
        <f>INDEX(CLEANED_MotorPH_Products_List_2!C:C,MATCH(MotorPHSales[[#This Row],[Product]],CLEANED_MotorPH_Products_List_2!$B:$B,0))</f>
        <v>Scooter</v>
      </c>
      <c r="L840" s="44" t="str">
        <f>INDEX(CLEANED_MotorPH_Products_List_2!E:E,MATCH(MotorPHSales[[#This Row],[Product]],CLEANED_MotorPH_Products_List_2!$B:$B,0))</f>
        <v>Single cylinder</v>
      </c>
      <c r="M840" s="44" t="str">
        <f>INDEX(CLEANED_MotorPH_Products_List_2!F:F,MATCH(MotorPHSales[[#This Row],[Product]],CLEANED_MotorPH_Products_List_2!$B:$B,0))</f>
        <v>liquid-cooled</v>
      </c>
      <c r="N840" s="44" t="str">
        <f>INDEX(CLEANED_MotorPH_Products_List_2!G:G,MATCH(MotorPHSales[[#This Row],[Product]],CLEANED_MotorPH_Products_List_2!$B:$B,0))</f>
        <v>157cc</v>
      </c>
      <c r="O840" s="44" t="str">
        <f>INDEX(CLEANED_MotorPH_Products_List_2!K:K,MATCH(MotorPHSales[[#This Row],[Product]],CLEANED_MotorPH_Products_List_2!B:B,0))</f>
        <v>Entry-level</v>
      </c>
      <c r="P840" s="45">
        <f>IF(MotorPHSales[[#This Row],[Segment]]="Entry-level",MotorPHSales[[#This Row],[UnitPrice]]/(1+30%),IF(MotorPHSales[[#This Row],[Segment]]="Mid-range",MotorPHSales[[#This Row],[UnitPrice]]/(1+35%),MotorPHSales[[#This Row],[UnitPrice]]/(1+40%)))*MotorPHSales[[#This Row],[Quantity]]</f>
        <v>1522153.846153846</v>
      </c>
      <c r="Q840" s="44" t="str">
        <f>INDEX(CLEANED_MotorPH_Products_List_2!H:H,MATCH(MotorPHSales[[#This Row],[Product]],CLEANED_MotorPH_Products_List_2!$B:$B,0))</f>
        <v>CVT</v>
      </c>
    </row>
    <row r="841" spans="1:17" ht="15.75" x14ac:dyDescent="0.3">
      <c r="A841" s="43">
        <v>45878</v>
      </c>
      <c r="B841" s="44" t="str">
        <f>TEXT(MotorPHSales[[#This Row],[Date]],"mmmm")</f>
        <v>August</v>
      </c>
      <c r="C841" s="44">
        <f>DAY(MotorPHSales[[#This Row],[Date]])</f>
        <v>9</v>
      </c>
      <c r="D841" s="44">
        <f>YEAR(MotorPHSales[[#This Row],[Date]])</f>
        <v>2025</v>
      </c>
      <c r="E841" s="44" t="s">
        <v>194</v>
      </c>
      <c r="F841" s="44" t="s">
        <v>72</v>
      </c>
      <c r="G841" s="45">
        <v>319000</v>
      </c>
      <c r="H841" s="44">
        <v>1</v>
      </c>
      <c r="I841" s="45">
        <v>319000</v>
      </c>
      <c r="J841" s="44" t="s">
        <v>198</v>
      </c>
      <c r="K841" s="44" t="str">
        <f>INDEX(CLEANED_MotorPH_Products_List_2!C:C,MATCH(MotorPHSales[[#This Row],[Product]],CLEANED_MotorPH_Products_List_2!$B:$B,0))</f>
        <v>Scooter</v>
      </c>
      <c r="L841" s="44" t="str">
        <f>INDEX(CLEANED_MotorPH_Products_List_2!E:E,MATCH(MotorPHSales[[#This Row],[Product]],CLEANED_MotorPH_Products_List_2!$B:$B,0))</f>
        <v>Single cylinder</v>
      </c>
      <c r="M841" s="44" t="str">
        <f>INDEX(CLEANED_MotorPH_Products_List_2!F:F,MATCH(MotorPHSales[[#This Row],[Product]],CLEANED_MotorPH_Products_List_2!$B:$B,0))</f>
        <v>liquid-cooled</v>
      </c>
      <c r="N841" s="44" t="str">
        <f>INDEX(CLEANED_MotorPH_Products_List_2!G:G,MATCH(MotorPHSales[[#This Row],[Product]],CLEANED_MotorPH_Products_List_2!$B:$B,0))</f>
        <v>292cc</v>
      </c>
      <c r="O841" s="44" t="str">
        <f>INDEX(CLEANED_MotorPH_Products_List_2!K:K,MATCH(MotorPHSales[[#This Row],[Product]],CLEANED_MotorPH_Products_List_2!B:B,0))</f>
        <v>Mid-range</v>
      </c>
      <c r="P841" s="45">
        <f>IF(MotorPHSales[[#This Row],[Segment]]="Entry-level",MotorPHSales[[#This Row],[UnitPrice]]/(1+30%),IF(MotorPHSales[[#This Row],[Segment]]="Mid-range",MotorPHSales[[#This Row],[UnitPrice]]/(1+35%),MotorPHSales[[#This Row],[UnitPrice]]/(1+40%)))*MotorPHSales[[#This Row],[Quantity]]</f>
        <v>236296.29629629629</v>
      </c>
      <c r="Q841" s="44" t="str">
        <f>INDEX(CLEANED_MotorPH_Products_List_2!H:H,MATCH(MotorPHSales[[#This Row],[Product]],CLEANED_MotorPH_Products_List_2!$B:$B,0))</f>
        <v>CVT</v>
      </c>
    </row>
    <row r="842" spans="1:17" ht="15.75" x14ac:dyDescent="0.3">
      <c r="A842" s="43">
        <v>45809</v>
      </c>
      <c r="B842" s="44" t="str">
        <f>TEXT(MotorPHSales[[#This Row],[Date]],"mmmm")</f>
        <v>June</v>
      </c>
      <c r="C842" s="44">
        <f>DAY(MotorPHSales[[#This Row],[Date]])</f>
        <v>1</v>
      </c>
      <c r="D842" s="44">
        <f>YEAR(MotorPHSales[[#This Row],[Date]])</f>
        <v>2025</v>
      </c>
      <c r="E842" s="44" t="s">
        <v>196</v>
      </c>
      <c r="F842" s="44" t="s">
        <v>99</v>
      </c>
      <c r="G842" s="45">
        <v>689000</v>
      </c>
      <c r="H842" s="44">
        <v>12</v>
      </c>
      <c r="I842" s="45">
        <v>8268000</v>
      </c>
      <c r="J842" s="44" t="s">
        <v>198</v>
      </c>
      <c r="K842" s="44" t="str">
        <f>INDEX(CLEANED_MotorPH_Products_List_2!C:C,MATCH(MotorPHSales[[#This Row],[Product]],CLEANED_MotorPH_Products_List_2!$B:$B,0))</f>
        <v>Heritage</v>
      </c>
      <c r="L842" s="44" t="str">
        <f>INDEX(CLEANED_MotorPH_Products_List_2!E:E,MATCH(MotorPHSales[[#This Row],[Product]],CLEANED_MotorPH_Products_List_2!$B:$B,0))</f>
        <v>V-twin</v>
      </c>
      <c r="M842" s="44" t="str">
        <f>INDEX(CLEANED_MotorPH_Products_List_2!F:F,MATCH(MotorPHSales[[#This Row],[Product]],CLEANED_MotorPH_Products_List_2!$B:$B,0))</f>
        <v>air-cooled</v>
      </c>
      <c r="N842" s="44" t="str">
        <f>INDEX(CLEANED_MotorPH_Products_List_2!G:G,MATCH(MotorPHSales[[#This Row],[Product]],CLEANED_MotorPH_Products_List_2!$B:$B,0))</f>
        <v>853cc</v>
      </c>
      <c r="O842" s="44" t="str">
        <f>INDEX(CLEANED_MotorPH_Products_List_2!K:K,MATCH(MotorPHSales[[#This Row],[Product]],CLEANED_MotorPH_Products_List_2!B:B,0))</f>
        <v>Premium</v>
      </c>
      <c r="P842" s="45">
        <f>IF(MotorPHSales[[#This Row],[Segment]]="Entry-level",MotorPHSales[[#This Row],[UnitPrice]]/(1+30%),IF(MotorPHSales[[#This Row],[Segment]]="Mid-range",MotorPHSales[[#This Row],[UnitPrice]]/(1+35%),MotorPHSales[[#This Row],[UnitPrice]]/(1+40%)))*MotorPHSales[[#This Row],[Quantity]]</f>
        <v>5905714.2857142854</v>
      </c>
      <c r="Q842" s="44" t="str">
        <f>INDEX(CLEANED_MotorPH_Products_List_2!H:H,MATCH(MotorPHSales[[#This Row],[Product]],CLEANED_MotorPH_Products_List_2!$B:$B,0))</f>
        <v>6-speed</v>
      </c>
    </row>
    <row r="843" spans="1:17" ht="15.75" x14ac:dyDescent="0.3">
      <c r="A843" s="43">
        <v>45813</v>
      </c>
      <c r="B843" s="44" t="str">
        <f>TEXT(MotorPHSales[[#This Row],[Date]],"mmmm")</f>
        <v>June</v>
      </c>
      <c r="C843" s="44">
        <f>DAY(MotorPHSales[[#This Row],[Date]])</f>
        <v>5</v>
      </c>
      <c r="D843" s="44">
        <f>YEAR(MotorPHSales[[#This Row],[Date]])</f>
        <v>2025</v>
      </c>
      <c r="E843" s="44" t="s">
        <v>196</v>
      </c>
      <c r="F843" s="44" t="s">
        <v>88</v>
      </c>
      <c r="G843" s="45">
        <v>599000</v>
      </c>
      <c r="H843" s="44">
        <v>34</v>
      </c>
      <c r="I843" s="45">
        <v>20366000</v>
      </c>
      <c r="J843" s="44" t="s">
        <v>198</v>
      </c>
      <c r="K843" s="44" t="str">
        <f>INDEX(CLEANED_MotorPH_Products_List_2!C:C,MATCH(MotorPHSales[[#This Row],[Product]],CLEANED_MotorPH_Products_List_2!$B:$B,0))</f>
        <v>Naked bike</v>
      </c>
      <c r="L843" s="44" t="str">
        <f>INDEX(CLEANED_MotorPH_Products_List_2!E:E,MATCH(MotorPHSales[[#This Row],[Product]],CLEANED_MotorPH_Products_List_2!$B:$B,0))</f>
        <v>Parallel-twin</v>
      </c>
      <c r="M843" s="44" t="str">
        <f>INDEX(CLEANED_MotorPH_Products_List_2!F:F,MATCH(MotorPHSales[[#This Row],[Product]],CLEANED_MotorPH_Products_List_2!$B:$B,0))</f>
        <v>liquid-cooled</v>
      </c>
      <c r="N843" s="44" t="str">
        <f>INDEX(CLEANED_MotorPH_Products_List_2!G:G,MATCH(MotorPHSales[[#This Row],[Product]],CLEANED_MotorPH_Products_List_2!$B:$B,0))</f>
        <v>799cc</v>
      </c>
      <c r="O843" s="44" t="str">
        <f>INDEX(CLEANED_MotorPH_Products_List_2!K:K,MATCH(MotorPHSales[[#This Row],[Product]],CLEANED_MotorPH_Products_List_2!B:B,0))</f>
        <v>Premium</v>
      </c>
      <c r="P843" s="45">
        <f>IF(MotorPHSales[[#This Row],[Segment]]="Entry-level",MotorPHSales[[#This Row],[UnitPrice]]/(1+30%),IF(MotorPHSales[[#This Row],[Segment]]="Mid-range",MotorPHSales[[#This Row],[UnitPrice]]/(1+35%),MotorPHSales[[#This Row],[UnitPrice]]/(1+40%)))*MotorPHSales[[#This Row],[Quantity]]</f>
        <v>14547142.857142858</v>
      </c>
      <c r="Q843" s="44" t="str">
        <f>INDEX(CLEANED_MotorPH_Products_List_2!H:H,MATCH(MotorPHSales[[#This Row],[Product]],CLEANED_MotorPH_Products_List_2!$B:$B,0))</f>
        <v>6-speed</v>
      </c>
    </row>
    <row r="844" spans="1:17" ht="15.75" x14ac:dyDescent="0.3">
      <c r="A844" s="43">
        <v>45820</v>
      </c>
      <c r="B844" s="44" t="str">
        <f>TEXT(MotorPHSales[[#This Row],[Date]],"mmmm")</f>
        <v>June</v>
      </c>
      <c r="C844" s="44">
        <f>DAY(MotorPHSales[[#This Row],[Date]])</f>
        <v>12</v>
      </c>
      <c r="D844" s="44">
        <f>YEAR(MotorPHSales[[#This Row],[Date]])</f>
        <v>2025</v>
      </c>
      <c r="E844" s="44" t="s">
        <v>196</v>
      </c>
      <c r="F844" s="44" t="s">
        <v>97</v>
      </c>
      <c r="G844" s="45">
        <v>269000</v>
      </c>
      <c r="H844" s="44">
        <v>17</v>
      </c>
      <c r="I844" s="45">
        <v>4573000</v>
      </c>
      <c r="J844" s="44" t="s">
        <v>197</v>
      </c>
      <c r="K844" s="44" t="str">
        <f>INDEX(CLEANED_MotorPH_Products_List_2!C:C,MATCH(MotorPHSales[[#This Row],[Product]],CLEANED_MotorPH_Products_List_2!$B:$B,0))</f>
        <v>Cafe racer</v>
      </c>
      <c r="L844" s="44" t="str">
        <f>INDEX(CLEANED_MotorPH_Products_List_2!E:E,MATCH(MotorPHSales[[#This Row],[Product]],CLEANED_MotorPH_Products_List_2!$B:$B,0))</f>
        <v>Single cylinder</v>
      </c>
      <c r="M844" s="44" t="str">
        <f>INDEX(CLEANED_MotorPH_Products_List_2!F:F,MATCH(MotorPHSales[[#This Row],[Product]],CLEANED_MotorPH_Products_List_2!$B:$B,0))</f>
        <v>liquid-cooled</v>
      </c>
      <c r="N844" s="44" t="str">
        <f>INDEX(CLEANED_MotorPH_Products_List_2!G:G,MATCH(MotorPHSales[[#This Row],[Product]],CLEANED_MotorPH_Products_List_2!$B:$B,0))</f>
        <v>348cc</v>
      </c>
      <c r="O844" s="44" t="str">
        <f>INDEX(CLEANED_MotorPH_Products_List_2!K:K,MATCH(MotorPHSales[[#This Row],[Product]],CLEANED_MotorPH_Products_List_2!B:B,0))</f>
        <v>Mid-range</v>
      </c>
      <c r="P844" s="45">
        <f>IF(MotorPHSales[[#This Row],[Segment]]="Entry-level",MotorPHSales[[#This Row],[UnitPrice]]/(1+30%),IF(MotorPHSales[[#This Row],[Segment]]="Mid-range",MotorPHSales[[#This Row],[UnitPrice]]/(1+35%),MotorPHSales[[#This Row],[UnitPrice]]/(1+40%)))*MotorPHSales[[#This Row],[Quantity]]</f>
        <v>3387407.4074074072</v>
      </c>
      <c r="Q844" s="44" t="str">
        <f>INDEX(CLEANED_MotorPH_Products_List_2!H:H,MATCH(MotorPHSales[[#This Row],[Product]],CLEANED_MotorPH_Products_List_2!$B:$B,0))</f>
        <v>6-speed</v>
      </c>
    </row>
    <row r="845" spans="1:17" ht="15.75" x14ac:dyDescent="0.3">
      <c r="A845" s="43">
        <v>45898</v>
      </c>
      <c r="B845" s="44" t="str">
        <f>TEXT(MotorPHSales[[#This Row],[Date]],"mmmm")</f>
        <v>August</v>
      </c>
      <c r="C845" s="44">
        <f>DAY(MotorPHSales[[#This Row],[Date]])</f>
        <v>29</v>
      </c>
      <c r="D845" s="44">
        <f>YEAR(MotorPHSales[[#This Row],[Date]])</f>
        <v>2025</v>
      </c>
      <c r="E845" s="44" t="s">
        <v>194</v>
      </c>
      <c r="F845" s="44" t="s">
        <v>57</v>
      </c>
      <c r="G845" s="45">
        <v>125900</v>
      </c>
      <c r="H845" s="44">
        <v>8</v>
      </c>
      <c r="I845" s="45">
        <v>1007200</v>
      </c>
      <c r="J845" s="44" t="s">
        <v>198</v>
      </c>
      <c r="K845" s="44" t="str">
        <f>INDEX(CLEANED_MotorPH_Products_List_2!C:C,MATCH(MotorPHSales[[#This Row],[Product]],CLEANED_MotorPH_Products_List_2!$B:$B,0))</f>
        <v>Underbone</v>
      </c>
      <c r="L845" s="44" t="str">
        <f>INDEX(CLEANED_MotorPH_Products_List_2!E:E,MATCH(MotorPHSales[[#This Row],[Product]],CLEANED_MotorPH_Products_List_2!$B:$B,0))</f>
        <v>Single cylinder</v>
      </c>
      <c r="M845" s="44" t="str">
        <f>INDEX(CLEANED_MotorPH_Products_List_2!F:F,MATCH(MotorPHSales[[#This Row],[Product]],CLEANED_MotorPH_Products_List_2!$B:$B,0))</f>
        <v>liquid-cooled</v>
      </c>
      <c r="N845" s="44" t="str">
        <f>INDEX(CLEANED_MotorPH_Products_List_2!G:G,MATCH(MotorPHSales[[#This Row],[Product]],CLEANED_MotorPH_Products_List_2!$B:$B,0))</f>
        <v>155cc</v>
      </c>
      <c r="O845" s="44" t="str">
        <f>INDEX(CLEANED_MotorPH_Products_List_2!K:K,MATCH(MotorPHSales[[#This Row],[Product]],CLEANED_MotorPH_Products_List_2!B:B,0))</f>
        <v>Entry-level</v>
      </c>
      <c r="P845" s="45">
        <f>IF(MotorPHSales[[#This Row],[Segment]]="Entry-level",MotorPHSales[[#This Row],[UnitPrice]]/(1+30%),IF(MotorPHSales[[#This Row],[Segment]]="Mid-range",MotorPHSales[[#This Row],[UnitPrice]]/(1+35%),MotorPHSales[[#This Row],[UnitPrice]]/(1+40%)))*MotorPHSales[[#This Row],[Quantity]]</f>
        <v>774769.23076923075</v>
      </c>
      <c r="Q845" s="44" t="str">
        <f>INDEX(CLEANED_MotorPH_Products_List_2!H:H,MATCH(MotorPHSales[[#This Row],[Product]],CLEANED_MotorPH_Products_List_2!$B:$B,0))</f>
        <v>6-speed</v>
      </c>
    </row>
    <row r="846" spans="1:17" ht="15.75" x14ac:dyDescent="0.3">
      <c r="A846" s="43">
        <v>45854</v>
      </c>
      <c r="B846" s="44" t="str">
        <f>TEXT(MotorPHSales[[#This Row],[Date]],"mmmm")</f>
        <v>July</v>
      </c>
      <c r="C846" s="44">
        <f>DAY(MotorPHSales[[#This Row],[Date]])</f>
        <v>16</v>
      </c>
      <c r="D846" s="44">
        <f>YEAR(MotorPHSales[[#This Row],[Date]])</f>
        <v>2025</v>
      </c>
      <c r="E846" s="44" t="s">
        <v>194</v>
      </c>
      <c r="F846" s="44" t="s">
        <v>12</v>
      </c>
      <c r="G846" s="45">
        <v>119900</v>
      </c>
      <c r="H846" s="44">
        <v>4</v>
      </c>
      <c r="I846" s="45">
        <v>479600</v>
      </c>
      <c r="J846" s="44" t="s">
        <v>197</v>
      </c>
      <c r="K846" s="44" t="str">
        <f>INDEX(CLEANED_MotorPH_Products_List_2!C:C,MATCH(MotorPHSales[[#This Row],[Product]],CLEANED_MotorPH_Products_List_2!$B:$B,0))</f>
        <v>Underbone</v>
      </c>
      <c r="L846" s="44" t="str">
        <f>INDEX(CLEANED_MotorPH_Products_List_2!E:E,MATCH(MotorPHSales[[#This Row],[Product]],CLEANED_MotorPH_Products_List_2!$B:$B,0))</f>
        <v>Single cylinder</v>
      </c>
      <c r="M846" s="44" t="str">
        <f>INDEX(CLEANED_MotorPH_Products_List_2!F:F,MATCH(MotorPHSales[[#This Row],[Product]],CLEANED_MotorPH_Products_List_2!$B:$B,0))</f>
        <v>liquid-cooled</v>
      </c>
      <c r="N846" s="44" t="str">
        <f>INDEX(CLEANED_MotorPH_Products_List_2!G:G,MATCH(MotorPHSales[[#This Row],[Product]],CLEANED_MotorPH_Products_List_2!$B:$B,0))</f>
        <v>150cc</v>
      </c>
      <c r="O846" s="44" t="str">
        <f>INDEX(CLEANED_MotorPH_Products_List_2!K:K,MATCH(MotorPHSales[[#This Row],[Product]],CLEANED_MotorPH_Products_List_2!B:B,0))</f>
        <v>Entry-level</v>
      </c>
      <c r="P846" s="45">
        <f>IF(MotorPHSales[[#This Row],[Segment]]="Entry-level",MotorPHSales[[#This Row],[UnitPrice]]/(1+30%),IF(MotorPHSales[[#This Row],[Segment]]="Mid-range",MotorPHSales[[#This Row],[UnitPrice]]/(1+35%),MotorPHSales[[#This Row],[UnitPrice]]/(1+40%)))*MotorPHSales[[#This Row],[Quantity]]</f>
        <v>368923.07692307694</v>
      </c>
      <c r="Q846" s="44" t="str">
        <f>INDEX(CLEANED_MotorPH_Products_List_2!H:H,MATCH(MotorPHSales[[#This Row],[Product]],CLEANED_MotorPH_Products_List_2!$B:$B,0))</f>
        <v>6-speed</v>
      </c>
    </row>
    <row r="847" spans="1:17" ht="15.75" x14ac:dyDescent="0.3">
      <c r="A847" s="43">
        <v>45842</v>
      </c>
      <c r="B847" s="44" t="str">
        <f>TEXT(MotorPHSales[[#This Row],[Date]],"mmmm")</f>
        <v>July</v>
      </c>
      <c r="C847" s="44">
        <f>DAY(MotorPHSales[[#This Row],[Date]])</f>
        <v>4</v>
      </c>
      <c r="D847" s="44">
        <f>YEAR(MotorPHSales[[#This Row],[Date]])</f>
        <v>2025</v>
      </c>
      <c r="E847" s="44" t="s">
        <v>194</v>
      </c>
      <c r="F847" s="44" t="s">
        <v>30</v>
      </c>
      <c r="G847" s="45">
        <v>79900</v>
      </c>
      <c r="H847" s="44">
        <v>9</v>
      </c>
      <c r="I847" s="45">
        <v>719100</v>
      </c>
      <c r="J847" s="44" t="s">
        <v>195</v>
      </c>
      <c r="K847" s="44" t="str">
        <f>INDEX(CLEANED_MotorPH_Products_List_2!C:C,MATCH(MotorPHSales[[#This Row],[Product]],CLEANED_MotorPH_Products_List_2!$B:$B,0))</f>
        <v>Scooter</v>
      </c>
      <c r="L847" s="44" t="str">
        <f>INDEX(CLEANED_MotorPH_Products_List_2!E:E,MATCH(MotorPHSales[[#This Row],[Product]],CLEANED_MotorPH_Products_List_2!$B:$B,0))</f>
        <v>Single cylinder</v>
      </c>
      <c r="M847" s="44" t="str">
        <f>INDEX(CLEANED_MotorPH_Products_List_2!F:F,MATCH(MotorPHSales[[#This Row],[Product]],CLEANED_MotorPH_Products_List_2!$B:$B,0))</f>
        <v>air-cooled</v>
      </c>
      <c r="N847" s="44" t="str">
        <f>INDEX(CLEANED_MotorPH_Products_List_2!G:G,MATCH(MotorPHSales[[#This Row],[Product]],CLEANED_MotorPH_Products_List_2!$B:$B,0))</f>
        <v>124cc</v>
      </c>
      <c r="O847" s="44" t="str">
        <f>INDEX(CLEANED_MotorPH_Products_List_2!K:K,MATCH(MotorPHSales[[#This Row],[Product]],CLEANED_MotorPH_Products_List_2!B:B,0))</f>
        <v>Entry-level</v>
      </c>
      <c r="P847" s="45">
        <f>IF(MotorPHSales[[#This Row],[Segment]]="Entry-level",MotorPHSales[[#This Row],[UnitPrice]]/(1+30%),IF(MotorPHSales[[#This Row],[Segment]]="Mid-range",MotorPHSales[[#This Row],[UnitPrice]]/(1+35%),MotorPHSales[[#This Row],[UnitPrice]]/(1+40%)))*MotorPHSales[[#This Row],[Quantity]]</f>
        <v>553153.84615384613</v>
      </c>
      <c r="Q847" s="44" t="str">
        <f>INDEX(CLEANED_MotorPH_Products_List_2!H:H,MATCH(MotorPHSales[[#This Row],[Product]],CLEANED_MotorPH_Products_List_2!$B:$B,0))</f>
        <v>CVT</v>
      </c>
    </row>
    <row r="848" spans="1:17" ht="15.75" x14ac:dyDescent="0.3">
      <c r="A848" s="43">
        <v>45857</v>
      </c>
      <c r="B848" s="44" t="str">
        <f>TEXT(MotorPHSales[[#This Row],[Date]],"mmmm")</f>
        <v>July</v>
      </c>
      <c r="C848" s="44">
        <f>DAY(MotorPHSales[[#This Row],[Date]])</f>
        <v>19</v>
      </c>
      <c r="D848" s="44">
        <f>YEAR(MotorPHSales[[#This Row],[Date]])</f>
        <v>2025</v>
      </c>
      <c r="E848" s="44" t="s">
        <v>194</v>
      </c>
      <c r="F848" s="44" t="s">
        <v>6</v>
      </c>
      <c r="G848" s="45">
        <v>389000</v>
      </c>
      <c r="H848" s="44">
        <v>16</v>
      </c>
      <c r="I848" s="45">
        <v>6224000</v>
      </c>
      <c r="J848" s="44" t="s">
        <v>198</v>
      </c>
      <c r="K848" s="44" t="str">
        <f>INDEX(CLEANED_MotorPH_Products_List_2!C:C,MATCH(MotorPHSales[[#This Row],[Product]],CLEANED_MotorPH_Products_List_2!$B:$B,0))</f>
        <v>Sport</v>
      </c>
      <c r="L848" s="44" t="str">
        <f>INDEX(CLEANED_MotorPH_Products_List_2!E:E,MATCH(MotorPHSales[[#This Row],[Product]],CLEANED_MotorPH_Products_List_2!$B:$B,0))</f>
        <v>Parallel-twin</v>
      </c>
      <c r="M848" s="44" t="str">
        <f>INDEX(CLEANED_MotorPH_Products_List_2!F:F,MATCH(MotorPHSales[[#This Row],[Product]],CLEANED_MotorPH_Products_List_2!$B:$B,0))</f>
        <v>liquid-cooled</v>
      </c>
      <c r="N848" s="44" t="str">
        <f>INDEX(CLEANED_MotorPH_Products_List_2!G:G,MATCH(MotorPHSales[[#This Row],[Product]],CLEANED_MotorPH_Products_List_2!$B:$B,0))</f>
        <v>471cc</v>
      </c>
      <c r="O848" s="44" t="str">
        <f>INDEX(CLEANED_MotorPH_Products_List_2!K:K,MATCH(MotorPHSales[[#This Row],[Product]],CLEANED_MotorPH_Products_List_2!B:B,0))</f>
        <v>Mid-range</v>
      </c>
      <c r="P848" s="45">
        <f>IF(MotorPHSales[[#This Row],[Segment]]="Entry-level",MotorPHSales[[#This Row],[UnitPrice]]/(1+30%),IF(MotorPHSales[[#This Row],[Segment]]="Mid-range",MotorPHSales[[#This Row],[UnitPrice]]/(1+35%),MotorPHSales[[#This Row],[UnitPrice]]/(1+40%)))*MotorPHSales[[#This Row],[Quantity]]</f>
        <v>4610370.3703703703</v>
      </c>
      <c r="Q848" s="44" t="str">
        <f>INDEX(CLEANED_MotorPH_Products_List_2!H:H,MATCH(MotorPHSales[[#This Row],[Product]],CLEANED_MotorPH_Products_List_2!$B:$B,0))</f>
        <v>6-speed</v>
      </c>
    </row>
    <row r="849" spans="1:17" ht="15.75" x14ac:dyDescent="0.3">
      <c r="A849" s="43">
        <v>45886</v>
      </c>
      <c r="B849" s="44" t="str">
        <f>TEXT(MotorPHSales[[#This Row],[Date]],"mmmm")</f>
        <v>August</v>
      </c>
      <c r="C849" s="44">
        <f>DAY(MotorPHSales[[#This Row],[Date]])</f>
        <v>17</v>
      </c>
      <c r="D849" s="44">
        <f>YEAR(MotorPHSales[[#This Row],[Date]])</f>
        <v>2025</v>
      </c>
      <c r="E849" s="44" t="s">
        <v>194</v>
      </c>
      <c r="F849" s="44" t="s">
        <v>80</v>
      </c>
      <c r="G849" s="45">
        <v>398000</v>
      </c>
      <c r="H849" s="44">
        <v>17</v>
      </c>
      <c r="I849" s="45">
        <v>6766000</v>
      </c>
      <c r="J849" s="44" t="s">
        <v>197</v>
      </c>
      <c r="K849" s="44" t="str">
        <f>INDEX(CLEANED_MotorPH_Products_List_2!C:C,MATCH(MotorPHSales[[#This Row],[Product]],CLEANED_MotorPH_Products_List_2!$B:$B,0))</f>
        <v>Scooter</v>
      </c>
      <c r="L849" s="44" t="str">
        <f>INDEX(CLEANED_MotorPH_Products_List_2!E:E,MATCH(MotorPHSales[[#This Row],[Product]],CLEANED_MotorPH_Products_List_2!$B:$B,0))</f>
        <v>Single cylinder</v>
      </c>
      <c r="M849" s="44" t="str">
        <f>INDEX(CLEANED_MotorPH_Products_List_2!F:F,MATCH(MotorPHSales[[#This Row],[Product]],CLEANED_MotorPH_Products_List_2!$B:$B,0))</f>
        <v>liquid-cooled</v>
      </c>
      <c r="N849" s="44" t="str">
        <f>INDEX(CLEANED_MotorPH_Products_List_2!G:G,MATCH(MotorPHSales[[#This Row],[Product]],CLEANED_MotorPH_Products_List_2!$B:$B,0))</f>
        <v>278cc</v>
      </c>
      <c r="O849" s="44" t="str">
        <f>INDEX(CLEANED_MotorPH_Products_List_2!K:K,MATCH(MotorPHSales[[#This Row],[Product]],CLEANED_MotorPH_Products_List_2!B:B,0))</f>
        <v>Mid-range</v>
      </c>
      <c r="P849" s="45">
        <f>IF(MotorPHSales[[#This Row],[Segment]]="Entry-level",MotorPHSales[[#This Row],[UnitPrice]]/(1+30%),IF(MotorPHSales[[#This Row],[Segment]]="Mid-range",MotorPHSales[[#This Row],[UnitPrice]]/(1+35%),MotorPHSales[[#This Row],[UnitPrice]]/(1+40%)))*MotorPHSales[[#This Row],[Quantity]]</f>
        <v>5011851.8518518507</v>
      </c>
      <c r="Q849" s="44" t="str">
        <f>INDEX(CLEANED_MotorPH_Products_List_2!H:H,MATCH(MotorPHSales[[#This Row],[Product]],CLEANED_MotorPH_Products_List_2!$B:$B,0))</f>
        <v>CVT</v>
      </c>
    </row>
    <row r="850" spans="1:17" ht="15.75" x14ac:dyDescent="0.3">
      <c r="A850" s="43">
        <v>45898</v>
      </c>
      <c r="B850" s="44" t="str">
        <f>TEXT(MotorPHSales[[#This Row],[Date]],"mmmm")</f>
        <v>August</v>
      </c>
      <c r="C850" s="44">
        <f>DAY(MotorPHSales[[#This Row],[Date]])</f>
        <v>29</v>
      </c>
      <c r="D850" s="44">
        <f>YEAR(MotorPHSales[[#This Row],[Date]])</f>
        <v>2025</v>
      </c>
      <c r="E850" s="44" t="s">
        <v>196</v>
      </c>
      <c r="F850" s="44" t="s">
        <v>49</v>
      </c>
      <c r="G850" s="45">
        <v>68900</v>
      </c>
      <c r="H850" s="44">
        <v>29</v>
      </c>
      <c r="I850" s="45">
        <v>1998100</v>
      </c>
      <c r="J850" s="44" t="s">
        <v>195</v>
      </c>
      <c r="K850" s="44" t="str">
        <f>INDEX(CLEANED_MotorPH_Products_List_2!C:C,MATCH(MotorPHSales[[#This Row],[Product]],CLEANED_MotorPH_Products_List_2!$B:$B,0))</f>
        <v>Standard</v>
      </c>
      <c r="L850" s="44" t="str">
        <f>INDEX(CLEANED_MotorPH_Products_List_2!E:E,MATCH(MotorPHSales[[#This Row],[Product]],CLEANED_MotorPH_Products_List_2!$B:$B,0))</f>
        <v>Single cylinder</v>
      </c>
      <c r="M850" s="44" t="str">
        <f>INDEX(CLEANED_MotorPH_Products_List_2!F:F,MATCH(MotorPHSales[[#This Row],[Product]],CLEANED_MotorPH_Products_List_2!$B:$B,0))</f>
        <v>air-cooled</v>
      </c>
      <c r="N850" s="44" t="str">
        <f>INDEX(CLEANED_MotorPH_Products_List_2!G:G,MATCH(MotorPHSales[[#This Row],[Product]],CLEANED_MotorPH_Products_List_2!$B:$B,0))</f>
        <v>149cc</v>
      </c>
      <c r="O850" s="44" t="str">
        <f>INDEX(CLEANED_MotorPH_Products_List_2!K:K,MATCH(MotorPHSales[[#This Row],[Product]],CLEANED_MotorPH_Products_List_2!B:B,0))</f>
        <v>Entry-level</v>
      </c>
      <c r="P850" s="45">
        <f>IF(MotorPHSales[[#This Row],[Segment]]="Entry-level",MotorPHSales[[#This Row],[UnitPrice]]/(1+30%),IF(MotorPHSales[[#This Row],[Segment]]="Mid-range",MotorPHSales[[#This Row],[UnitPrice]]/(1+35%),MotorPHSales[[#This Row],[UnitPrice]]/(1+40%)))*MotorPHSales[[#This Row],[Quantity]]</f>
        <v>1537000</v>
      </c>
      <c r="Q850" s="44" t="str">
        <f>INDEX(CLEANED_MotorPH_Products_List_2!H:H,MATCH(MotorPHSales[[#This Row],[Product]],CLEANED_MotorPH_Products_List_2!$B:$B,0))</f>
        <v>5-speed</v>
      </c>
    </row>
    <row r="851" spans="1:17" ht="15.75" x14ac:dyDescent="0.3">
      <c r="A851" s="43">
        <v>45853</v>
      </c>
      <c r="B851" s="44" t="str">
        <f>TEXT(MotorPHSales[[#This Row],[Date]],"mmmm")</f>
        <v>July</v>
      </c>
      <c r="C851" s="44">
        <f>DAY(MotorPHSales[[#This Row],[Date]])</f>
        <v>15</v>
      </c>
      <c r="D851" s="44">
        <f>YEAR(MotorPHSales[[#This Row],[Date]])</f>
        <v>2025</v>
      </c>
      <c r="E851" s="44" t="s">
        <v>194</v>
      </c>
      <c r="F851" s="44" t="s">
        <v>92</v>
      </c>
      <c r="G851" s="45">
        <v>289000</v>
      </c>
      <c r="H851" s="44">
        <v>26</v>
      </c>
      <c r="I851" s="45">
        <v>7514000</v>
      </c>
      <c r="J851" s="44" t="s">
        <v>195</v>
      </c>
      <c r="K851" s="44" t="str">
        <f>INDEX(CLEANED_MotorPH_Products_List_2!C:C,MATCH(MotorPHSales[[#This Row],[Product]],CLEANED_MotorPH_Products_List_2!$B:$B,0))</f>
        <v>Scooter</v>
      </c>
      <c r="L851" s="44" t="str">
        <f>INDEX(CLEANED_MotorPH_Products_List_2!E:E,MATCH(MotorPHSales[[#This Row],[Product]],CLEANED_MotorPH_Products_List_2!$B:$B,0))</f>
        <v>Single cylinder</v>
      </c>
      <c r="M851" s="44" t="str">
        <f>INDEX(CLEANED_MotorPH_Products_List_2!F:F,MATCH(MotorPHSales[[#This Row],[Product]],CLEANED_MotorPH_Products_List_2!$B:$B,0))</f>
        <v>liquid-cooled</v>
      </c>
      <c r="N851" s="44" t="str">
        <f>INDEX(CLEANED_MotorPH_Products_List_2!G:G,MATCH(MotorPHSales[[#This Row],[Product]],CLEANED_MotorPH_Products_List_2!$B:$B,0))</f>
        <v>181cc</v>
      </c>
      <c r="O851" s="44" t="str">
        <f>INDEX(CLEANED_MotorPH_Products_List_2!K:K,MATCH(MotorPHSales[[#This Row],[Product]],CLEANED_MotorPH_Products_List_2!B:B,0))</f>
        <v>Entry-level</v>
      </c>
      <c r="P851" s="45">
        <f>IF(MotorPHSales[[#This Row],[Segment]]="Entry-level",MotorPHSales[[#This Row],[UnitPrice]]/(1+30%),IF(MotorPHSales[[#This Row],[Segment]]="Mid-range",MotorPHSales[[#This Row],[UnitPrice]]/(1+35%),MotorPHSales[[#This Row],[UnitPrice]]/(1+40%)))*MotorPHSales[[#This Row],[Quantity]]</f>
        <v>5780000</v>
      </c>
      <c r="Q851" s="44" t="str">
        <f>INDEX(CLEANED_MotorPH_Products_List_2!H:H,MATCH(MotorPHSales[[#This Row],[Product]],CLEANED_MotorPH_Products_List_2!$B:$B,0))</f>
        <v>CVT</v>
      </c>
    </row>
    <row r="852" spans="1:17" ht="15.75" x14ac:dyDescent="0.3">
      <c r="A852" s="43">
        <v>45835</v>
      </c>
      <c r="B852" s="44" t="str">
        <f>TEXT(MotorPHSales[[#This Row],[Date]],"mmmm")</f>
        <v>June</v>
      </c>
      <c r="C852" s="44">
        <f>DAY(MotorPHSales[[#This Row],[Date]])</f>
        <v>27</v>
      </c>
      <c r="D852" s="44">
        <f>YEAR(MotorPHSales[[#This Row],[Date]])</f>
        <v>2025</v>
      </c>
      <c r="E852" s="44" t="s">
        <v>194</v>
      </c>
      <c r="F852" s="44" t="s">
        <v>40</v>
      </c>
      <c r="G852" s="45">
        <v>210000</v>
      </c>
      <c r="H852" s="44">
        <v>16</v>
      </c>
      <c r="I852" s="45">
        <v>3360000</v>
      </c>
      <c r="J852" s="44" t="s">
        <v>197</v>
      </c>
      <c r="K852" s="44" t="str">
        <f>INDEX(CLEANED_MotorPH_Products_List_2!C:C,MATCH(MotorPHSales[[#This Row],[Product]],CLEANED_MotorPH_Products_List_2!$B:$B,0))</f>
        <v>Scooter</v>
      </c>
      <c r="L852" s="44" t="str">
        <f>INDEX(CLEANED_MotorPH_Products_List_2!E:E,MATCH(MotorPHSales[[#This Row],[Product]],CLEANED_MotorPH_Products_List_2!$B:$B,0))</f>
        <v>Single cylinder</v>
      </c>
      <c r="M852" s="44" t="str">
        <f>INDEX(CLEANED_MotorPH_Products_List_2!F:F,MATCH(MotorPHSales[[#This Row],[Product]],CLEANED_MotorPH_Products_List_2!$B:$B,0))</f>
        <v>air-cooled</v>
      </c>
      <c r="N852" s="44" t="str">
        <f>INDEX(CLEANED_MotorPH_Products_List_2!G:G,MATCH(MotorPHSales[[#This Row],[Product]],CLEANED_MotorPH_Products_List_2!$B:$B,0))</f>
        <v>150cc</v>
      </c>
      <c r="O852" s="44" t="str">
        <f>INDEX(CLEANED_MotorPH_Products_List_2!K:K,MATCH(MotorPHSales[[#This Row],[Product]],CLEANED_MotorPH_Products_List_2!B:B,0))</f>
        <v>Entry-level</v>
      </c>
      <c r="P852" s="45">
        <f>IF(MotorPHSales[[#This Row],[Segment]]="Entry-level",MotorPHSales[[#This Row],[UnitPrice]]/(1+30%),IF(MotorPHSales[[#This Row],[Segment]]="Mid-range",MotorPHSales[[#This Row],[UnitPrice]]/(1+35%),MotorPHSales[[#This Row],[UnitPrice]]/(1+40%)))*MotorPHSales[[#This Row],[Quantity]]</f>
        <v>2584615.3846153845</v>
      </c>
      <c r="Q852" s="44" t="str">
        <f>INDEX(CLEANED_MotorPH_Products_List_2!H:H,MATCH(MotorPHSales[[#This Row],[Product]],CLEANED_MotorPH_Products_List_2!$B:$B,0))</f>
        <v>CVT</v>
      </c>
    </row>
    <row r="853" spans="1:17" ht="15.75" x14ac:dyDescent="0.3">
      <c r="A853" s="43">
        <v>45881</v>
      </c>
      <c r="B853" s="44" t="str">
        <f>TEXT(MotorPHSales[[#This Row],[Date]],"mmmm")</f>
        <v>August</v>
      </c>
      <c r="C853" s="44">
        <f>DAY(MotorPHSales[[#This Row],[Date]])</f>
        <v>12</v>
      </c>
      <c r="D853" s="44">
        <f>YEAR(MotorPHSales[[#This Row],[Date]])</f>
        <v>2025</v>
      </c>
      <c r="E853" s="44" t="s">
        <v>194</v>
      </c>
      <c r="F853" s="44" t="s">
        <v>47</v>
      </c>
      <c r="G853" s="45">
        <v>398000</v>
      </c>
      <c r="H853" s="44">
        <v>6</v>
      </c>
      <c r="I853" s="45">
        <v>2388000</v>
      </c>
      <c r="J853" s="44" t="s">
        <v>197</v>
      </c>
      <c r="K853" s="44" t="str">
        <f>INDEX(CLEANED_MotorPH_Products_List_2!C:C,MATCH(MotorPHSales[[#This Row],[Product]],CLEANED_MotorPH_Products_List_2!$B:$B,0))</f>
        <v>Cruiser</v>
      </c>
      <c r="L853" s="44" t="str">
        <f>INDEX(CLEANED_MotorPH_Products_List_2!E:E,MATCH(MotorPHSales[[#This Row],[Product]],CLEANED_MotorPH_Products_List_2!$B:$B,0))</f>
        <v>Parallel-twin</v>
      </c>
      <c r="M853" s="44" t="str">
        <f>INDEX(CLEANED_MotorPH_Products_List_2!F:F,MATCH(MotorPHSales[[#This Row],[Product]],CLEANED_MotorPH_Products_List_2!$B:$B,0))</f>
        <v>liquid-cooled</v>
      </c>
      <c r="N853" s="44" t="str">
        <f>INDEX(CLEANED_MotorPH_Products_List_2!G:G,MATCH(MotorPHSales[[#This Row],[Product]],CLEANED_MotorPH_Products_List_2!$B:$B,0))</f>
        <v>649cc</v>
      </c>
      <c r="O853" s="44" t="str">
        <f>INDEX(CLEANED_MotorPH_Products_List_2!K:K,MATCH(MotorPHSales[[#This Row],[Product]],CLEANED_MotorPH_Products_List_2!B:B,0))</f>
        <v>Premium</v>
      </c>
      <c r="P853" s="45">
        <f>IF(MotorPHSales[[#This Row],[Segment]]="Entry-level",MotorPHSales[[#This Row],[UnitPrice]]/(1+30%),IF(MotorPHSales[[#This Row],[Segment]]="Mid-range",MotorPHSales[[#This Row],[UnitPrice]]/(1+35%),MotorPHSales[[#This Row],[UnitPrice]]/(1+40%)))*MotorPHSales[[#This Row],[Quantity]]</f>
        <v>1705714.2857142859</v>
      </c>
      <c r="Q853" s="44" t="str">
        <f>INDEX(CLEANED_MotorPH_Products_List_2!H:H,MATCH(MotorPHSales[[#This Row],[Product]],CLEANED_MotorPH_Products_List_2!$B:$B,0))</f>
        <v>6-speed</v>
      </c>
    </row>
    <row r="854" spans="1:17" ht="15.75" x14ac:dyDescent="0.3">
      <c r="A854" s="43">
        <v>45834</v>
      </c>
      <c r="B854" s="44" t="str">
        <f>TEXT(MotorPHSales[[#This Row],[Date]],"mmmm")</f>
        <v>June</v>
      </c>
      <c r="C854" s="44">
        <f>DAY(MotorPHSales[[#This Row],[Date]])</f>
        <v>26</v>
      </c>
      <c r="D854" s="44">
        <f>YEAR(MotorPHSales[[#This Row],[Date]])</f>
        <v>2025</v>
      </c>
      <c r="E854" s="44" t="s">
        <v>194</v>
      </c>
      <c r="F854" s="44" t="s">
        <v>84</v>
      </c>
      <c r="G854" s="45">
        <v>995000</v>
      </c>
      <c r="H854" s="44">
        <v>15</v>
      </c>
      <c r="I854" s="45">
        <v>14925000</v>
      </c>
      <c r="J854" s="44" t="s">
        <v>197</v>
      </c>
      <c r="K854" s="44" t="str">
        <f>INDEX(CLEANED_MotorPH_Products_List_2!C:C,MATCH(MotorPHSales[[#This Row],[Product]],CLEANED_MotorPH_Products_List_2!$B:$B,0))</f>
        <v>Heritage</v>
      </c>
      <c r="L854" s="44" t="str">
        <f>INDEX(CLEANED_MotorPH_Products_List_2!E:E,MATCH(MotorPHSales[[#This Row],[Product]],CLEANED_MotorPH_Products_List_2!$B:$B,0))</f>
        <v>Flat twin</v>
      </c>
      <c r="M854" s="44" t="str">
        <f>INDEX(CLEANED_MotorPH_Products_List_2!F:F,MATCH(MotorPHSales[[#This Row],[Product]],CLEANED_MotorPH_Products_List_2!$B:$B,0))</f>
        <v>air</v>
      </c>
      <c r="N854" s="44">
        <f>INDEX(CLEANED_MotorPH_Products_List_2!G:G,MATCH(MotorPHSales[[#This Row],[Product]],CLEANED_MotorPH_Products_List_2!$B:$B,0))</f>
        <v>0</v>
      </c>
      <c r="O854" s="44" t="str">
        <f>INDEX(CLEANED_MotorPH_Products_List_2!K:K,MATCH(MotorPHSales[[#This Row],[Product]],CLEANED_MotorPH_Products_List_2!B:B,0))</f>
        <v>Premium</v>
      </c>
      <c r="P854" s="45">
        <f>IF(MotorPHSales[[#This Row],[Segment]]="Entry-level",MotorPHSales[[#This Row],[UnitPrice]]/(1+30%),IF(MotorPHSales[[#This Row],[Segment]]="Mid-range",MotorPHSales[[#This Row],[UnitPrice]]/(1+35%),MotorPHSales[[#This Row],[UnitPrice]]/(1+40%)))*MotorPHSales[[#This Row],[Quantity]]</f>
        <v>10660714.285714287</v>
      </c>
      <c r="Q854" s="44">
        <f>INDEX(CLEANED_MotorPH_Products_List_2!H:H,MATCH(MotorPHSales[[#This Row],[Product]],CLEANED_MotorPH_Products_List_2!$B:$B,0))</f>
        <v>0</v>
      </c>
    </row>
    <row r="855" spans="1:17" ht="15.75" x14ac:dyDescent="0.3">
      <c r="A855" s="43">
        <v>45855</v>
      </c>
      <c r="B855" s="44" t="str">
        <f>TEXT(MotorPHSales[[#This Row],[Date]],"mmmm")</f>
        <v>July</v>
      </c>
      <c r="C855" s="44">
        <f>DAY(MotorPHSales[[#This Row],[Date]])</f>
        <v>17</v>
      </c>
      <c r="D855" s="44">
        <f>YEAR(MotorPHSales[[#This Row],[Date]])</f>
        <v>2025</v>
      </c>
      <c r="E855" s="44" t="s">
        <v>194</v>
      </c>
      <c r="F855" s="44" t="s">
        <v>76</v>
      </c>
      <c r="G855" s="45">
        <v>369000</v>
      </c>
      <c r="H855" s="44">
        <v>13</v>
      </c>
      <c r="I855" s="45">
        <v>4797000</v>
      </c>
      <c r="J855" s="44" t="s">
        <v>195</v>
      </c>
      <c r="K855" s="44" t="str">
        <f>INDEX(CLEANED_MotorPH_Products_List_2!C:C,MATCH(MotorPHSales[[#This Row],[Product]],CLEANED_MotorPH_Products_List_2!$B:$B,0))</f>
        <v>Adventure</v>
      </c>
      <c r="L855" s="44" t="str">
        <f>INDEX(CLEANED_MotorPH_Products_List_2!E:E,MATCH(MotorPHSales[[#This Row],[Product]],CLEANED_MotorPH_Products_List_2!$B:$B,0))</f>
        <v>Parallel-twin</v>
      </c>
      <c r="M855" s="44" t="str">
        <f>INDEX(CLEANED_MotorPH_Products_List_2!F:F,MATCH(MotorPHSales[[#This Row],[Product]],CLEANED_MotorPH_Products_List_2!$B:$B,0))</f>
        <v>liquid-cooled</v>
      </c>
      <c r="N855" s="44" t="str">
        <f>INDEX(CLEANED_MotorPH_Products_List_2!G:G,MATCH(MotorPHSales[[#This Row],[Product]],CLEANED_MotorPH_Products_List_2!$B:$B,0))</f>
        <v>649cc</v>
      </c>
      <c r="O855" s="44" t="str">
        <f>INDEX(CLEANED_MotorPH_Products_List_2!K:K,MATCH(MotorPHSales[[#This Row],[Product]],CLEANED_MotorPH_Products_List_2!B:B,0))</f>
        <v>Premium</v>
      </c>
      <c r="P855" s="45">
        <f>IF(MotorPHSales[[#This Row],[Segment]]="Entry-level",MotorPHSales[[#This Row],[UnitPrice]]/(1+30%),IF(MotorPHSales[[#This Row],[Segment]]="Mid-range",MotorPHSales[[#This Row],[UnitPrice]]/(1+35%),MotorPHSales[[#This Row],[UnitPrice]]/(1+40%)))*MotorPHSales[[#This Row],[Quantity]]</f>
        <v>3426428.5714285714</v>
      </c>
      <c r="Q855" s="44" t="str">
        <f>INDEX(CLEANED_MotorPH_Products_List_2!H:H,MATCH(MotorPHSales[[#This Row],[Product]],CLEANED_MotorPH_Products_List_2!$B:$B,0))</f>
        <v>6-speed</v>
      </c>
    </row>
    <row r="856" spans="1:17" ht="15.75" x14ac:dyDescent="0.3">
      <c r="A856" s="43">
        <v>45894</v>
      </c>
      <c r="B856" s="44" t="str">
        <f>TEXT(MotorPHSales[[#This Row],[Date]],"mmmm")</f>
        <v>August</v>
      </c>
      <c r="C856" s="44">
        <f>DAY(MotorPHSales[[#This Row],[Date]])</f>
        <v>25</v>
      </c>
      <c r="D856" s="44">
        <f>YEAR(MotorPHSales[[#This Row],[Date]])</f>
        <v>2025</v>
      </c>
      <c r="E856" s="44" t="s">
        <v>196</v>
      </c>
      <c r="F856" s="44" t="s">
        <v>61</v>
      </c>
      <c r="G856" s="45">
        <v>284900</v>
      </c>
      <c r="H856" s="44">
        <v>13</v>
      </c>
      <c r="I856" s="45">
        <v>3703700</v>
      </c>
      <c r="J856" s="44" t="s">
        <v>197</v>
      </c>
      <c r="K856" s="44" t="str">
        <f>INDEX(CLEANED_MotorPH_Products_List_2!C:C,MATCH(MotorPHSales[[#This Row],[Product]],CLEANED_MotorPH_Products_List_2!$B:$B,0))</f>
        <v>Dual-sport</v>
      </c>
      <c r="L856" s="44" t="str">
        <f>INDEX(CLEANED_MotorPH_Products_List_2!E:E,MATCH(MotorPHSales[[#This Row],[Product]],CLEANED_MotorPH_Products_List_2!$B:$B,0))</f>
        <v>Single cylinder</v>
      </c>
      <c r="M856" s="44" t="str">
        <f>INDEX(CLEANED_MotorPH_Products_List_2!F:F,MATCH(MotorPHSales[[#This Row],[Product]],CLEANED_MotorPH_Products_List_2!$B:$B,0))</f>
        <v>liquid-cooled</v>
      </c>
      <c r="N856" s="44" t="str">
        <f>INDEX(CLEANED_MotorPH_Products_List_2!G:G,MATCH(MotorPHSales[[#This Row],[Product]],CLEANED_MotorPH_Products_List_2!$B:$B,0))</f>
        <v>286cc</v>
      </c>
      <c r="O856" s="44" t="str">
        <f>INDEX(CLEANED_MotorPH_Products_List_2!K:K,MATCH(MotorPHSales[[#This Row],[Product]],CLEANED_MotorPH_Products_List_2!B:B,0))</f>
        <v>Mid-range</v>
      </c>
      <c r="P856" s="45">
        <f>IF(MotorPHSales[[#This Row],[Segment]]="Entry-level",MotorPHSales[[#This Row],[UnitPrice]]/(1+30%),IF(MotorPHSales[[#This Row],[Segment]]="Mid-range",MotorPHSales[[#This Row],[UnitPrice]]/(1+35%),MotorPHSales[[#This Row],[UnitPrice]]/(1+40%)))*MotorPHSales[[#This Row],[Quantity]]</f>
        <v>2743481.4814814813</v>
      </c>
      <c r="Q856" s="44" t="str">
        <f>INDEX(CLEANED_MotorPH_Products_List_2!H:H,MATCH(MotorPHSales[[#This Row],[Product]],CLEANED_MotorPH_Products_List_2!$B:$B,0))</f>
        <v>6-speed</v>
      </c>
    </row>
    <row r="857" spans="1:17" ht="15.75" x14ac:dyDescent="0.3">
      <c r="A857" s="43">
        <v>45864</v>
      </c>
      <c r="B857" s="44" t="str">
        <f>TEXT(MotorPHSales[[#This Row],[Date]],"mmmm")</f>
        <v>July</v>
      </c>
      <c r="C857" s="44">
        <f>DAY(MotorPHSales[[#This Row],[Date]])</f>
        <v>26</v>
      </c>
      <c r="D857" s="44">
        <f>YEAR(MotorPHSales[[#This Row],[Date]])</f>
        <v>2025</v>
      </c>
      <c r="E857" s="44" t="s">
        <v>194</v>
      </c>
      <c r="F857" s="44" t="s">
        <v>36</v>
      </c>
      <c r="G857" s="45">
        <v>129000</v>
      </c>
      <c r="H857" s="44">
        <v>7</v>
      </c>
      <c r="I857" s="45">
        <v>903000</v>
      </c>
      <c r="J857" s="44" t="s">
        <v>197</v>
      </c>
      <c r="K857" s="44" t="str">
        <f>INDEX(CLEANED_MotorPH_Products_List_2!C:C,MATCH(MotorPHSales[[#This Row],[Product]],CLEANED_MotorPH_Products_List_2!$B:$B,0))</f>
        <v>Naked bike</v>
      </c>
      <c r="L857" s="44" t="str">
        <f>INDEX(CLEANED_MotorPH_Products_List_2!E:E,MATCH(MotorPHSales[[#This Row],[Product]],CLEANED_MotorPH_Products_List_2!$B:$B,0))</f>
        <v>Single cylinder</v>
      </c>
      <c r="M857" s="44" t="str">
        <f>INDEX(CLEANED_MotorPH_Products_List_2!F:F,MATCH(MotorPHSales[[#This Row],[Product]],CLEANED_MotorPH_Products_List_2!$B:$B,0))</f>
        <v>oil-cooled</v>
      </c>
      <c r="N857" s="44" t="str">
        <f>INDEX(CLEANED_MotorPH_Products_List_2!G:G,MATCH(MotorPHSales[[#This Row],[Product]],CLEANED_MotorPH_Products_List_2!$B:$B,0))</f>
        <v>197cc</v>
      </c>
      <c r="O857" s="44" t="str">
        <f>INDEX(CLEANED_MotorPH_Products_List_2!K:K,MATCH(MotorPHSales[[#This Row],[Product]],CLEANED_MotorPH_Products_List_2!B:B,0))</f>
        <v>Entry-level</v>
      </c>
      <c r="P857" s="45">
        <f>IF(MotorPHSales[[#This Row],[Segment]]="Entry-level",MotorPHSales[[#This Row],[UnitPrice]]/(1+30%),IF(MotorPHSales[[#This Row],[Segment]]="Mid-range",MotorPHSales[[#This Row],[UnitPrice]]/(1+35%),MotorPHSales[[#This Row],[UnitPrice]]/(1+40%)))*MotorPHSales[[#This Row],[Quantity]]</f>
        <v>694615.38461538462</v>
      </c>
      <c r="Q857" s="44" t="str">
        <f>INDEX(CLEANED_MotorPH_Products_List_2!H:H,MATCH(MotorPHSales[[#This Row],[Product]],CLEANED_MotorPH_Products_List_2!$B:$B,0))</f>
        <v>5-speed</v>
      </c>
    </row>
    <row r="858" spans="1:17" ht="15.75" x14ac:dyDescent="0.3">
      <c r="A858" s="43">
        <v>45871</v>
      </c>
      <c r="B858" s="44" t="str">
        <f>TEXT(MotorPHSales[[#This Row],[Date]],"mmmm")</f>
        <v>August</v>
      </c>
      <c r="C858" s="44">
        <f>DAY(MotorPHSales[[#This Row],[Date]])</f>
        <v>2</v>
      </c>
      <c r="D858" s="44">
        <f>YEAR(MotorPHSales[[#This Row],[Date]])</f>
        <v>2025</v>
      </c>
      <c r="E858" s="44" t="s">
        <v>196</v>
      </c>
      <c r="F858" s="44" t="s">
        <v>101</v>
      </c>
      <c r="G858" s="45">
        <v>72900</v>
      </c>
      <c r="H858" s="44">
        <v>13</v>
      </c>
      <c r="I858" s="45">
        <v>947700</v>
      </c>
      <c r="J858" s="44" t="s">
        <v>198</v>
      </c>
      <c r="K858" s="44" t="str">
        <f>INDEX(CLEANED_MotorPH_Products_List_2!C:C,MATCH(MotorPHSales[[#This Row],[Product]],CLEANED_MotorPH_Products_List_2!$B:$B,0))</f>
        <v>Underbone</v>
      </c>
      <c r="L858" s="44" t="str">
        <f>INDEX(CLEANED_MotorPH_Products_List_2!E:E,MATCH(MotorPHSales[[#This Row],[Product]],CLEANED_MotorPH_Products_List_2!$B:$B,0))</f>
        <v>Single cylinder</v>
      </c>
      <c r="M858" s="44" t="str">
        <f>INDEX(CLEANED_MotorPH_Products_List_2!F:F,MATCH(MotorPHSales[[#This Row],[Product]],CLEANED_MotorPH_Products_List_2!$B:$B,0))</f>
        <v>air-cooled</v>
      </c>
      <c r="N858" s="44" t="str">
        <f>INDEX(CLEANED_MotorPH_Products_List_2!G:G,MATCH(MotorPHSales[[#This Row],[Product]],CLEANED_MotorPH_Products_List_2!$B:$B,0))</f>
        <v>150cc</v>
      </c>
      <c r="O858" s="44" t="str">
        <f>INDEX(CLEANED_MotorPH_Products_List_2!K:K,MATCH(MotorPHSales[[#This Row],[Product]],CLEANED_MotorPH_Products_List_2!B:B,0))</f>
        <v>Entry-level</v>
      </c>
      <c r="P858" s="45">
        <f>IF(MotorPHSales[[#This Row],[Segment]]="Entry-level",MotorPHSales[[#This Row],[UnitPrice]]/(1+30%),IF(MotorPHSales[[#This Row],[Segment]]="Mid-range",MotorPHSales[[#This Row],[UnitPrice]]/(1+35%),MotorPHSales[[#This Row],[UnitPrice]]/(1+40%)))*MotorPHSales[[#This Row],[Quantity]]</f>
        <v>729000</v>
      </c>
      <c r="Q858" s="44" t="str">
        <f>INDEX(CLEANED_MotorPH_Products_List_2!H:H,MATCH(MotorPHSales[[#This Row],[Product]],CLEANED_MotorPH_Products_List_2!$B:$B,0))</f>
        <v>CVT</v>
      </c>
    </row>
    <row r="859" spans="1:17" ht="15.75" x14ac:dyDescent="0.3">
      <c r="A859" s="43">
        <v>45856</v>
      </c>
      <c r="B859" s="44" t="str">
        <f>TEXT(MotorPHSales[[#This Row],[Date]],"mmmm")</f>
        <v>July</v>
      </c>
      <c r="C859" s="44">
        <f>DAY(MotorPHSales[[#This Row],[Date]])</f>
        <v>18</v>
      </c>
      <c r="D859" s="44">
        <f>YEAR(MotorPHSales[[#This Row],[Date]])</f>
        <v>2025</v>
      </c>
      <c r="E859" s="44" t="s">
        <v>196</v>
      </c>
      <c r="F859" s="44" t="s">
        <v>74</v>
      </c>
      <c r="G859" s="45">
        <v>349000</v>
      </c>
      <c r="H859" s="44">
        <v>18</v>
      </c>
      <c r="I859" s="45">
        <v>6282000</v>
      </c>
      <c r="J859" s="44" t="s">
        <v>197</v>
      </c>
      <c r="K859" s="44" t="str">
        <f>INDEX(CLEANED_MotorPH_Products_List_2!C:C,MATCH(MotorPHSales[[#This Row],[Product]],CLEANED_MotorPH_Products_List_2!$B:$B,0))</f>
        <v>Cruiser</v>
      </c>
      <c r="L859" s="44" t="str">
        <f>INDEX(CLEANED_MotorPH_Products_List_2!E:E,MATCH(MotorPHSales[[#This Row],[Product]],CLEANED_MotorPH_Products_List_2!$B:$B,0))</f>
        <v>Parallel-twin</v>
      </c>
      <c r="M859" s="44" t="str">
        <f>INDEX(CLEANED_MotorPH_Products_List_2!F:F,MATCH(MotorPHSales[[#This Row],[Product]],CLEANED_MotorPH_Products_List_2!$B:$B,0))</f>
        <v>liquid-cooled</v>
      </c>
      <c r="N859" s="44" t="str">
        <f>INDEX(CLEANED_MotorPH_Products_List_2!G:G,MATCH(MotorPHSales[[#This Row],[Product]],CLEANED_MotorPH_Products_List_2!$B:$B,0))</f>
        <v>500cc</v>
      </c>
      <c r="O859" s="44" t="str">
        <f>INDEX(CLEANED_MotorPH_Products_List_2!K:K,MATCH(MotorPHSales[[#This Row],[Product]],CLEANED_MotorPH_Products_List_2!B:B,0))</f>
        <v>Mid-range</v>
      </c>
      <c r="P859" s="45">
        <f>IF(MotorPHSales[[#This Row],[Segment]]="Entry-level",MotorPHSales[[#This Row],[UnitPrice]]/(1+30%),IF(MotorPHSales[[#This Row],[Segment]]="Mid-range",MotorPHSales[[#This Row],[UnitPrice]]/(1+35%),MotorPHSales[[#This Row],[UnitPrice]]/(1+40%)))*MotorPHSales[[#This Row],[Quantity]]</f>
        <v>4653333.333333333</v>
      </c>
      <c r="Q859" s="44" t="str">
        <f>INDEX(CLEANED_MotorPH_Products_List_2!H:H,MATCH(MotorPHSales[[#This Row],[Product]],CLEANED_MotorPH_Products_List_2!$B:$B,0))</f>
        <v>6-speed</v>
      </c>
    </row>
    <row r="860" spans="1:17" ht="15.75" x14ac:dyDescent="0.3">
      <c r="A860" s="43">
        <v>45869</v>
      </c>
      <c r="B860" s="44" t="str">
        <f>TEXT(MotorPHSales[[#This Row],[Date]],"mmmm")</f>
        <v>July</v>
      </c>
      <c r="C860" s="44">
        <f>DAY(MotorPHSales[[#This Row],[Date]])</f>
        <v>31</v>
      </c>
      <c r="D860" s="44">
        <f>YEAR(MotorPHSales[[#This Row],[Date]])</f>
        <v>2025</v>
      </c>
      <c r="E860" s="44" t="s">
        <v>196</v>
      </c>
      <c r="F860" s="44" t="s">
        <v>42</v>
      </c>
      <c r="G860" s="45">
        <v>125000</v>
      </c>
      <c r="H860" s="44">
        <v>19</v>
      </c>
      <c r="I860" s="45">
        <v>2375000</v>
      </c>
      <c r="J860" s="44" t="s">
        <v>197</v>
      </c>
      <c r="K860" s="44" t="str">
        <f>INDEX(CLEANED_MotorPH_Products_List_2!C:C,MATCH(MotorPHSales[[#This Row],[Product]],CLEANED_MotorPH_Products_List_2!$B:$B,0))</f>
        <v>Naked bike</v>
      </c>
      <c r="L860" s="44" t="str">
        <f>INDEX(CLEANED_MotorPH_Products_List_2!E:E,MATCH(MotorPHSales[[#This Row],[Product]],CLEANED_MotorPH_Products_List_2!$B:$B,0))</f>
        <v>Single cylinder</v>
      </c>
      <c r="M860" s="44" t="str">
        <f>INDEX(CLEANED_MotorPH_Products_List_2!F:F,MATCH(MotorPHSales[[#This Row],[Product]],CLEANED_MotorPH_Products_List_2!$B:$B,0))</f>
        <v>liquid-cooled</v>
      </c>
      <c r="N860" s="44" t="str">
        <f>INDEX(CLEANED_MotorPH_Products_List_2!G:G,MATCH(MotorPHSales[[#This Row],[Product]],CLEANED_MotorPH_Products_List_2!$B:$B,0))</f>
        <v>147cc</v>
      </c>
      <c r="O860" s="44" t="str">
        <f>INDEX(CLEANED_MotorPH_Products_List_2!K:K,MATCH(MotorPHSales[[#This Row],[Product]],CLEANED_MotorPH_Products_List_2!B:B,0))</f>
        <v>Entry-level</v>
      </c>
      <c r="P860" s="45">
        <f>IF(MotorPHSales[[#This Row],[Segment]]="Entry-level",MotorPHSales[[#This Row],[UnitPrice]]/(1+30%),IF(MotorPHSales[[#This Row],[Segment]]="Mid-range",MotorPHSales[[#This Row],[UnitPrice]]/(1+35%),MotorPHSales[[#This Row],[UnitPrice]]/(1+40%)))*MotorPHSales[[#This Row],[Quantity]]</f>
        <v>1826923.076923077</v>
      </c>
      <c r="Q860" s="44" t="str">
        <f>INDEX(CLEANED_MotorPH_Products_List_2!H:H,MATCH(MotorPHSales[[#This Row],[Product]],CLEANED_MotorPH_Products_List_2!$B:$B,0))</f>
        <v>6-speed</v>
      </c>
    </row>
    <row r="861" spans="1:17" ht="15.75" x14ac:dyDescent="0.3">
      <c r="A861" s="43">
        <v>45889</v>
      </c>
      <c r="B861" s="44" t="str">
        <f>TEXT(MotorPHSales[[#This Row],[Date]],"mmmm")</f>
        <v>August</v>
      </c>
      <c r="C861" s="44">
        <f>DAY(MotorPHSales[[#This Row],[Date]])</f>
        <v>20</v>
      </c>
      <c r="D861" s="44">
        <f>YEAR(MotorPHSales[[#This Row],[Date]])</f>
        <v>2025</v>
      </c>
      <c r="E861" s="44" t="s">
        <v>194</v>
      </c>
      <c r="F861" s="44" t="s">
        <v>72</v>
      </c>
      <c r="G861" s="45">
        <v>319000</v>
      </c>
      <c r="H861" s="44">
        <v>4</v>
      </c>
      <c r="I861" s="45">
        <v>1276000</v>
      </c>
      <c r="J861" s="44" t="s">
        <v>198</v>
      </c>
      <c r="K861" s="44" t="str">
        <f>INDEX(CLEANED_MotorPH_Products_List_2!C:C,MATCH(MotorPHSales[[#This Row],[Product]],CLEANED_MotorPH_Products_List_2!$B:$B,0))</f>
        <v>Scooter</v>
      </c>
      <c r="L861" s="44" t="str">
        <f>INDEX(CLEANED_MotorPH_Products_List_2!E:E,MATCH(MotorPHSales[[#This Row],[Product]],CLEANED_MotorPH_Products_List_2!$B:$B,0))</f>
        <v>Single cylinder</v>
      </c>
      <c r="M861" s="44" t="str">
        <f>INDEX(CLEANED_MotorPH_Products_List_2!F:F,MATCH(MotorPHSales[[#This Row],[Product]],CLEANED_MotorPH_Products_List_2!$B:$B,0))</f>
        <v>liquid-cooled</v>
      </c>
      <c r="N861" s="44" t="str">
        <f>INDEX(CLEANED_MotorPH_Products_List_2!G:G,MATCH(MotorPHSales[[#This Row],[Product]],CLEANED_MotorPH_Products_List_2!$B:$B,0))</f>
        <v>292cc</v>
      </c>
      <c r="O861" s="44" t="str">
        <f>INDEX(CLEANED_MotorPH_Products_List_2!K:K,MATCH(MotorPHSales[[#This Row],[Product]],CLEANED_MotorPH_Products_List_2!B:B,0))</f>
        <v>Mid-range</v>
      </c>
      <c r="P861" s="45">
        <f>IF(MotorPHSales[[#This Row],[Segment]]="Entry-level",MotorPHSales[[#This Row],[UnitPrice]]/(1+30%),IF(MotorPHSales[[#This Row],[Segment]]="Mid-range",MotorPHSales[[#This Row],[UnitPrice]]/(1+35%),MotorPHSales[[#This Row],[UnitPrice]]/(1+40%)))*MotorPHSales[[#This Row],[Quantity]]</f>
        <v>945185.18518518517</v>
      </c>
      <c r="Q861" s="44" t="str">
        <f>INDEX(CLEANED_MotorPH_Products_List_2!H:H,MATCH(MotorPHSales[[#This Row],[Product]],CLEANED_MotorPH_Products_List_2!$B:$B,0))</f>
        <v>CVT</v>
      </c>
    </row>
    <row r="862" spans="1:17" ht="15.75" x14ac:dyDescent="0.3">
      <c r="A862" s="43">
        <v>45834</v>
      </c>
      <c r="B862" s="44" t="str">
        <f>TEXT(MotorPHSales[[#This Row],[Date]],"mmmm")</f>
        <v>June</v>
      </c>
      <c r="C862" s="44">
        <f>DAY(MotorPHSales[[#This Row],[Date]])</f>
        <v>26</v>
      </c>
      <c r="D862" s="44">
        <f>YEAR(MotorPHSales[[#This Row],[Date]])</f>
        <v>2025</v>
      </c>
      <c r="E862" s="44" t="s">
        <v>194</v>
      </c>
      <c r="F862" s="44" t="s">
        <v>14</v>
      </c>
      <c r="G862" s="45">
        <v>250000</v>
      </c>
      <c r="H862" s="44">
        <v>19</v>
      </c>
      <c r="I862" s="45">
        <v>4750000</v>
      </c>
      <c r="J862" s="44" t="s">
        <v>195</v>
      </c>
      <c r="K862" s="44" t="str">
        <f>INDEX(CLEANED_MotorPH_Products_List_2!C:C,MATCH(MotorPHSales[[#This Row],[Product]],CLEANED_MotorPH_Products_List_2!$B:$B,0))</f>
        <v>Classic</v>
      </c>
      <c r="L862" s="44" t="str">
        <f>INDEX(CLEANED_MotorPH_Products_List_2!E:E,MATCH(MotorPHSales[[#This Row],[Product]],CLEANED_MotorPH_Products_List_2!$B:$B,0))</f>
        <v>Single cylinder</v>
      </c>
      <c r="M862" s="44" t="str">
        <f>INDEX(CLEANED_MotorPH_Products_List_2!F:F,MATCH(MotorPHSales[[#This Row],[Product]],CLEANED_MotorPH_Products_List_2!$B:$B,0))</f>
        <v>air-cooled</v>
      </c>
      <c r="N862" s="44" t="str">
        <f>INDEX(CLEANED_MotorPH_Products_List_2!G:G,MATCH(MotorPHSales[[#This Row],[Product]],CLEANED_MotorPH_Products_List_2!$B:$B,0))</f>
        <v>349cc</v>
      </c>
      <c r="O862" s="44" t="str">
        <f>INDEX(CLEANED_MotorPH_Products_List_2!K:K,MATCH(MotorPHSales[[#This Row],[Product]],CLEANED_MotorPH_Products_List_2!B:B,0))</f>
        <v>Mid-range</v>
      </c>
      <c r="P862" s="45">
        <f>IF(MotorPHSales[[#This Row],[Segment]]="Entry-level",MotorPHSales[[#This Row],[UnitPrice]]/(1+30%),IF(MotorPHSales[[#This Row],[Segment]]="Mid-range",MotorPHSales[[#This Row],[UnitPrice]]/(1+35%),MotorPHSales[[#This Row],[UnitPrice]]/(1+40%)))*MotorPHSales[[#This Row],[Quantity]]</f>
        <v>3518518.5185185182</v>
      </c>
      <c r="Q862" s="44" t="str">
        <f>INDEX(CLEANED_MotorPH_Products_List_2!H:H,MATCH(MotorPHSales[[#This Row],[Product]],CLEANED_MotorPH_Products_List_2!$B:$B,0))</f>
        <v>5-speed</v>
      </c>
    </row>
    <row r="863" spans="1:17" ht="15.75" x14ac:dyDescent="0.3">
      <c r="A863" s="43">
        <v>45844</v>
      </c>
      <c r="B863" s="44" t="str">
        <f>TEXT(MotorPHSales[[#This Row],[Date]],"mmmm")</f>
        <v>July</v>
      </c>
      <c r="C863" s="44">
        <f>DAY(MotorPHSales[[#This Row],[Date]])</f>
        <v>6</v>
      </c>
      <c r="D863" s="44">
        <f>YEAR(MotorPHSales[[#This Row],[Date]])</f>
        <v>2025</v>
      </c>
      <c r="E863" s="44" t="s">
        <v>194</v>
      </c>
      <c r="F863" s="44" t="s">
        <v>70</v>
      </c>
      <c r="G863" s="45">
        <v>219000</v>
      </c>
      <c r="H863" s="44">
        <v>28</v>
      </c>
      <c r="I863" s="45">
        <v>6132000</v>
      </c>
      <c r="J863" s="44" t="s">
        <v>197</v>
      </c>
      <c r="K863" s="44" t="str">
        <f>INDEX(CLEANED_MotorPH_Products_List_2!C:C,MATCH(MotorPHSales[[#This Row],[Product]],CLEANED_MotorPH_Products_List_2!$B:$B,0))</f>
        <v>Scooter</v>
      </c>
      <c r="L863" s="44" t="str">
        <f>INDEX(CLEANED_MotorPH_Products_List_2!E:E,MATCH(MotorPHSales[[#This Row],[Product]],CLEANED_MotorPH_Products_List_2!$B:$B,0))</f>
        <v>Single cylinder</v>
      </c>
      <c r="M863" s="44" t="str">
        <f>INDEX(CLEANED_MotorPH_Products_List_2!F:F,MATCH(MotorPHSales[[#This Row],[Product]],CLEANED_MotorPH_Products_List_2!$B:$B,0))</f>
        <v>liquid-cooled</v>
      </c>
      <c r="N863" s="44" t="str">
        <f>INDEX(CLEANED_MotorPH_Products_List_2!G:G,MATCH(MotorPHSales[[#This Row],[Product]],CLEANED_MotorPH_Products_List_2!$B:$B,0))</f>
        <v>174cc</v>
      </c>
      <c r="O863" s="44" t="str">
        <f>INDEX(CLEANED_MotorPH_Products_List_2!K:K,MATCH(MotorPHSales[[#This Row],[Product]],CLEANED_MotorPH_Products_List_2!B:B,0))</f>
        <v>Entry-level</v>
      </c>
      <c r="P863" s="45">
        <f>IF(MotorPHSales[[#This Row],[Segment]]="Entry-level",MotorPHSales[[#This Row],[UnitPrice]]/(1+30%),IF(MotorPHSales[[#This Row],[Segment]]="Mid-range",MotorPHSales[[#This Row],[UnitPrice]]/(1+35%),MotorPHSales[[#This Row],[UnitPrice]]/(1+40%)))*MotorPHSales[[#This Row],[Quantity]]</f>
        <v>4716923.076923077</v>
      </c>
      <c r="Q863" s="44" t="str">
        <f>INDEX(CLEANED_MotorPH_Products_List_2!H:H,MATCH(MotorPHSales[[#This Row],[Product]],CLEANED_MotorPH_Products_List_2!$B:$B,0))</f>
        <v>CVT</v>
      </c>
    </row>
    <row r="864" spans="1:17" ht="15.75" x14ac:dyDescent="0.3">
      <c r="A864" s="43">
        <v>45809</v>
      </c>
      <c r="B864" s="44" t="str">
        <f>TEXT(MotorPHSales[[#This Row],[Date]],"mmmm")</f>
        <v>June</v>
      </c>
      <c r="C864" s="44">
        <f>DAY(MotorPHSales[[#This Row],[Date]])</f>
        <v>1</v>
      </c>
      <c r="D864" s="44">
        <f>YEAR(MotorPHSales[[#This Row],[Date]])</f>
        <v>2025</v>
      </c>
      <c r="E864" s="44" t="s">
        <v>196</v>
      </c>
      <c r="F864" s="44" t="s">
        <v>46</v>
      </c>
      <c r="G864" s="45">
        <v>124000</v>
      </c>
      <c r="H864" s="44">
        <v>23</v>
      </c>
      <c r="I864" s="45">
        <v>2852000</v>
      </c>
      <c r="J864" s="44" t="s">
        <v>198</v>
      </c>
      <c r="K864" s="44" t="str">
        <f>INDEX(CLEANED_MotorPH_Products_List_2!C:C,MATCH(MotorPHSales[[#This Row],[Product]],CLEANED_MotorPH_Products_List_2!$B:$B,0))</f>
        <v>Scooter</v>
      </c>
      <c r="L864" s="44" t="str">
        <f>INDEX(CLEANED_MotorPH_Products_List_2!E:E,MATCH(MotorPHSales[[#This Row],[Product]],CLEANED_MotorPH_Products_List_2!$B:$B,0))</f>
        <v>Single cylinder</v>
      </c>
      <c r="M864" s="44" t="str">
        <f>INDEX(CLEANED_MotorPH_Products_List_2!F:F,MATCH(MotorPHSales[[#This Row],[Product]],CLEANED_MotorPH_Products_List_2!$B:$B,0))</f>
        <v>liquid-cooled</v>
      </c>
      <c r="N864" s="44" t="str">
        <f>INDEX(CLEANED_MotorPH_Products_List_2!G:G,MATCH(MotorPHSales[[#This Row],[Product]],CLEANED_MotorPH_Products_List_2!$B:$B,0))</f>
        <v>155cc</v>
      </c>
      <c r="O864" s="44" t="str">
        <f>INDEX(CLEANED_MotorPH_Products_List_2!K:K,MATCH(MotorPHSales[[#This Row],[Product]],CLEANED_MotorPH_Products_List_2!B:B,0))</f>
        <v>Entry-level</v>
      </c>
      <c r="P864" s="45">
        <f>IF(MotorPHSales[[#This Row],[Segment]]="Entry-level",MotorPHSales[[#This Row],[UnitPrice]]/(1+30%),IF(MotorPHSales[[#This Row],[Segment]]="Mid-range",MotorPHSales[[#This Row],[UnitPrice]]/(1+35%),MotorPHSales[[#This Row],[UnitPrice]]/(1+40%)))*MotorPHSales[[#This Row],[Quantity]]</f>
        <v>2193846.1538461535</v>
      </c>
      <c r="Q864" s="44" t="str">
        <f>INDEX(CLEANED_MotorPH_Products_List_2!H:H,MATCH(MotorPHSales[[#This Row],[Product]],CLEANED_MotorPH_Products_List_2!$B:$B,0))</f>
        <v>CVT</v>
      </c>
    </row>
    <row r="865" spans="1:17" ht="15.75" x14ac:dyDescent="0.3">
      <c r="A865" s="43">
        <v>45816</v>
      </c>
      <c r="B865" s="44" t="str">
        <f>TEXT(MotorPHSales[[#This Row],[Date]],"mmmm")</f>
        <v>June</v>
      </c>
      <c r="C865" s="44">
        <f>DAY(MotorPHSales[[#This Row],[Date]])</f>
        <v>8</v>
      </c>
      <c r="D865" s="44">
        <f>YEAR(MotorPHSales[[#This Row],[Date]])</f>
        <v>2025</v>
      </c>
      <c r="E865" s="44" t="s">
        <v>194</v>
      </c>
      <c r="F865" s="44" t="s">
        <v>28</v>
      </c>
      <c r="G865" s="45">
        <v>164900</v>
      </c>
      <c r="H865" s="44">
        <v>48</v>
      </c>
      <c r="I865" s="45">
        <v>7915200</v>
      </c>
      <c r="J865" s="44" t="s">
        <v>195</v>
      </c>
      <c r="K865" s="44" t="str">
        <f>INDEX(CLEANED_MotorPH_Products_List_2!C:C,MATCH(MotorPHSales[[#This Row],[Product]],CLEANED_MotorPH_Products_List_2!$B:$B,0))</f>
        <v>Scooter</v>
      </c>
      <c r="L865" s="44" t="str">
        <f>INDEX(CLEANED_MotorPH_Products_List_2!E:E,MATCH(MotorPHSales[[#This Row],[Product]],CLEANED_MotorPH_Products_List_2!$B:$B,0))</f>
        <v>Single cylinder</v>
      </c>
      <c r="M865" s="44" t="str">
        <f>INDEX(CLEANED_MotorPH_Products_List_2!F:F,MATCH(MotorPHSales[[#This Row],[Product]],CLEANED_MotorPH_Products_List_2!$B:$B,0))</f>
        <v>liquid-cooled</v>
      </c>
      <c r="N865" s="44" t="str">
        <f>INDEX(CLEANED_MotorPH_Products_List_2!G:G,MATCH(MotorPHSales[[#This Row],[Product]],CLEANED_MotorPH_Products_List_2!$B:$B,0))</f>
        <v>157cc</v>
      </c>
      <c r="O865" s="44" t="str">
        <f>INDEX(CLEANED_MotorPH_Products_List_2!K:K,MATCH(MotorPHSales[[#This Row],[Product]],CLEANED_MotorPH_Products_List_2!B:B,0))</f>
        <v>Entry-level</v>
      </c>
      <c r="P865" s="45">
        <f>IF(MotorPHSales[[#This Row],[Segment]]="Entry-level",MotorPHSales[[#This Row],[UnitPrice]]/(1+30%),IF(MotorPHSales[[#This Row],[Segment]]="Mid-range",MotorPHSales[[#This Row],[UnitPrice]]/(1+35%),MotorPHSales[[#This Row],[UnitPrice]]/(1+40%)))*MotorPHSales[[#This Row],[Quantity]]</f>
        <v>6088615.384615384</v>
      </c>
      <c r="Q865" s="44" t="str">
        <f>INDEX(CLEANED_MotorPH_Products_List_2!H:H,MATCH(MotorPHSales[[#This Row],[Product]],CLEANED_MotorPH_Products_List_2!$B:$B,0))</f>
        <v>CVT</v>
      </c>
    </row>
    <row r="866" spans="1:17" ht="15.75" x14ac:dyDescent="0.3">
      <c r="A866" s="43">
        <v>45860</v>
      </c>
      <c r="B866" s="44" t="str">
        <f>TEXT(MotorPHSales[[#This Row],[Date]],"mmmm")</f>
        <v>July</v>
      </c>
      <c r="C866" s="44">
        <f>DAY(MotorPHSales[[#This Row],[Date]])</f>
        <v>22</v>
      </c>
      <c r="D866" s="44">
        <f>YEAR(MotorPHSales[[#This Row],[Date]])</f>
        <v>2025</v>
      </c>
      <c r="E866" s="44" t="s">
        <v>194</v>
      </c>
      <c r="F866" s="44" t="s">
        <v>57</v>
      </c>
      <c r="G866" s="45">
        <v>125900</v>
      </c>
      <c r="H866" s="44">
        <v>33</v>
      </c>
      <c r="I866" s="45">
        <v>4154700</v>
      </c>
      <c r="J866" s="44" t="s">
        <v>198</v>
      </c>
      <c r="K866" s="44" t="str">
        <f>INDEX(CLEANED_MotorPH_Products_List_2!C:C,MATCH(MotorPHSales[[#This Row],[Product]],CLEANED_MotorPH_Products_List_2!$B:$B,0))</f>
        <v>Underbone</v>
      </c>
      <c r="L866" s="44" t="str">
        <f>INDEX(CLEANED_MotorPH_Products_List_2!E:E,MATCH(MotorPHSales[[#This Row],[Product]],CLEANED_MotorPH_Products_List_2!$B:$B,0))</f>
        <v>Single cylinder</v>
      </c>
      <c r="M866" s="44" t="str">
        <f>INDEX(CLEANED_MotorPH_Products_List_2!F:F,MATCH(MotorPHSales[[#This Row],[Product]],CLEANED_MotorPH_Products_List_2!$B:$B,0))</f>
        <v>liquid-cooled</v>
      </c>
      <c r="N866" s="44" t="str">
        <f>INDEX(CLEANED_MotorPH_Products_List_2!G:G,MATCH(MotorPHSales[[#This Row],[Product]],CLEANED_MotorPH_Products_List_2!$B:$B,0))</f>
        <v>155cc</v>
      </c>
      <c r="O866" s="44" t="str">
        <f>INDEX(CLEANED_MotorPH_Products_List_2!K:K,MATCH(MotorPHSales[[#This Row],[Product]],CLEANED_MotorPH_Products_List_2!B:B,0))</f>
        <v>Entry-level</v>
      </c>
      <c r="P866" s="45">
        <f>IF(MotorPHSales[[#This Row],[Segment]]="Entry-level",MotorPHSales[[#This Row],[UnitPrice]]/(1+30%),IF(MotorPHSales[[#This Row],[Segment]]="Mid-range",MotorPHSales[[#This Row],[UnitPrice]]/(1+35%),MotorPHSales[[#This Row],[UnitPrice]]/(1+40%)))*MotorPHSales[[#This Row],[Quantity]]</f>
        <v>3195923.076923077</v>
      </c>
      <c r="Q866" s="44" t="str">
        <f>INDEX(CLEANED_MotorPH_Products_List_2!H:H,MATCH(MotorPHSales[[#This Row],[Product]],CLEANED_MotorPH_Products_List_2!$B:$B,0))</f>
        <v>6-speed</v>
      </c>
    </row>
    <row r="867" spans="1:17" ht="15.75" x14ac:dyDescent="0.3">
      <c r="A867" s="43">
        <v>45887</v>
      </c>
      <c r="B867" s="44" t="str">
        <f>TEXT(MotorPHSales[[#This Row],[Date]],"mmmm")</f>
        <v>August</v>
      </c>
      <c r="C867" s="44">
        <f>DAY(MotorPHSales[[#This Row],[Date]])</f>
        <v>18</v>
      </c>
      <c r="D867" s="44">
        <f>YEAR(MotorPHSales[[#This Row],[Date]])</f>
        <v>2025</v>
      </c>
      <c r="E867" s="44" t="s">
        <v>194</v>
      </c>
      <c r="F867" s="44" t="s">
        <v>94</v>
      </c>
      <c r="G867" s="45">
        <v>299000</v>
      </c>
      <c r="H867" s="44">
        <v>10</v>
      </c>
      <c r="I867" s="45">
        <v>2990000</v>
      </c>
      <c r="J867" s="44" t="s">
        <v>198</v>
      </c>
      <c r="K867" s="44" t="str">
        <f>INDEX(CLEANED_MotorPH_Products_List_2!C:C,MATCH(MotorPHSales[[#This Row],[Product]],CLEANED_MotorPH_Products_List_2!$B:$B,0))</f>
        <v>Dual-sport</v>
      </c>
      <c r="L867" s="44" t="str">
        <f>INDEX(CLEANED_MotorPH_Products_List_2!E:E,MATCH(MotorPHSales[[#This Row],[Product]],CLEANED_MotorPH_Products_List_2!$B:$B,0))</f>
        <v>Single cylinder</v>
      </c>
      <c r="M867" s="44" t="str">
        <f>INDEX(CLEANED_MotorPH_Products_List_2!F:F,MATCH(MotorPHSales[[#This Row],[Product]],CLEANED_MotorPH_Products_List_2!$B:$B,0))</f>
        <v>air-cooled</v>
      </c>
      <c r="N867" s="44" t="str">
        <f>INDEX(CLEANED_MotorPH_Products_List_2!G:G,MATCH(MotorPHSales[[#This Row],[Product]],CLEANED_MotorPH_Products_List_2!$B:$B,0))</f>
        <v>249cc</v>
      </c>
      <c r="O867" s="44" t="str">
        <f>INDEX(CLEANED_MotorPH_Products_List_2!K:K,MATCH(MotorPHSales[[#This Row],[Product]],CLEANED_MotorPH_Products_List_2!B:B,0))</f>
        <v>Mid-range</v>
      </c>
      <c r="P867" s="45">
        <f>IF(MotorPHSales[[#This Row],[Segment]]="Entry-level",MotorPHSales[[#This Row],[UnitPrice]]/(1+30%),IF(MotorPHSales[[#This Row],[Segment]]="Mid-range",MotorPHSales[[#This Row],[UnitPrice]]/(1+35%),MotorPHSales[[#This Row],[UnitPrice]]/(1+40%)))*MotorPHSales[[#This Row],[Quantity]]</f>
        <v>2214814.8148148144</v>
      </c>
      <c r="Q867" s="44" t="str">
        <f>INDEX(CLEANED_MotorPH_Products_List_2!H:H,MATCH(MotorPHSales[[#This Row],[Product]],CLEANED_MotorPH_Products_List_2!$B:$B,0))</f>
        <v>5-speed</v>
      </c>
    </row>
    <row r="868" spans="1:17" ht="15.75" x14ac:dyDescent="0.3">
      <c r="A868" s="43">
        <v>45855</v>
      </c>
      <c r="B868" s="44" t="str">
        <f>TEXT(MotorPHSales[[#This Row],[Date]],"mmmm")</f>
        <v>July</v>
      </c>
      <c r="C868" s="44">
        <f>DAY(MotorPHSales[[#This Row],[Date]])</f>
        <v>17</v>
      </c>
      <c r="D868" s="44">
        <f>YEAR(MotorPHSales[[#This Row],[Date]])</f>
        <v>2025</v>
      </c>
      <c r="E868" s="44" t="s">
        <v>196</v>
      </c>
      <c r="F868" s="44" t="s">
        <v>28</v>
      </c>
      <c r="G868" s="45">
        <v>164900</v>
      </c>
      <c r="H868" s="44">
        <v>31</v>
      </c>
      <c r="I868" s="45">
        <v>5111900</v>
      </c>
      <c r="J868" s="44" t="s">
        <v>197</v>
      </c>
      <c r="K868" s="44" t="str">
        <f>INDEX(CLEANED_MotorPH_Products_List_2!C:C,MATCH(MotorPHSales[[#This Row],[Product]],CLEANED_MotorPH_Products_List_2!$B:$B,0))</f>
        <v>Scooter</v>
      </c>
      <c r="L868" s="44" t="str">
        <f>INDEX(CLEANED_MotorPH_Products_List_2!E:E,MATCH(MotorPHSales[[#This Row],[Product]],CLEANED_MotorPH_Products_List_2!$B:$B,0))</f>
        <v>Single cylinder</v>
      </c>
      <c r="M868" s="44" t="str">
        <f>INDEX(CLEANED_MotorPH_Products_List_2!F:F,MATCH(MotorPHSales[[#This Row],[Product]],CLEANED_MotorPH_Products_List_2!$B:$B,0))</f>
        <v>liquid-cooled</v>
      </c>
      <c r="N868" s="44" t="str">
        <f>INDEX(CLEANED_MotorPH_Products_List_2!G:G,MATCH(MotorPHSales[[#This Row],[Product]],CLEANED_MotorPH_Products_List_2!$B:$B,0))</f>
        <v>157cc</v>
      </c>
      <c r="O868" s="44" t="str">
        <f>INDEX(CLEANED_MotorPH_Products_List_2!K:K,MATCH(MotorPHSales[[#This Row],[Product]],CLEANED_MotorPH_Products_List_2!B:B,0))</f>
        <v>Entry-level</v>
      </c>
      <c r="P868" s="45">
        <f>IF(MotorPHSales[[#This Row],[Segment]]="Entry-level",MotorPHSales[[#This Row],[UnitPrice]]/(1+30%),IF(MotorPHSales[[#This Row],[Segment]]="Mid-range",MotorPHSales[[#This Row],[UnitPrice]]/(1+35%),MotorPHSales[[#This Row],[UnitPrice]]/(1+40%)))*MotorPHSales[[#This Row],[Quantity]]</f>
        <v>3932230.769230769</v>
      </c>
      <c r="Q868" s="44" t="str">
        <f>INDEX(CLEANED_MotorPH_Products_List_2!H:H,MATCH(MotorPHSales[[#This Row],[Product]],CLEANED_MotorPH_Products_List_2!$B:$B,0))</f>
        <v>CVT</v>
      </c>
    </row>
    <row r="869" spans="1:17" ht="15.75" x14ac:dyDescent="0.3">
      <c r="A869" s="43">
        <v>45864</v>
      </c>
      <c r="B869" s="44" t="str">
        <f>TEXT(MotorPHSales[[#This Row],[Date]],"mmmm")</f>
        <v>July</v>
      </c>
      <c r="C869" s="44">
        <f>DAY(MotorPHSales[[#This Row],[Date]])</f>
        <v>26</v>
      </c>
      <c r="D869" s="44">
        <f>YEAR(MotorPHSales[[#This Row],[Date]])</f>
        <v>2025</v>
      </c>
      <c r="E869" s="44" t="s">
        <v>194</v>
      </c>
      <c r="F869" s="44" t="s">
        <v>6</v>
      </c>
      <c r="G869" s="45">
        <v>389000</v>
      </c>
      <c r="H869" s="44">
        <v>19</v>
      </c>
      <c r="I869" s="45">
        <v>7391000</v>
      </c>
      <c r="J869" s="44" t="s">
        <v>198</v>
      </c>
      <c r="K869" s="44" t="str">
        <f>INDEX(CLEANED_MotorPH_Products_List_2!C:C,MATCH(MotorPHSales[[#This Row],[Product]],CLEANED_MotorPH_Products_List_2!$B:$B,0))</f>
        <v>Sport</v>
      </c>
      <c r="L869" s="44" t="str">
        <f>INDEX(CLEANED_MotorPH_Products_List_2!E:E,MATCH(MotorPHSales[[#This Row],[Product]],CLEANED_MotorPH_Products_List_2!$B:$B,0))</f>
        <v>Parallel-twin</v>
      </c>
      <c r="M869" s="44" t="str">
        <f>INDEX(CLEANED_MotorPH_Products_List_2!F:F,MATCH(MotorPHSales[[#This Row],[Product]],CLEANED_MotorPH_Products_List_2!$B:$B,0))</f>
        <v>liquid-cooled</v>
      </c>
      <c r="N869" s="44" t="str">
        <f>INDEX(CLEANED_MotorPH_Products_List_2!G:G,MATCH(MotorPHSales[[#This Row],[Product]],CLEANED_MotorPH_Products_List_2!$B:$B,0))</f>
        <v>471cc</v>
      </c>
      <c r="O869" s="44" t="str">
        <f>INDEX(CLEANED_MotorPH_Products_List_2!K:K,MATCH(MotorPHSales[[#This Row],[Product]],CLEANED_MotorPH_Products_List_2!B:B,0))</f>
        <v>Mid-range</v>
      </c>
      <c r="P869" s="45">
        <f>IF(MotorPHSales[[#This Row],[Segment]]="Entry-level",MotorPHSales[[#This Row],[UnitPrice]]/(1+30%),IF(MotorPHSales[[#This Row],[Segment]]="Mid-range",MotorPHSales[[#This Row],[UnitPrice]]/(1+35%),MotorPHSales[[#This Row],[UnitPrice]]/(1+40%)))*MotorPHSales[[#This Row],[Quantity]]</f>
        <v>5474814.8148148144</v>
      </c>
      <c r="Q869" s="44" t="str">
        <f>INDEX(CLEANED_MotorPH_Products_List_2!H:H,MATCH(MotorPHSales[[#This Row],[Product]],CLEANED_MotorPH_Products_List_2!$B:$B,0))</f>
        <v>6-speed</v>
      </c>
    </row>
    <row r="870" spans="1:17" ht="15.75" x14ac:dyDescent="0.3">
      <c r="A870" s="43">
        <v>45894</v>
      </c>
      <c r="B870" s="44" t="str">
        <f>TEXT(MotorPHSales[[#This Row],[Date]],"mmmm")</f>
        <v>August</v>
      </c>
      <c r="C870" s="44">
        <f>DAY(MotorPHSales[[#This Row],[Date]])</f>
        <v>25</v>
      </c>
      <c r="D870" s="44">
        <f>YEAR(MotorPHSales[[#This Row],[Date]])</f>
        <v>2025</v>
      </c>
      <c r="E870" s="44" t="s">
        <v>196</v>
      </c>
      <c r="F870" s="44" t="s">
        <v>16</v>
      </c>
      <c r="G870" s="45">
        <v>165000</v>
      </c>
      <c r="H870" s="44">
        <v>14</v>
      </c>
      <c r="I870" s="45">
        <v>2310000</v>
      </c>
      <c r="J870" s="44" t="s">
        <v>195</v>
      </c>
      <c r="K870" s="44" t="str">
        <f>INDEX(CLEANED_MotorPH_Products_List_2!C:C,MATCH(MotorPHSales[[#This Row],[Product]],CLEANED_MotorPH_Products_List_2!$B:$B,0))</f>
        <v>Naked bike</v>
      </c>
      <c r="L870" s="44" t="str">
        <f>INDEX(CLEANED_MotorPH_Products_List_2!E:E,MATCH(MotorPHSales[[#This Row],[Product]],CLEANED_MotorPH_Products_List_2!$B:$B,0))</f>
        <v>Single cylinder</v>
      </c>
      <c r="M870" s="44" t="str">
        <f>INDEX(CLEANED_MotorPH_Products_List_2!F:F,MATCH(MotorPHSales[[#This Row],[Product]],CLEANED_MotorPH_Products_List_2!$B:$B,0))</f>
        <v>liquid-cooled</v>
      </c>
      <c r="N870" s="44" t="str">
        <f>INDEX(CLEANED_MotorPH_Products_List_2!G:G,MATCH(MotorPHSales[[#This Row],[Product]],CLEANED_MotorPH_Products_List_2!$B:$B,0))</f>
        <v>292cc</v>
      </c>
      <c r="O870" s="44" t="str">
        <f>INDEX(CLEANED_MotorPH_Products_List_2!K:K,MATCH(MotorPHSales[[#This Row],[Product]],CLEANED_MotorPH_Products_List_2!B:B,0))</f>
        <v>Mid-range</v>
      </c>
      <c r="P870" s="45">
        <f>IF(MotorPHSales[[#This Row],[Segment]]="Entry-level",MotorPHSales[[#This Row],[UnitPrice]]/(1+30%),IF(MotorPHSales[[#This Row],[Segment]]="Mid-range",MotorPHSales[[#This Row],[UnitPrice]]/(1+35%),MotorPHSales[[#This Row],[UnitPrice]]/(1+40%)))*MotorPHSales[[#This Row],[Quantity]]</f>
        <v>1711111.111111111</v>
      </c>
      <c r="Q870" s="44" t="str">
        <f>INDEX(CLEANED_MotorPH_Products_List_2!H:H,MATCH(MotorPHSales[[#This Row],[Product]],CLEANED_MotorPH_Products_List_2!$B:$B,0))</f>
        <v>6-speed</v>
      </c>
    </row>
    <row r="871" spans="1:17" ht="15.75" x14ac:dyDescent="0.3">
      <c r="A871" s="43">
        <v>45822</v>
      </c>
      <c r="B871" s="44" t="str">
        <f>TEXT(MotorPHSales[[#This Row],[Date]],"mmmm")</f>
        <v>June</v>
      </c>
      <c r="C871" s="44">
        <f>DAY(MotorPHSales[[#This Row],[Date]])</f>
        <v>14</v>
      </c>
      <c r="D871" s="44">
        <f>YEAR(MotorPHSales[[#This Row],[Date]])</f>
        <v>2025</v>
      </c>
      <c r="E871" s="44" t="s">
        <v>196</v>
      </c>
      <c r="F871" s="44" t="s">
        <v>8</v>
      </c>
      <c r="G871" s="45">
        <v>178000</v>
      </c>
      <c r="H871" s="44">
        <v>40</v>
      </c>
      <c r="I871" s="45">
        <v>7120000</v>
      </c>
      <c r="J871" s="44" t="s">
        <v>197</v>
      </c>
      <c r="K871" s="44" t="str">
        <f>INDEX(CLEANED_MotorPH_Products_List_2!C:C,MATCH(MotorPHSales[[#This Row],[Product]],CLEANED_MotorPH_Products_List_2!$B:$B,0))</f>
        <v>Naked bike</v>
      </c>
      <c r="L871" s="44" t="str">
        <f>INDEX(CLEANED_MotorPH_Products_List_2!E:E,MATCH(MotorPHSales[[#This Row],[Product]],CLEANED_MotorPH_Products_List_2!$B:$B,0))</f>
        <v>Single cylinder</v>
      </c>
      <c r="M871" s="44" t="str">
        <f>INDEX(CLEANED_MotorPH_Products_List_2!F:F,MATCH(MotorPHSales[[#This Row],[Product]],CLEANED_MotorPH_Products_List_2!$B:$B,0))</f>
        <v>liquid-cooled</v>
      </c>
      <c r="N871" s="44" t="str">
        <f>INDEX(CLEANED_MotorPH_Products_List_2!G:G,MATCH(MotorPHSales[[#This Row],[Product]],CLEANED_MotorPH_Products_List_2!$B:$B,0))</f>
        <v>155cc</v>
      </c>
      <c r="O871" s="44" t="str">
        <f>INDEX(CLEANED_MotorPH_Products_List_2!K:K,MATCH(MotorPHSales[[#This Row],[Product]],CLEANED_MotorPH_Products_List_2!B:B,0))</f>
        <v>Entry-level</v>
      </c>
      <c r="P871" s="45">
        <f>IF(MotorPHSales[[#This Row],[Segment]]="Entry-level",MotorPHSales[[#This Row],[UnitPrice]]/(1+30%),IF(MotorPHSales[[#This Row],[Segment]]="Mid-range",MotorPHSales[[#This Row],[UnitPrice]]/(1+35%),MotorPHSales[[#This Row],[UnitPrice]]/(1+40%)))*MotorPHSales[[#This Row],[Quantity]]</f>
        <v>5476923.0769230761</v>
      </c>
      <c r="Q871" s="44" t="str">
        <f>INDEX(CLEANED_MotorPH_Products_List_2!H:H,MATCH(MotorPHSales[[#This Row],[Product]],CLEANED_MotorPH_Products_List_2!$B:$B,0))</f>
        <v>6-speed</v>
      </c>
    </row>
    <row r="872" spans="1:17" ht="15.75" x14ac:dyDescent="0.3">
      <c r="A872" s="43">
        <v>45898</v>
      </c>
      <c r="B872" s="44" t="str">
        <f>TEXT(MotorPHSales[[#This Row],[Date]],"mmmm")</f>
        <v>August</v>
      </c>
      <c r="C872" s="44">
        <f>DAY(MotorPHSales[[#This Row],[Date]])</f>
        <v>29</v>
      </c>
      <c r="D872" s="44">
        <f>YEAR(MotorPHSales[[#This Row],[Date]])</f>
        <v>2025</v>
      </c>
      <c r="E872" s="44" t="s">
        <v>196</v>
      </c>
      <c r="F872" s="44" t="s">
        <v>76</v>
      </c>
      <c r="G872" s="45">
        <v>369000</v>
      </c>
      <c r="H872" s="44">
        <v>6</v>
      </c>
      <c r="I872" s="45">
        <v>2214000</v>
      </c>
      <c r="J872" s="44" t="s">
        <v>195</v>
      </c>
      <c r="K872" s="44" t="str">
        <f>INDEX(CLEANED_MotorPH_Products_List_2!C:C,MATCH(MotorPHSales[[#This Row],[Product]],CLEANED_MotorPH_Products_List_2!$B:$B,0))</f>
        <v>Adventure</v>
      </c>
      <c r="L872" s="44" t="str">
        <f>INDEX(CLEANED_MotorPH_Products_List_2!E:E,MATCH(MotorPHSales[[#This Row],[Product]],CLEANED_MotorPH_Products_List_2!$B:$B,0))</f>
        <v>Parallel-twin</v>
      </c>
      <c r="M872" s="44" t="str">
        <f>INDEX(CLEANED_MotorPH_Products_List_2!F:F,MATCH(MotorPHSales[[#This Row],[Product]],CLEANED_MotorPH_Products_List_2!$B:$B,0))</f>
        <v>liquid-cooled</v>
      </c>
      <c r="N872" s="44" t="str">
        <f>INDEX(CLEANED_MotorPH_Products_List_2!G:G,MATCH(MotorPHSales[[#This Row],[Product]],CLEANED_MotorPH_Products_List_2!$B:$B,0))</f>
        <v>649cc</v>
      </c>
      <c r="O872" s="44" t="str">
        <f>INDEX(CLEANED_MotorPH_Products_List_2!K:K,MATCH(MotorPHSales[[#This Row],[Product]],CLEANED_MotorPH_Products_List_2!B:B,0))</f>
        <v>Premium</v>
      </c>
      <c r="P872" s="45">
        <f>IF(MotorPHSales[[#This Row],[Segment]]="Entry-level",MotorPHSales[[#This Row],[UnitPrice]]/(1+30%),IF(MotorPHSales[[#This Row],[Segment]]="Mid-range",MotorPHSales[[#This Row],[UnitPrice]]/(1+35%),MotorPHSales[[#This Row],[UnitPrice]]/(1+40%)))*MotorPHSales[[#This Row],[Quantity]]</f>
        <v>1581428.5714285714</v>
      </c>
      <c r="Q872" s="44" t="str">
        <f>INDEX(CLEANED_MotorPH_Products_List_2!H:H,MATCH(MotorPHSales[[#This Row],[Product]],CLEANED_MotorPH_Products_List_2!$B:$B,0))</f>
        <v>6-speed</v>
      </c>
    </row>
    <row r="873" spans="1:17" ht="15.75" x14ac:dyDescent="0.3">
      <c r="A873" s="43">
        <v>45836</v>
      </c>
      <c r="B873" s="44" t="str">
        <f>TEXT(MotorPHSales[[#This Row],[Date]],"mmmm")</f>
        <v>June</v>
      </c>
      <c r="C873" s="44">
        <f>DAY(MotorPHSales[[#This Row],[Date]])</f>
        <v>28</v>
      </c>
      <c r="D873" s="44">
        <f>YEAR(MotorPHSales[[#This Row],[Date]])</f>
        <v>2025</v>
      </c>
      <c r="E873" s="44" t="s">
        <v>196</v>
      </c>
      <c r="F873" s="44" t="s">
        <v>97</v>
      </c>
      <c r="G873" s="45">
        <v>269000</v>
      </c>
      <c r="H873" s="44">
        <v>14</v>
      </c>
      <c r="I873" s="45">
        <v>3766000</v>
      </c>
      <c r="J873" s="44" t="s">
        <v>195</v>
      </c>
      <c r="K873" s="44" t="str">
        <f>INDEX(CLEANED_MotorPH_Products_List_2!C:C,MATCH(MotorPHSales[[#This Row],[Product]],CLEANED_MotorPH_Products_List_2!$B:$B,0))</f>
        <v>Cafe racer</v>
      </c>
      <c r="L873" s="44" t="str">
        <f>INDEX(CLEANED_MotorPH_Products_List_2!E:E,MATCH(MotorPHSales[[#This Row],[Product]],CLEANED_MotorPH_Products_List_2!$B:$B,0))</f>
        <v>Single cylinder</v>
      </c>
      <c r="M873" s="44" t="str">
        <f>INDEX(CLEANED_MotorPH_Products_List_2!F:F,MATCH(MotorPHSales[[#This Row],[Product]],CLEANED_MotorPH_Products_List_2!$B:$B,0))</f>
        <v>liquid-cooled</v>
      </c>
      <c r="N873" s="44" t="str">
        <f>INDEX(CLEANED_MotorPH_Products_List_2!G:G,MATCH(MotorPHSales[[#This Row],[Product]],CLEANED_MotorPH_Products_List_2!$B:$B,0))</f>
        <v>348cc</v>
      </c>
      <c r="O873" s="44" t="str">
        <f>INDEX(CLEANED_MotorPH_Products_List_2!K:K,MATCH(MotorPHSales[[#This Row],[Product]],CLEANED_MotorPH_Products_List_2!B:B,0))</f>
        <v>Mid-range</v>
      </c>
      <c r="P873" s="45">
        <f>IF(MotorPHSales[[#This Row],[Segment]]="Entry-level",MotorPHSales[[#This Row],[UnitPrice]]/(1+30%),IF(MotorPHSales[[#This Row],[Segment]]="Mid-range",MotorPHSales[[#This Row],[UnitPrice]]/(1+35%),MotorPHSales[[#This Row],[UnitPrice]]/(1+40%)))*MotorPHSales[[#This Row],[Quantity]]</f>
        <v>2789629.6296296292</v>
      </c>
      <c r="Q873" s="44" t="str">
        <f>INDEX(CLEANED_MotorPH_Products_List_2!H:H,MATCH(MotorPHSales[[#This Row],[Product]],CLEANED_MotorPH_Products_List_2!$B:$B,0))</f>
        <v>6-speed</v>
      </c>
    </row>
    <row r="874" spans="1:17" ht="15.75" x14ac:dyDescent="0.3">
      <c r="A874" s="43">
        <v>45895</v>
      </c>
      <c r="B874" s="44" t="str">
        <f>TEXT(MotorPHSales[[#This Row],[Date]],"mmmm")</f>
        <v>August</v>
      </c>
      <c r="C874" s="44">
        <f>DAY(MotorPHSales[[#This Row],[Date]])</f>
        <v>26</v>
      </c>
      <c r="D874" s="44">
        <f>YEAR(MotorPHSales[[#This Row],[Date]])</f>
        <v>2025</v>
      </c>
      <c r="E874" s="44" t="s">
        <v>194</v>
      </c>
      <c r="F874" s="44" t="s">
        <v>76</v>
      </c>
      <c r="G874" s="45">
        <v>369000</v>
      </c>
      <c r="H874" s="44">
        <v>34</v>
      </c>
      <c r="I874" s="45">
        <v>12546000</v>
      </c>
      <c r="J874" s="44" t="s">
        <v>198</v>
      </c>
      <c r="K874" s="44" t="str">
        <f>INDEX(CLEANED_MotorPH_Products_List_2!C:C,MATCH(MotorPHSales[[#This Row],[Product]],CLEANED_MotorPH_Products_List_2!$B:$B,0))</f>
        <v>Adventure</v>
      </c>
      <c r="L874" s="44" t="str">
        <f>INDEX(CLEANED_MotorPH_Products_List_2!E:E,MATCH(MotorPHSales[[#This Row],[Product]],CLEANED_MotorPH_Products_List_2!$B:$B,0))</f>
        <v>Parallel-twin</v>
      </c>
      <c r="M874" s="44" t="str">
        <f>INDEX(CLEANED_MotorPH_Products_List_2!F:F,MATCH(MotorPHSales[[#This Row],[Product]],CLEANED_MotorPH_Products_List_2!$B:$B,0))</f>
        <v>liquid-cooled</v>
      </c>
      <c r="N874" s="44" t="str">
        <f>INDEX(CLEANED_MotorPH_Products_List_2!G:G,MATCH(MotorPHSales[[#This Row],[Product]],CLEANED_MotorPH_Products_List_2!$B:$B,0))</f>
        <v>649cc</v>
      </c>
      <c r="O874" s="44" t="str">
        <f>INDEX(CLEANED_MotorPH_Products_List_2!K:K,MATCH(MotorPHSales[[#This Row],[Product]],CLEANED_MotorPH_Products_List_2!B:B,0))</f>
        <v>Premium</v>
      </c>
      <c r="P874" s="45">
        <f>IF(MotorPHSales[[#This Row],[Segment]]="Entry-level",MotorPHSales[[#This Row],[UnitPrice]]/(1+30%),IF(MotorPHSales[[#This Row],[Segment]]="Mid-range",MotorPHSales[[#This Row],[UnitPrice]]/(1+35%),MotorPHSales[[#This Row],[UnitPrice]]/(1+40%)))*MotorPHSales[[#This Row],[Quantity]]</f>
        <v>8961428.5714285709</v>
      </c>
      <c r="Q874" s="44" t="str">
        <f>INDEX(CLEANED_MotorPH_Products_List_2!H:H,MATCH(MotorPHSales[[#This Row],[Product]],CLEANED_MotorPH_Products_List_2!$B:$B,0))</f>
        <v>6-speed</v>
      </c>
    </row>
    <row r="875" spans="1:17" ht="15.75" x14ac:dyDescent="0.3">
      <c r="A875" s="43">
        <v>45886</v>
      </c>
      <c r="B875" s="44" t="str">
        <f>TEXT(MotorPHSales[[#This Row],[Date]],"mmmm")</f>
        <v>August</v>
      </c>
      <c r="C875" s="44">
        <f>DAY(MotorPHSales[[#This Row],[Date]])</f>
        <v>17</v>
      </c>
      <c r="D875" s="44">
        <f>YEAR(MotorPHSales[[#This Row],[Date]])</f>
        <v>2025</v>
      </c>
      <c r="E875" s="44" t="s">
        <v>196</v>
      </c>
      <c r="F875" s="44" t="s">
        <v>20</v>
      </c>
      <c r="G875" s="45">
        <v>178000</v>
      </c>
      <c r="H875" s="44">
        <v>11</v>
      </c>
      <c r="I875" s="45">
        <v>1958000</v>
      </c>
      <c r="J875" s="44" t="s">
        <v>198</v>
      </c>
      <c r="K875" s="44" t="str">
        <f>INDEX(CLEANED_MotorPH_Products_List_2!C:C,MATCH(MotorPHSales[[#This Row],[Product]],CLEANED_MotorPH_Products_List_2!$B:$B,0))</f>
        <v>Naked bike</v>
      </c>
      <c r="L875" s="44" t="str">
        <f>INDEX(CLEANED_MotorPH_Products_List_2!E:E,MATCH(MotorPHSales[[#This Row],[Product]],CLEANED_MotorPH_Products_List_2!$B:$B,0))</f>
        <v>Single cylinder</v>
      </c>
      <c r="M875" s="44" t="str">
        <f>INDEX(CLEANED_MotorPH_Products_List_2!F:F,MATCH(MotorPHSales[[#This Row],[Product]],CLEANED_MotorPH_Products_List_2!$B:$B,0))</f>
        <v>liquid-cooled</v>
      </c>
      <c r="N875" s="44" t="str">
        <f>INDEX(CLEANED_MotorPH_Products_List_2!G:G,MATCH(MotorPHSales[[#This Row],[Product]],CLEANED_MotorPH_Products_List_2!$B:$B,0))</f>
        <v>199cc</v>
      </c>
      <c r="O875" s="44" t="str">
        <f>INDEX(CLEANED_MotorPH_Products_List_2!K:K,MATCH(MotorPHSales[[#This Row],[Product]],CLEANED_MotorPH_Products_List_2!B:B,0))</f>
        <v>Entry-level</v>
      </c>
      <c r="P875" s="45">
        <f>IF(MotorPHSales[[#This Row],[Segment]]="Entry-level",MotorPHSales[[#This Row],[UnitPrice]]/(1+30%),IF(MotorPHSales[[#This Row],[Segment]]="Mid-range",MotorPHSales[[#This Row],[UnitPrice]]/(1+35%),MotorPHSales[[#This Row],[UnitPrice]]/(1+40%)))*MotorPHSales[[#This Row],[Quantity]]</f>
        <v>1506153.846153846</v>
      </c>
      <c r="Q875" s="44" t="str">
        <f>INDEX(CLEANED_MotorPH_Products_List_2!H:H,MATCH(MotorPHSales[[#This Row],[Product]],CLEANED_MotorPH_Products_List_2!$B:$B,0))</f>
        <v>6-speed</v>
      </c>
    </row>
    <row r="876" spans="1:17" ht="15.75" x14ac:dyDescent="0.3">
      <c r="A876" s="43">
        <v>45896</v>
      </c>
      <c r="B876" s="44" t="str">
        <f>TEXT(MotorPHSales[[#This Row],[Date]],"mmmm")</f>
        <v>August</v>
      </c>
      <c r="C876" s="44">
        <f>DAY(MotorPHSales[[#This Row],[Date]])</f>
        <v>27</v>
      </c>
      <c r="D876" s="44">
        <f>YEAR(MotorPHSales[[#This Row],[Date]])</f>
        <v>2025</v>
      </c>
      <c r="E876" s="44" t="s">
        <v>196</v>
      </c>
      <c r="F876" s="44" t="s">
        <v>94</v>
      </c>
      <c r="G876" s="45">
        <v>299000</v>
      </c>
      <c r="H876" s="44">
        <v>40</v>
      </c>
      <c r="I876" s="45">
        <v>11960000</v>
      </c>
      <c r="J876" s="44" t="s">
        <v>198</v>
      </c>
      <c r="K876" s="44" t="str">
        <f>INDEX(CLEANED_MotorPH_Products_List_2!C:C,MATCH(MotorPHSales[[#This Row],[Product]],CLEANED_MotorPH_Products_List_2!$B:$B,0))</f>
        <v>Dual-sport</v>
      </c>
      <c r="L876" s="44" t="str">
        <f>INDEX(CLEANED_MotorPH_Products_List_2!E:E,MATCH(MotorPHSales[[#This Row],[Product]],CLEANED_MotorPH_Products_List_2!$B:$B,0))</f>
        <v>Single cylinder</v>
      </c>
      <c r="M876" s="44" t="str">
        <f>INDEX(CLEANED_MotorPH_Products_List_2!F:F,MATCH(MotorPHSales[[#This Row],[Product]],CLEANED_MotorPH_Products_List_2!$B:$B,0))</f>
        <v>air-cooled</v>
      </c>
      <c r="N876" s="44" t="str">
        <f>INDEX(CLEANED_MotorPH_Products_List_2!G:G,MATCH(MotorPHSales[[#This Row],[Product]],CLEANED_MotorPH_Products_List_2!$B:$B,0))</f>
        <v>249cc</v>
      </c>
      <c r="O876" s="44" t="str">
        <f>INDEX(CLEANED_MotorPH_Products_List_2!K:K,MATCH(MotorPHSales[[#This Row],[Product]],CLEANED_MotorPH_Products_List_2!B:B,0))</f>
        <v>Mid-range</v>
      </c>
      <c r="P876" s="45">
        <f>IF(MotorPHSales[[#This Row],[Segment]]="Entry-level",MotorPHSales[[#This Row],[UnitPrice]]/(1+30%),IF(MotorPHSales[[#This Row],[Segment]]="Mid-range",MotorPHSales[[#This Row],[UnitPrice]]/(1+35%),MotorPHSales[[#This Row],[UnitPrice]]/(1+40%)))*MotorPHSales[[#This Row],[Quantity]]</f>
        <v>8859259.2592592575</v>
      </c>
      <c r="Q876" s="44" t="str">
        <f>INDEX(CLEANED_MotorPH_Products_List_2!H:H,MATCH(MotorPHSales[[#This Row],[Product]],CLEANED_MotorPH_Products_List_2!$B:$B,0))</f>
        <v>5-speed</v>
      </c>
    </row>
    <row r="877" spans="1:17" ht="15.75" x14ac:dyDescent="0.3">
      <c r="A877" s="43">
        <v>45810</v>
      </c>
      <c r="B877" s="44" t="str">
        <f>TEXT(MotorPHSales[[#This Row],[Date]],"mmmm")</f>
        <v>June</v>
      </c>
      <c r="C877" s="44">
        <f>DAY(MotorPHSales[[#This Row],[Date]])</f>
        <v>2</v>
      </c>
      <c r="D877" s="44">
        <f>YEAR(MotorPHSales[[#This Row],[Date]])</f>
        <v>2025</v>
      </c>
      <c r="E877" s="44" t="s">
        <v>194</v>
      </c>
      <c r="F877" s="44" t="s">
        <v>22</v>
      </c>
      <c r="G877" s="45">
        <v>182000</v>
      </c>
      <c r="H877" s="44">
        <v>44</v>
      </c>
      <c r="I877" s="45">
        <v>8008000</v>
      </c>
      <c r="J877" s="44" t="s">
        <v>198</v>
      </c>
      <c r="K877" s="44" t="str">
        <f>INDEX(CLEANED_MotorPH_Products_List_2!C:C,MATCH(MotorPHSales[[#This Row],[Product]],CLEANED_MotorPH_Products_List_2!$B:$B,0))</f>
        <v>Retro</v>
      </c>
      <c r="L877" s="44" t="str">
        <f>INDEX(CLEANED_MotorPH_Products_List_2!E:E,MATCH(MotorPHSales[[#This Row],[Product]],CLEANED_MotorPH_Products_List_2!$B:$B,0))</f>
        <v>Single cylinder</v>
      </c>
      <c r="M877" s="44" t="str">
        <f>INDEX(CLEANED_MotorPH_Products_List_2!F:F,MATCH(MotorPHSales[[#This Row],[Product]],CLEANED_MotorPH_Products_List_2!$B:$B,0))</f>
        <v>liquid-cooled</v>
      </c>
      <c r="N877" s="44" t="str">
        <f>INDEX(CLEANED_MotorPH_Products_List_2!G:G,MATCH(MotorPHSales[[#This Row],[Product]],CLEANED_MotorPH_Products_List_2!$B:$B,0))</f>
        <v>155cc</v>
      </c>
      <c r="O877" s="44" t="str">
        <f>INDEX(CLEANED_MotorPH_Products_List_2!K:K,MATCH(MotorPHSales[[#This Row],[Product]],CLEANED_MotorPH_Products_List_2!B:B,0))</f>
        <v>Entry-level</v>
      </c>
      <c r="P877" s="45">
        <f>IF(MotorPHSales[[#This Row],[Segment]]="Entry-level",MotorPHSales[[#This Row],[UnitPrice]]/(1+30%),IF(MotorPHSales[[#This Row],[Segment]]="Mid-range",MotorPHSales[[#This Row],[UnitPrice]]/(1+35%),MotorPHSales[[#This Row],[UnitPrice]]/(1+40%)))*MotorPHSales[[#This Row],[Quantity]]</f>
        <v>6160000</v>
      </c>
      <c r="Q877" s="44" t="str">
        <f>INDEX(CLEANED_MotorPH_Products_List_2!H:H,MATCH(MotorPHSales[[#This Row],[Product]],CLEANED_MotorPH_Products_List_2!$B:$B,0))</f>
        <v>6-speed</v>
      </c>
    </row>
    <row r="878" spans="1:17" ht="15.75" x14ac:dyDescent="0.3">
      <c r="A878" s="43">
        <v>45834</v>
      </c>
      <c r="B878" s="44" t="str">
        <f>TEXT(MotorPHSales[[#This Row],[Date]],"mmmm")</f>
        <v>June</v>
      </c>
      <c r="C878" s="44">
        <f>DAY(MotorPHSales[[#This Row],[Date]])</f>
        <v>26</v>
      </c>
      <c r="D878" s="44">
        <f>YEAR(MotorPHSales[[#This Row],[Date]])</f>
        <v>2025</v>
      </c>
      <c r="E878" s="44" t="s">
        <v>194</v>
      </c>
      <c r="F878" s="44" t="s">
        <v>12</v>
      </c>
      <c r="G878" s="45">
        <v>119900</v>
      </c>
      <c r="H878" s="44">
        <v>12</v>
      </c>
      <c r="I878" s="45">
        <v>1438800</v>
      </c>
      <c r="J878" s="44" t="s">
        <v>198</v>
      </c>
      <c r="K878" s="44" t="str">
        <f>INDEX(CLEANED_MotorPH_Products_List_2!C:C,MATCH(MotorPHSales[[#This Row],[Product]],CLEANED_MotorPH_Products_List_2!$B:$B,0))</f>
        <v>Underbone</v>
      </c>
      <c r="L878" s="44" t="str">
        <f>INDEX(CLEANED_MotorPH_Products_List_2!E:E,MATCH(MotorPHSales[[#This Row],[Product]],CLEANED_MotorPH_Products_List_2!$B:$B,0))</f>
        <v>Single cylinder</v>
      </c>
      <c r="M878" s="44" t="str">
        <f>INDEX(CLEANED_MotorPH_Products_List_2!F:F,MATCH(MotorPHSales[[#This Row],[Product]],CLEANED_MotorPH_Products_List_2!$B:$B,0))</f>
        <v>liquid-cooled</v>
      </c>
      <c r="N878" s="44" t="str">
        <f>INDEX(CLEANED_MotorPH_Products_List_2!G:G,MATCH(MotorPHSales[[#This Row],[Product]],CLEANED_MotorPH_Products_List_2!$B:$B,0))</f>
        <v>150cc</v>
      </c>
      <c r="O878" s="44" t="str">
        <f>INDEX(CLEANED_MotorPH_Products_List_2!K:K,MATCH(MotorPHSales[[#This Row],[Product]],CLEANED_MotorPH_Products_List_2!B:B,0))</f>
        <v>Entry-level</v>
      </c>
      <c r="P878" s="45">
        <f>IF(MotorPHSales[[#This Row],[Segment]]="Entry-level",MotorPHSales[[#This Row],[UnitPrice]]/(1+30%),IF(MotorPHSales[[#This Row],[Segment]]="Mid-range",MotorPHSales[[#This Row],[UnitPrice]]/(1+35%),MotorPHSales[[#This Row],[UnitPrice]]/(1+40%)))*MotorPHSales[[#This Row],[Quantity]]</f>
        <v>1106769.2307692308</v>
      </c>
      <c r="Q878" s="44" t="str">
        <f>INDEX(CLEANED_MotorPH_Products_List_2!H:H,MATCH(MotorPHSales[[#This Row],[Product]],CLEANED_MotorPH_Products_List_2!$B:$B,0))</f>
        <v>6-speed</v>
      </c>
    </row>
    <row r="879" spans="1:17" ht="15.75" x14ac:dyDescent="0.3">
      <c r="A879" s="43">
        <v>45822</v>
      </c>
      <c r="B879" s="44" t="str">
        <f>TEXT(MotorPHSales[[#This Row],[Date]],"mmmm")</f>
        <v>June</v>
      </c>
      <c r="C879" s="44">
        <f>DAY(MotorPHSales[[#This Row],[Date]])</f>
        <v>14</v>
      </c>
      <c r="D879" s="44">
        <f>YEAR(MotorPHSales[[#This Row],[Date]])</f>
        <v>2025</v>
      </c>
      <c r="E879" s="44" t="s">
        <v>194</v>
      </c>
      <c r="F879" s="44" t="s">
        <v>99</v>
      </c>
      <c r="G879" s="45">
        <v>689000</v>
      </c>
      <c r="H879" s="44">
        <v>21</v>
      </c>
      <c r="I879" s="45">
        <v>14469000</v>
      </c>
      <c r="J879" s="44" t="s">
        <v>198</v>
      </c>
      <c r="K879" s="44" t="str">
        <f>INDEX(CLEANED_MotorPH_Products_List_2!C:C,MATCH(MotorPHSales[[#This Row],[Product]],CLEANED_MotorPH_Products_List_2!$B:$B,0))</f>
        <v>Heritage</v>
      </c>
      <c r="L879" s="44" t="str">
        <f>INDEX(CLEANED_MotorPH_Products_List_2!E:E,MATCH(MotorPHSales[[#This Row],[Product]],CLEANED_MotorPH_Products_List_2!$B:$B,0))</f>
        <v>V-twin</v>
      </c>
      <c r="M879" s="44" t="str">
        <f>INDEX(CLEANED_MotorPH_Products_List_2!F:F,MATCH(MotorPHSales[[#This Row],[Product]],CLEANED_MotorPH_Products_List_2!$B:$B,0))</f>
        <v>air-cooled</v>
      </c>
      <c r="N879" s="44" t="str">
        <f>INDEX(CLEANED_MotorPH_Products_List_2!G:G,MATCH(MotorPHSales[[#This Row],[Product]],CLEANED_MotorPH_Products_List_2!$B:$B,0))</f>
        <v>853cc</v>
      </c>
      <c r="O879" s="44" t="str">
        <f>INDEX(CLEANED_MotorPH_Products_List_2!K:K,MATCH(MotorPHSales[[#This Row],[Product]],CLEANED_MotorPH_Products_List_2!B:B,0))</f>
        <v>Premium</v>
      </c>
      <c r="P879" s="45">
        <f>IF(MotorPHSales[[#This Row],[Segment]]="Entry-level",MotorPHSales[[#This Row],[UnitPrice]]/(1+30%),IF(MotorPHSales[[#This Row],[Segment]]="Mid-range",MotorPHSales[[#This Row],[UnitPrice]]/(1+35%),MotorPHSales[[#This Row],[UnitPrice]]/(1+40%)))*MotorPHSales[[#This Row],[Quantity]]</f>
        <v>10335000</v>
      </c>
      <c r="Q879" s="44" t="str">
        <f>INDEX(CLEANED_MotorPH_Products_List_2!H:H,MATCH(MotorPHSales[[#This Row],[Product]],CLEANED_MotorPH_Products_List_2!$B:$B,0))</f>
        <v>6-speed</v>
      </c>
    </row>
    <row r="880" spans="1:17" ht="15.75" x14ac:dyDescent="0.3">
      <c r="A880" s="43">
        <v>45867</v>
      </c>
      <c r="B880" s="44" t="str">
        <f>TEXT(MotorPHSales[[#This Row],[Date]],"mmmm")</f>
        <v>July</v>
      </c>
      <c r="C880" s="44">
        <f>DAY(MotorPHSales[[#This Row],[Date]])</f>
        <v>29</v>
      </c>
      <c r="D880" s="44">
        <f>YEAR(MotorPHSales[[#This Row],[Date]])</f>
        <v>2025</v>
      </c>
      <c r="E880" s="44" t="s">
        <v>196</v>
      </c>
      <c r="F880" s="44" t="s">
        <v>90</v>
      </c>
      <c r="G880" s="45">
        <v>165000</v>
      </c>
      <c r="H880" s="44">
        <v>14</v>
      </c>
      <c r="I880" s="45">
        <v>2310000</v>
      </c>
      <c r="J880" s="44" t="s">
        <v>198</v>
      </c>
      <c r="K880" s="44" t="str">
        <f>INDEX(CLEANED_MotorPH_Products_List_2!C:C,MATCH(MotorPHSales[[#This Row],[Product]],CLEANED_MotorPH_Products_List_2!$B:$B,0))</f>
        <v>Sport</v>
      </c>
      <c r="L880" s="44" t="str">
        <f>INDEX(CLEANED_MotorPH_Products_List_2!E:E,MATCH(MotorPHSales[[#This Row],[Product]],CLEANED_MotorPH_Products_List_2!$B:$B,0))</f>
        <v>Single cylinder</v>
      </c>
      <c r="M880" s="44" t="str">
        <f>INDEX(CLEANED_MotorPH_Products_List_2!F:F,MATCH(MotorPHSales[[#This Row],[Product]],CLEANED_MotorPH_Products_List_2!$B:$B,0))</f>
        <v>liquid-cooled</v>
      </c>
      <c r="N880" s="44" t="str">
        <f>INDEX(CLEANED_MotorPH_Products_List_2!G:G,MATCH(MotorPHSales[[#This Row],[Product]],CLEANED_MotorPH_Products_List_2!$B:$B,0))</f>
        <v>292cc</v>
      </c>
      <c r="O880" s="44" t="str">
        <f>INDEX(CLEANED_MotorPH_Products_List_2!K:K,MATCH(MotorPHSales[[#This Row],[Product]],CLEANED_MotorPH_Products_List_2!B:B,0))</f>
        <v>Mid-range</v>
      </c>
      <c r="P880" s="45">
        <f>IF(MotorPHSales[[#This Row],[Segment]]="Entry-level",MotorPHSales[[#This Row],[UnitPrice]]/(1+30%),IF(MotorPHSales[[#This Row],[Segment]]="Mid-range",MotorPHSales[[#This Row],[UnitPrice]]/(1+35%),MotorPHSales[[#This Row],[UnitPrice]]/(1+40%)))*MotorPHSales[[#This Row],[Quantity]]</f>
        <v>1711111.111111111</v>
      </c>
      <c r="Q880" s="44" t="str">
        <f>INDEX(CLEANED_MotorPH_Products_List_2!H:H,MATCH(MotorPHSales[[#This Row],[Product]],CLEANED_MotorPH_Products_List_2!$B:$B,0))</f>
        <v>6-speed</v>
      </c>
    </row>
    <row r="881" spans="1:17" ht="15.75" x14ac:dyDescent="0.3">
      <c r="A881" s="43">
        <v>45864</v>
      </c>
      <c r="B881" s="44" t="str">
        <f>TEXT(MotorPHSales[[#This Row],[Date]],"mmmm")</f>
        <v>July</v>
      </c>
      <c r="C881" s="44">
        <f>DAY(MotorPHSales[[#This Row],[Date]])</f>
        <v>26</v>
      </c>
      <c r="D881" s="44">
        <f>YEAR(MotorPHSales[[#This Row],[Date]])</f>
        <v>2025</v>
      </c>
      <c r="E881" s="44" t="s">
        <v>194</v>
      </c>
      <c r="F881" s="44" t="s">
        <v>47</v>
      </c>
      <c r="G881" s="45">
        <v>398000</v>
      </c>
      <c r="H881" s="44">
        <v>18</v>
      </c>
      <c r="I881" s="45">
        <v>7164000</v>
      </c>
      <c r="J881" s="44" t="s">
        <v>198</v>
      </c>
      <c r="K881" s="44" t="str">
        <f>INDEX(CLEANED_MotorPH_Products_List_2!C:C,MATCH(MotorPHSales[[#This Row],[Product]],CLEANED_MotorPH_Products_List_2!$B:$B,0))</f>
        <v>Cruiser</v>
      </c>
      <c r="L881" s="44" t="str">
        <f>INDEX(CLEANED_MotorPH_Products_List_2!E:E,MATCH(MotorPHSales[[#This Row],[Product]],CLEANED_MotorPH_Products_List_2!$B:$B,0))</f>
        <v>Parallel-twin</v>
      </c>
      <c r="M881" s="44" t="str">
        <f>INDEX(CLEANED_MotorPH_Products_List_2!F:F,MATCH(MotorPHSales[[#This Row],[Product]],CLEANED_MotorPH_Products_List_2!$B:$B,0))</f>
        <v>liquid-cooled</v>
      </c>
      <c r="N881" s="44" t="str">
        <f>INDEX(CLEANED_MotorPH_Products_List_2!G:G,MATCH(MotorPHSales[[#This Row],[Product]],CLEANED_MotorPH_Products_List_2!$B:$B,0))</f>
        <v>649cc</v>
      </c>
      <c r="O881" s="44" t="str">
        <f>INDEX(CLEANED_MotorPH_Products_List_2!K:K,MATCH(MotorPHSales[[#This Row],[Product]],CLEANED_MotorPH_Products_List_2!B:B,0))</f>
        <v>Premium</v>
      </c>
      <c r="P881" s="45">
        <f>IF(MotorPHSales[[#This Row],[Segment]]="Entry-level",MotorPHSales[[#This Row],[UnitPrice]]/(1+30%),IF(MotorPHSales[[#This Row],[Segment]]="Mid-range",MotorPHSales[[#This Row],[UnitPrice]]/(1+35%),MotorPHSales[[#This Row],[UnitPrice]]/(1+40%)))*MotorPHSales[[#This Row],[Quantity]]</f>
        <v>5117142.8571428582</v>
      </c>
      <c r="Q881" s="44" t="str">
        <f>INDEX(CLEANED_MotorPH_Products_List_2!H:H,MATCH(MotorPHSales[[#This Row],[Product]],CLEANED_MotorPH_Products_List_2!$B:$B,0))</f>
        <v>6-speed</v>
      </c>
    </row>
    <row r="882" spans="1:17" ht="15.75" x14ac:dyDescent="0.3">
      <c r="A882" s="43">
        <v>45815</v>
      </c>
      <c r="B882" s="44" t="str">
        <f>TEXT(MotorPHSales[[#This Row],[Date]],"mmmm")</f>
        <v>June</v>
      </c>
      <c r="C882" s="44">
        <f>DAY(MotorPHSales[[#This Row],[Date]])</f>
        <v>7</v>
      </c>
      <c r="D882" s="44">
        <f>YEAR(MotorPHSales[[#This Row],[Date]])</f>
        <v>2025</v>
      </c>
      <c r="E882" s="44" t="s">
        <v>196</v>
      </c>
      <c r="F882" s="44" t="s">
        <v>47</v>
      </c>
      <c r="G882" s="45">
        <v>398000</v>
      </c>
      <c r="H882" s="44">
        <v>8</v>
      </c>
      <c r="I882" s="45">
        <v>3184000</v>
      </c>
      <c r="J882" s="44" t="s">
        <v>195</v>
      </c>
      <c r="K882" s="44" t="str">
        <f>INDEX(CLEANED_MotorPH_Products_List_2!C:C,MATCH(MotorPHSales[[#This Row],[Product]],CLEANED_MotorPH_Products_List_2!$B:$B,0))</f>
        <v>Cruiser</v>
      </c>
      <c r="L882" s="44" t="str">
        <f>INDEX(CLEANED_MotorPH_Products_List_2!E:E,MATCH(MotorPHSales[[#This Row],[Product]],CLEANED_MotorPH_Products_List_2!$B:$B,0))</f>
        <v>Parallel-twin</v>
      </c>
      <c r="M882" s="44" t="str">
        <f>INDEX(CLEANED_MotorPH_Products_List_2!F:F,MATCH(MotorPHSales[[#This Row],[Product]],CLEANED_MotorPH_Products_List_2!$B:$B,0))</f>
        <v>liquid-cooled</v>
      </c>
      <c r="N882" s="44" t="str">
        <f>INDEX(CLEANED_MotorPH_Products_List_2!G:G,MATCH(MotorPHSales[[#This Row],[Product]],CLEANED_MotorPH_Products_List_2!$B:$B,0))</f>
        <v>649cc</v>
      </c>
      <c r="O882" s="44" t="str">
        <f>INDEX(CLEANED_MotorPH_Products_List_2!K:K,MATCH(MotorPHSales[[#This Row],[Product]],CLEANED_MotorPH_Products_List_2!B:B,0))</f>
        <v>Premium</v>
      </c>
      <c r="P882" s="45">
        <f>IF(MotorPHSales[[#This Row],[Segment]]="Entry-level",MotorPHSales[[#This Row],[UnitPrice]]/(1+30%),IF(MotorPHSales[[#This Row],[Segment]]="Mid-range",MotorPHSales[[#This Row],[UnitPrice]]/(1+35%),MotorPHSales[[#This Row],[UnitPrice]]/(1+40%)))*MotorPHSales[[#This Row],[Quantity]]</f>
        <v>2274285.7142857146</v>
      </c>
      <c r="Q882" s="44" t="str">
        <f>INDEX(CLEANED_MotorPH_Products_List_2!H:H,MATCH(MotorPHSales[[#This Row],[Product]],CLEANED_MotorPH_Products_List_2!$B:$B,0))</f>
        <v>6-speed</v>
      </c>
    </row>
    <row r="883" spans="1:17" ht="15.75" x14ac:dyDescent="0.3">
      <c r="A883" s="43">
        <v>45811</v>
      </c>
      <c r="B883" s="44" t="str">
        <f>TEXT(MotorPHSales[[#This Row],[Date]],"mmmm")</f>
        <v>June</v>
      </c>
      <c r="C883" s="44">
        <f>DAY(MotorPHSales[[#This Row],[Date]])</f>
        <v>3</v>
      </c>
      <c r="D883" s="44">
        <f>YEAR(MotorPHSales[[#This Row],[Date]])</f>
        <v>2025</v>
      </c>
      <c r="E883" s="44" t="s">
        <v>196</v>
      </c>
      <c r="F883" s="44" t="s">
        <v>10</v>
      </c>
      <c r="G883" s="45">
        <v>340000</v>
      </c>
      <c r="H883" s="44">
        <v>25</v>
      </c>
      <c r="I883" s="45">
        <v>8500000</v>
      </c>
      <c r="J883" s="44" t="s">
        <v>198</v>
      </c>
      <c r="K883" s="44" t="str">
        <f>INDEX(CLEANED_MotorPH_Products_List_2!C:C,MATCH(MotorPHSales[[#This Row],[Product]],CLEANED_MotorPH_Products_List_2!$B:$B,0))</f>
        <v>Sport</v>
      </c>
      <c r="L883" s="44" t="str">
        <f>INDEX(CLEANED_MotorPH_Products_List_2!E:E,MATCH(MotorPHSales[[#This Row],[Product]],CLEANED_MotorPH_Products_List_2!$B:$B,0))</f>
        <v>Parallel-twin</v>
      </c>
      <c r="M883" s="44" t="str">
        <f>INDEX(CLEANED_MotorPH_Products_List_2!F:F,MATCH(MotorPHSales[[#This Row],[Product]],CLEANED_MotorPH_Products_List_2!$B:$B,0))</f>
        <v>liquid-cooled</v>
      </c>
      <c r="N883" s="44" t="str">
        <f>INDEX(CLEANED_MotorPH_Products_List_2!G:G,MATCH(MotorPHSales[[#This Row],[Product]],CLEANED_MotorPH_Products_List_2!$B:$B,0))</f>
        <v>399cc</v>
      </c>
      <c r="O883" s="44" t="str">
        <f>INDEX(CLEANED_MotorPH_Products_List_2!K:K,MATCH(MotorPHSales[[#This Row],[Product]],CLEANED_MotorPH_Products_List_2!B:B,0))</f>
        <v>Mid-range</v>
      </c>
      <c r="P883" s="45">
        <f>IF(MotorPHSales[[#This Row],[Segment]]="Entry-level",MotorPHSales[[#This Row],[UnitPrice]]/(1+30%),IF(MotorPHSales[[#This Row],[Segment]]="Mid-range",MotorPHSales[[#This Row],[UnitPrice]]/(1+35%),MotorPHSales[[#This Row],[UnitPrice]]/(1+40%)))*MotorPHSales[[#This Row],[Quantity]]</f>
        <v>6296296.2962962957</v>
      </c>
      <c r="Q883" s="44" t="str">
        <f>INDEX(CLEANED_MotorPH_Products_List_2!H:H,MATCH(MotorPHSales[[#This Row],[Product]],CLEANED_MotorPH_Products_List_2!$B:$B,0))</f>
        <v>6-speed</v>
      </c>
    </row>
    <row r="884" spans="1:17" ht="15.75" x14ac:dyDescent="0.3">
      <c r="A884" s="43">
        <v>45831</v>
      </c>
      <c r="B884" s="44" t="str">
        <f>TEXT(MotorPHSales[[#This Row],[Date]],"mmmm")</f>
        <v>June</v>
      </c>
      <c r="C884" s="44">
        <f>DAY(MotorPHSales[[#This Row],[Date]])</f>
        <v>23</v>
      </c>
      <c r="D884" s="44">
        <f>YEAR(MotorPHSales[[#This Row],[Date]])</f>
        <v>2025</v>
      </c>
      <c r="E884" s="44" t="s">
        <v>196</v>
      </c>
      <c r="F884" s="44" t="s">
        <v>40</v>
      </c>
      <c r="G884" s="45">
        <v>210000</v>
      </c>
      <c r="H884" s="44">
        <v>26</v>
      </c>
      <c r="I884" s="45">
        <v>5460000</v>
      </c>
      <c r="J884" s="44" t="s">
        <v>195</v>
      </c>
      <c r="K884" s="44" t="str">
        <f>INDEX(CLEANED_MotorPH_Products_List_2!C:C,MATCH(MotorPHSales[[#This Row],[Product]],CLEANED_MotorPH_Products_List_2!$B:$B,0))</f>
        <v>Scooter</v>
      </c>
      <c r="L884" s="44" t="str">
        <f>INDEX(CLEANED_MotorPH_Products_List_2!E:E,MATCH(MotorPHSales[[#This Row],[Product]],CLEANED_MotorPH_Products_List_2!$B:$B,0))</f>
        <v>Single cylinder</v>
      </c>
      <c r="M884" s="44" t="str">
        <f>INDEX(CLEANED_MotorPH_Products_List_2!F:F,MATCH(MotorPHSales[[#This Row],[Product]],CLEANED_MotorPH_Products_List_2!$B:$B,0))</f>
        <v>air-cooled</v>
      </c>
      <c r="N884" s="44" t="str">
        <f>INDEX(CLEANED_MotorPH_Products_List_2!G:G,MATCH(MotorPHSales[[#This Row],[Product]],CLEANED_MotorPH_Products_List_2!$B:$B,0))</f>
        <v>150cc</v>
      </c>
      <c r="O884" s="44" t="str">
        <f>INDEX(CLEANED_MotorPH_Products_List_2!K:K,MATCH(MotorPHSales[[#This Row],[Product]],CLEANED_MotorPH_Products_List_2!B:B,0))</f>
        <v>Entry-level</v>
      </c>
      <c r="P884" s="45">
        <f>IF(MotorPHSales[[#This Row],[Segment]]="Entry-level",MotorPHSales[[#This Row],[UnitPrice]]/(1+30%),IF(MotorPHSales[[#This Row],[Segment]]="Mid-range",MotorPHSales[[#This Row],[UnitPrice]]/(1+35%),MotorPHSales[[#This Row],[UnitPrice]]/(1+40%)))*MotorPHSales[[#This Row],[Quantity]]</f>
        <v>4200000</v>
      </c>
      <c r="Q884" s="44" t="str">
        <f>INDEX(CLEANED_MotorPH_Products_List_2!H:H,MATCH(MotorPHSales[[#This Row],[Product]],CLEANED_MotorPH_Products_List_2!$B:$B,0))</f>
        <v>CVT</v>
      </c>
    </row>
    <row r="885" spans="1:17" ht="15.75" x14ac:dyDescent="0.3">
      <c r="A885" s="43">
        <v>45826</v>
      </c>
      <c r="B885" s="44" t="str">
        <f>TEXT(MotorPHSales[[#This Row],[Date]],"mmmm")</f>
        <v>June</v>
      </c>
      <c r="C885" s="44">
        <f>DAY(MotorPHSales[[#This Row],[Date]])</f>
        <v>18</v>
      </c>
      <c r="D885" s="44">
        <f>YEAR(MotorPHSales[[#This Row],[Date]])</f>
        <v>2025</v>
      </c>
      <c r="E885" s="44" t="s">
        <v>194</v>
      </c>
      <c r="F885" s="44" t="s">
        <v>10</v>
      </c>
      <c r="G885" s="45">
        <v>340000</v>
      </c>
      <c r="H885" s="44">
        <v>9</v>
      </c>
      <c r="I885" s="45">
        <v>3060000</v>
      </c>
      <c r="J885" s="44" t="s">
        <v>197</v>
      </c>
      <c r="K885" s="44" t="str">
        <f>INDEX(CLEANED_MotorPH_Products_List_2!C:C,MATCH(MotorPHSales[[#This Row],[Product]],CLEANED_MotorPH_Products_List_2!$B:$B,0))</f>
        <v>Sport</v>
      </c>
      <c r="L885" s="44" t="str">
        <f>INDEX(CLEANED_MotorPH_Products_List_2!E:E,MATCH(MotorPHSales[[#This Row],[Product]],CLEANED_MotorPH_Products_List_2!$B:$B,0))</f>
        <v>Parallel-twin</v>
      </c>
      <c r="M885" s="44" t="str">
        <f>INDEX(CLEANED_MotorPH_Products_List_2!F:F,MATCH(MotorPHSales[[#This Row],[Product]],CLEANED_MotorPH_Products_List_2!$B:$B,0))</f>
        <v>liquid-cooled</v>
      </c>
      <c r="N885" s="44" t="str">
        <f>INDEX(CLEANED_MotorPH_Products_List_2!G:G,MATCH(MotorPHSales[[#This Row],[Product]],CLEANED_MotorPH_Products_List_2!$B:$B,0))</f>
        <v>399cc</v>
      </c>
      <c r="O885" s="44" t="str">
        <f>INDEX(CLEANED_MotorPH_Products_List_2!K:K,MATCH(MotorPHSales[[#This Row],[Product]],CLEANED_MotorPH_Products_List_2!B:B,0))</f>
        <v>Mid-range</v>
      </c>
      <c r="P885" s="45">
        <f>IF(MotorPHSales[[#This Row],[Segment]]="Entry-level",MotorPHSales[[#This Row],[UnitPrice]]/(1+30%),IF(MotorPHSales[[#This Row],[Segment]]="Mid-range",MotorPHSales[[#This Row],[UnitPrice]]/(1+35%),MotorPHSales[[#This Row],[UnitPrice]]/(1+40%)))*MotorPHSales[[#This Row],[Quantity]]</f>
        <v>2266666.6666666665</v>
      </c>
      <c r="Q885" s="44" t="str">
        <f>INDEX(CLEANED_MotorPH_Products_List_2!H:H,MATCH(MotorPHSales[[#This Row],[Product]],CLEANED_MotorPH_Products_List_2!$B:$B,0))</f>
        <v>6-speed</v>
      </c>
    </row>
    <row r="886" spans="1:17" ht="15.75" x14ac:dyDescent="0.3">
      <c r="A886" s="43">
        <v>45846</v>
      </c>
      <c r="B886" s="44" t="str">
        <f>TEXT(MotorPHSales[[#This Row],[Date]],"mmmm")</f>
        <v>July</v>
      </c>
      <c r="C886" s="44">
        <f>DAY(MotorPHSales[[#This Row],[Date]])</f>
        <v>8</v>
      </c>
      <c r="D886" s="44">
        <f>YEAR(MotorPHSales[[#This Row],[Date]])</f>
        <v>2025</v>
      </c>
      <c r="E886" s="44" t="s">
        <v>196</v>
      </c>
      <c r="F886" s="44" t="s">
        <v>26</v>
      </c>
      <c r="G886" s="45">
        <v>151900</v>
      </c>
      <c r="H886" s="44">
        <v>9</v>
      </c>
      <c r="I886" s="45">
        <v>1367100</v>
      </c>
      <c r="J886" s="44" t="s">
        <v>195</v>
      </c>
      <c r="K886" s="44" t="str">
        <f>INDEX(CLEANED_MotorPH_Products_List_2!C:C,MATCH(MotorPHSales[[#This Row],[Product]],CLEANED_MotorPH_Products_List_2!$B:$B,0))</f>
        <v>Scooter</v>
      </c>
      <c r="L886" s="44" t="str">
        <f>INDEX(CLEANED_MotorPH_Products_List_2!E:E,MATCH(MotorPHSales[[#This Row],[Product]],CLEANED_MotorPH_Products_List_2!$B:$B,0))</f>
        <v>Single cylinder</v>
      </c>
      <c r="M886" s="44" t="str">
        <f>INDEX(CLEANED_MotorPH_Products_List_2!F:F,MATCH(MotorPHSales[[#This Row],[Product]],CLEANED_MotorPH_Products_List_2!$B:$B,0))</f>
        <v>liquid-cooled</v>
      </c>
      <c r="N886" s="44" t="str">
        <f>INDEX(CLEANED_MotorPH_Products_List_2!G:G,MATCH(MotorPHSales[[#This Row],[Product]],CLEANED_MotorPH_Products_List_2!$B:$B,0))</f>
        <v>155cc</v>
      </c>
      <c r="O886" s="44" t="str">
        <f>INDEX(CLEANED_MotorPH_Products_List_2!K:K,MATCH(MotorPHSales[[#This Row],[Product]],CLEANED_MotorPH_Products_List_2!B:B,0))</f>
        <v>Entry-level</v>
      </c>
      <c r="P886" s="45">
        <f>IF(MotorPHSales[[#This Row],[Segment]]="Entry-level",MotorPHSales[[#This Row],[UnitPrice]]/(1+30%),IF(MotorPHSales[[#This Row],[Segment]]="Mid-range",MotorPHSales[[#This Row],[UnitPrice]]/(1+35%),MotorPHSales[[#This Row],[UnitPrice]]/(1+40%)))*MotorPHSales[[#This Row],[Quantity]]</f>
        <v>1051615.3846153845</v>
      </c>
      <c r="Q886" s="44" t="str">
        <f>INDEX(CLEANED_MotorPH_Products_List_2!H:H,MATCH(MotorPHSales[[#This Row],[Product]],CLEANED_MotorPH_Products_List_2!$B:$B,0))</f>
        <v>CVT</v>
      </c>
    </row>
    <row r="887" spans="1:17" ht="15.75" x14ac:dyDescent="0.3">
      <c r="A887" s="43">
        <v>45823</v>
      </c>
      <c r="B887" s="44" t="str">
        <f>TEXT(MotorPHSales[[#This Row],[Date]],"mmmm")</f>
        <v>June</v>
      </c>
      <c r="C887" s="44">
        <f>DAY(MotorPHSales[[#This Row],[Date]])</f>
        <v>15</v>
      </c>
      <c r="D887" s="44">
        <f>YEAR(MotorPHSales[[#This Row],[Date]])</f>
        <v>2025</v>
      </c>
      <c r="E887" s="44" t="s">
        <v>194</v>
      </c>
      <c r="F887" s="44" t="s">
        <v>42</v>
      </c>
      <c r="G887" s="45">
        <v>125000</v>
      </c>
      <c r="H887" s="44">
        <v>1</v>
      </c>
      <c r="I887" s="45">
        <v>125000</v>
      </c>
      <c r="J887" s="44" t="s">
        <v>195</v>
      </c>
      <c r="K887" s="44" t="str">
        <f>INDEX(CLEANED_MotorPH_Products_List_2!C:C,MATCH(MotorPHSales[[#This Row],[Product]],CLEANED_MotorPH_Products_List_2!$B:$B,0))</f>
        <v>Naked bike</v>
      </c>
      <c r="L887" s="44" t="str">
        <f>INDEX(CLEANED_MotorPH_Products_List_2!E:E,MATCH(MotorPHSales[[#This Row],[Product]],CLEANED_MotorPH_Products_List_2!$B:$B,0))</f>
        <v>Single cylinder</v>
      </c>
      <c r="M887" s="44" t="str">
        <f>INDEX(CLEANED_MotorPH_Products_List_2!F:F,MATCH(MotorPHSales[[#This Row],[Product]],CLEANED_MotorPH_Products_List_2!$B:$B,0))</f>
        <v>liquid-cooled</v>
      </c>
      <c r="N887" s="44" t="str">
        <f>INDEX(CLEANED_MotorPH_Products_List_2!G:G,MATCH(MotorPHSales[[#This Row],[Product]],CLEANED_MotorPH_Products_List_2!$B:$B,0))</f>
        <v>147cc</v>
      </c>
      <c r="O887" s="44" t="str">
        <f>INDEX(CLEANED_MotorPH_Products_List_2!K:K,MATCH(MotorPHSales[[#This Row],[Product]],CLEANED_MotorPH_Products_List_2!B:B,0))</f>
        <v>Entry-level</v>
      </c>
      <c r="P887" s="45">
        <f>IF(MotorPHSales[[#This Row],[Segment]]="Entry-level",MotorPHSales[[#This Row],[UnitPrice]]/(1+30%),IF(MotorPHSales[[#This Row],[Segment]]="Mid-range",MotorPHSales[[#This Row],[UnitPrice]]/(1+35%),MotorPHSales[[#This Row],[UnitPrice]]/(1+40%)))*MotorPHSales[[#This Row],[Quantity]]</f>
        <v>96153.846153846156</v>
      </c>
      <c r="Q887" s="44" t="str">
        <f>INDEX(CLEANED_MotorPH_Products_List_2!H:H,MATCH(MotorPHSales[[#This Row],[Product]],CLEANED_MotorPH_Products_List_2!$B:$B,0))</f>
        <v>6-speed</v>
      </c>
    </row>
    <row r="888" spans="1:17" ht="15.75" x14ac:dyDescent="0.3">
      <c r="A888" s="43">
        <v>45872</v>
      </c>
      <c r="B888" s="44" t="str">
        <f>TEXT(MotorPHSales[[#This Row],[Date]],"mmmm")</f>
        <v>August</v>
      </c>
      <c r="C888" s="44">
        <f>DAY(MotorPHSales[[#This Row],[Date]])</f>
        <v>3</v>
      </c>
      <c r="D888" s="44">
        <f>YEAR(MotorPHSales[[#This Row],[Date]])</f>
        <v>2025</v>
      </c>
      <c r="E888" s="44" t="s">
        <v>194</v>
      </c>
      <c r="F888" s="44" t="s">
        <v>34</v>
      </c>
      <c r="G888" s="45">
        <v>320000</v>
      </c>
      <c r="H888" s="44">
        <v>46</v>
      </c>
      <c r="I888" s="45">
        <v>14720000</v>
      </c>
      <c r="J888" s="44" t="s">
        <v>198</v>
      </c>
      <c r="K888" s="44" t="str">
        <f>INDEX(CLEANED_MotorPH_Products_List_2!C:C,MATCH(MotorPHSales[[#This Row],[Product]],CLEANED_MotorPH_Products_List_2!$B:$B,0))</f>
        <v>Adventure</v>
      </c>
      <c r="L888" s="44" t="str">
        <f>INDEX(CLEANED_MotorPH_Products_List_2!E:E,MATCH(MotorPHSales[[#This Row],[Product]],CLEANED_MotorPH_Products_List_2!$B:$B,0))</f>
        <v>Single cylinder</v>
      </c>
      <c r="M888" s="44" t="str">
        <f>INDEX(CLEANED_MotorPH_Products_List_2!F:F,MATCH(MotorPHSales[[#This Row],[Product]],CLEANED_MotorPH_Products_List_2!$B:$B,0))</f>
        <v>liquid-cooled</v>
      </c>
      <c r="N888" s="44" t="str">
        <f>INDEX(CLEANED_MotorPH_Products_List_2!G:G,MATCH(MotorPHSales[[#This Row],[Product]],CLEANED_MotorPH_Products_List_2!$B:$B,0))</f>
        <v>313cc</v>
      </c>
      <c r="O888" s="44" t="str">
        <f>INDEX(CLEANED_MotorPH_Products_List_2!K:K,MATCH(MotorPHSales[[#This Row],[Product]],CLEANED_MotorPH_Products_List_2!B:B,0))</f>
        <v>Mid-range</v>
      </c>
      <c r="P888" s="45">
        <f>IF(MotorPHSales[[#This Row],[Segment]]="Entry-level",MotorPHSales[[#This Row],[UnitPrice]]/(1+30%),IF(MotorPHSales[[#This Row],[Segment]]="Mid-range",MotorPHSales[[#This Row],[UnitPrice]]/(1+35%),MotorPHSales[[#This Row],[UnitPrice]]/(1+40%)))*MotorPHSales[[#This Row],[Quantity]]</f>
        <v>10903703.703703703</v>
      </c>
      <c r="Q888" s="44" t="str">
        <f>INDEX(CLEANED_MotorPH_Products_List_2!H:H,MATCH(MotorPHSales[[#This Row],[Product]],CLEANED_MotorPH_Products_List_2!$B:$B,0))</f>
        <v>6-speed</v>
      </c>
    </row>
    <row r="889" spans="1:17" ht="15.75" x14ac:dyDescent="0.3">
      <c r="A889" s="43">
        <v>45836</v>
      </c>
      <c r="B889" s="44" t="str">
        <f>TEXT(MotorPHSales[[#This Row],[Date]],"mmmm")</f>
        <v>June</v>
      </c>
      <c r="C889" s="44">
        <f>DAY(MotorPHSales[[#This Row],[Date]])</f>
        <v>28</v>
      </c>
      <c r="D889" s="44">
        <f>YEAR(MotorPHSales[[#This Row],[Date]])</f>
        <v>2025</v>
      </c>
      <c r="E889" s="44" t="s">
        <v>196</v>
      </c>
      <c r="F889" s="44" t="s">
        <v>96</v>
      </c>
      <c r="G889" s="45">
        <v>80900</v>
      </c>
      <c r="H889" s="44">
        <v>16</v>
      </c>
      <c r="I889" s="45">
        <v>1294400</v>
      </c>
      <c r="J889" s="44" t="s">
        <v>198</v>
      </c>
      <c r="K889" s="44" t="str">
        <f>INDEX(CLEANED_MotorPH_Products_List_2!C:C,MATCH(MotorPHSales[[#This Row],[Product]],CLEANED_MotorPH_Products_List_2!$B:$B,0))</f>
        <v>Scooter</v>
      </c>
      <c r="L889" s="44" t="str">
        <f>INDEX(CLEANED_MotorPH_Products_List_2!E:E,MATCH(MotorPHSales[[#This Row],[Product]],CLEANED_MotorPH_Products_List_2!$B:$B,0))</f>
        <v>Single cylinder</v>
      </c>
      <c r="M889" s="44" t="str">
        <f>INDEX(CLEANED_MotorPH_Products_List_2!F:F,MATCH(MotorPHSales[[#This Row],[Product]],CLEANED_MotorPH_Products_List_2!$B:$B,0))</f>
        <v>air-cooled</v>
      </c>
      <c r="N889" s="44" t="str">
        <f>INDEX(CLEANED_MotorPH_Products_List_2!G:G,MATCH(MotorPHSales[[#This Row],[Product]],CLEANED_MotorPH_Products_List_2!$B:$B,0))</f>
        <v>124cc</v>
      </c>
      <c r="O889" s="44" t="str">
        <f>INDEX(CLEANED_MotorPH_Products_List_2!K:K,MATCH(MotorPHSales[[#This Row],[Product]],CLEANED_MotorPH_Products_List_2!B:B,0))</f>
        <v>Entry-level</v>
      </c>
      <c r="P889" s="45">
        <f>IF(MotorPHSales[[#This Row],[Segment]]="Entry-level",MotorPHSales[[#This Row],[UnitPrice]]/(1+30%),IF(MotorPHSales[[#This Row],[Segment]]="Mid-range",MotorPHSales[[#This Row],[UnitPrice]]/(1+35%),MotorPHSales[[#This Row],[UnitPrice]]/(1+40%)))*MotorPHSales[[#This Row],[Quantity]]</f>
        <v>995692.30769230763</v>
      </c>
      <c r="Q889" s="44" t="str">
        <f>INDEX(CLEANED_MotorPH_Products_List_2!H:H,MATCH(MotorPHSales[[#This Row],[Product]],CLEANED_MotorPH_Products_List_2!$B:$B,0))</f>
        <v>CVT</v>
      </c>
    </row>
    <row r="890" spans="1:17" ht="15.75" x14ac:dyDescent="0.3">
      <c r="A890" s="43">
        <v>45882</v>
      </c>
      <c r="B890" s="44" t="str">
        <f>TEXT(MotorPHSales[[#This Row],[Date]],"mmmm")</f>
        <v>August</v>
      </c>
      <c r="C890" s="44">
        <f>DAY(MotorPHSales[[#This Row],[Date]])</f>
        <v>13</v>
      </c>
      <c r="D890" s="44">
        <f>YEAR(MotorPHSales[[#This Row],[Date]])</f>
        <v>2025</v>
      </c>
      <c r="E890" s="44" t="s">
        <v>194</v>
      </c>
      <c r="F890" s="44" t="s">
        <v>74</v>
      </c>
      <c r="G890" s="45">
        <v>349000</v>
      </c>
      <c r="H890" s="44">
        <v>1</v>
      </c>
      <c r="I890" s="45">
        <v>349000</v>
      </c>
      <c r="J890" s="44" t="s">
        <v>195</v>
      </c>
      <c r="K890" s="44" t="str">
        <f>INDEX(CLEANED_MotorPH_Products_List_2!C:C,MATCH(MotorPHSales[[#This Row],[Product]],CLEANED_MotorPH_Products_List_2!$B:$B,0))</f>
        <v>Cruiser</v>
      </c>
      <c r="L890" s="44" t="str">
        <f>INDEX(CLEANED_MotorPH_Products_List_2!E:E,MATCH(MotorPHSales[[#This Row],[Product]],CLEANED_MotorPH_Products_List_2!$B:$B,0))</f>
        <v>Parallel-twin</v>
      </c>
      <c r="M890" s="44" t="str">
        <f>INDEX(CLEANED_MotorPH_Products_List_2!F:F,MATCH(MotorPHSales[[#This Row],[Product]],CLEANED_MotorPH_Products_List_2!$B:$B,0))</f>
        <v>liquid-cooled</v>
      </c>
      <c r="N890" s="44" t="str">
        <f>INDEX(CLEANED_MotorPH_Products_List_2!G:G,MATCH(MotorPHSales[[#This Row],[Product]],CLEANED_MotorPH_Products_List_2!$B:$B,0))</f>
        <v>500cc</v>
      </c>
      <c r="O890" s="44" t="str">
        <f>INDEX(CLEANED_MotorPH_Products_List_2!K:K,MATCH(MotorPHSales[[#This Row],[Product]],CLEANED_MotorPH_Products_List_2!B:B,0))</f>
        <v>Mid-range</v>
      </c>
      <c r="P890" s="45">
        <f>IF(MotorPHSales[[#This Row],[Segment]]="Entry-level",MotorPHSales[[#This Row],[UnitPrice]]/(1+30%),IF(MotorPHSales[[#This Row],[Segment]]="Mid-range",MotorPHSales[[#This Row],[UnitPrice]]/(1+35%),MotorPHSales[[#This Row],[UnitPrice]]/(1+40%)))*MotorPHSales[[#This Row],[Quantity]]</f>
        <v>258518.51851851851</v>
      </c>
      <c r="Q890" s="44" t="str">
        <f>INDEX(CLEANED_MotorPH_Products_List_2!H:H,MATCH(MotorPHSales[[#This Row],[Product]],CLEANED_MotorPH_Products_List_2!$B:$B,0))</f>
        <v>6-speed</v>
      </c>
    </row>
    <row r="891" spans="1:17" ht="15.75" x14ac:dyDescent="0.3">
      <c r="A891" s="43">
        <v>45847</v>
      </c>
      <c r="B891" s="44" t="str">
        <f>TEXT(MotorPHSales[[#This Row],[Date]],"mmmm")</f>
        <v>July</v>
      </c>
      <c r="C891" s="44">
        <f>DAY(MotorPHSales[[#This Row],[Date]])</f>
        <v>9</v>
      </c>
      <c r="D891" s="44">
        <f>YEAR(MotorPHSales[[#This Row],[Date]])</f>
        <v>2025</v>
      </c>
      <c r="E891" s="44" t="s">
        <v>194</v>
      </c>
      <c r="F891" s="44" t="s">
        <v>44</v>
      </c>
      <c r="G891" s="45">
        <v>331000</v>
      </c>
      <c r="H891" s="44">
        <v>18</v>
      </c>
      <c r="I891" s="45">
        <v>5958000</v>
      </c>
      <c r="J891" s="44" t="s">
        <v>197</v>
      </c>
      <c r="K891" s="44" t="str">
        <f>INDEX(CLEANED_MotorPH_Products_List_2!C:C,MATCH(MotorPHSales[[#This Row],[Product]],CLEANED_MotorPH_Products_List_2!$B:$B,0))</f>
        <v>Naked bike</v>
      </c>
      <c r="L891" s="44" t="str">
        <f>INDEX(CLEANED_MotorPH_Products_List_2!E:E,MATCH(MotorPHSales[[#This Row],[Product]],CLEANED_MotorPH_Products_List_2!$B:$B,0))</f>
        <v>Parallel-twin</v>
      </c>
      <c r="M891" s="44" t="str">
        <f>INDEX(CLEANED_MotorPH_Products_List_2!F:F,MATCH(MotorPHSales[[#This Row],[Product]],CLEANED_MotorPH_Products_List_2!$B:$B,0))</f>
        <v>liquid-cooled</v>
      </c>
      <c r="N891" s="44" t="str">
        <f>INDEX(CLEANED_MotorPH_Products_List_2!G:G,MATCH(MotorPHSales[[#This Row],[Product]],CLEANED_MotorPH_Products_List_2!$B:$B,0))</f>
        <v>399cc</v>
      </c>
      <c r="O891" s="44" t="str">
        <f>INDEX(CLEANED_MotorPH_Products_List_2!K:K,MATCH(MotorPHSales[[#This Row],[Product]],CLEANED_MotorPH_Products_List_2!B:B,0))</f>
        <v>Mid-range</v>
      </c>
      <c r="P891" s="45">
        <f>IF(MotorPHSales[[#This Row],[Segment]]="Entry-level",MotorPHSales[[#This Row],[UnitPrice]]/(1+30%),IF(MotorPHSales[[#This Row],[Segment]]="Mid-range",MotorPHSales[[#This Row],[UnitPrice]]/(1+35%),MotorPHSales[[#This Row],[UnitPrice]]/(1+40%)))*MotorPHSales[[#This Row],[Quantity]]</f>
        <v>4413333.333333333</v>
      </c>
      <c r="Q891" s="44" t="str">
        <f>INDEX(CLEANED_MotorPH_Products_List_2!H:H,MATCH(MotorPHSales[[#This Row],[Product]],CLEANED_MotorPH_Products_List_2!$B:$B,0))</f>
        <v>6-speed</v>
      </c>
    </row>
    <row r="892" spans="1:17" ht="15.75" x14ac:dyDescent="0.3">
      <c r="A892" s="43">
        <v>45865</v>
      </c>
      <c r="B892" s="44" t="str">
        <f>TEXT(MotorPHSales[[#This Row],[Date]],"mmmm")</f>
        <v>July</v>
      </c>
      <c r="C892" s="44">
        <f>DAY(MotorPHSales[[#This Row],[Date]])</f>
        <v>27</v>
      </c>
      <c r="D892" s="44">
        <f>YEAR(MotorPHSales[[#This Row],[Date]])</f>
        <v>2025</v>
      </c>
      <c r="E892" s="44" t="s">
        <v>196</v>
      </c>
      <c r="F892" s="44" t="s">
        <v>57</v>
      </c>
      <c r="G892" s="45">
        <v>125900</v>
      </c>
      <c r="H892" s="44">
        <v>16</v>
      </c>
      <c r="I892" s="45">
        <v>2014400</v>
      </c>
      <c r="J892" s="44" t="s">
        <v>198</v>
      </c>
      <c r="K892" s="44" t="str">
        <f>INDEX(CLEANED_MotorPH_Products_List_2!C:C,MATCH(MotorPHSales[[#This Row],[Product]],CLEANED_MotorPH_Products_List_2!$B:$B,0))</f>
        <v>Underbone</v>
      </c>
      <c r="L892" s="44" t="str">
        <f>INDEX(CLEANED_MotorPH_Products_List_2!E:E,MATCH(MotorPHSales[[#This Row],[Product]],CLEANED_MotorPH_Products_List_2!$B:$B,0))</f>
        <v>Single cylinder</v>
      </c>
      <c r="M892" s="44" t="str">
        <f>INDEX(CLEANED_MotorPH_Products_List_2!F:F,MATCH(MotorPHSales[[#This Row],[Product]],CLEANED_MotorPH_Products_List_2!$B:$B,0))</f>
        <v>liquid-cooled</v>
      </c>
      <c r="N892" s="44" t="str">
        <f>INDEX(CLEANED_MotorPH_Products_List_2!G:G,MATCH(MotorPHSales[[#This Row],[Product]],CLEANED_MotorPH_Products_List_2!$B:$B,0))</f>
        <v>155cc</v>
      </c>
      <c r="O892" s="44" t="str">
        <f>INDEX(CLEANED_MotorPH_Products_List_2!K:K,MATCH(MotorPHSales[[#This Row],[Product]],CLEANED_MotorPH_Products_List_2!B:B,0))</f>
        <v>Entry-level</v>
      </c>
      <c r="P892" s="45">
        <f>IF(MotorPHSales[[#This Row],[Segment]]="Entry-level",MotorPHSales[[#This Row],[UnitPrice]]/(1+30%),IF(MotorPHSales[[#This Row],[Segment]]="Mid-range",MotorPHSales[[#This Row],[UnitPrice]]/(1+35%),MotorPHSales[[#This Row],[UnitPrice]]/(1+40%)))*MotorPHSales[[#This Row],[Quantity]]</f>
        <v>1549538.4615384615</v>
      </c>
      <c r="Q892" s="44" t="str">
        <f>INDEX(CLEANED_MotorPH_Products_List_2!H:H,MATCH(MotorPHSales[[#This Row],[Product]],CLEANED_MotorPH_Products_List_2!$B:$B,0))</f>
        <v>6-speed</v>
      </c>
    </row>
    <row r="893" spans="1:17" ht="15.75" x14ac:dyDescent="0.3">
      <c r="A893" s="43">
        <v>45825</v>
      </c>
      <c r="B893" s="44" t="str">
        <f>TEXT(MotorPHSales[[#This Row],[Date]],"mmmm")</f>
        <v>June</v>
      </c>
      <c r="C893" s="44">
        <f>DAY(MotorPHSales[[#This Row],[Date]])</f>
        <v>17</v>
      </c>
      <c r="D893" s="44">
        <f>YEAR(MotorPHSales[[#This Row],[Date]])</f>
        <v>2025</v>
      </c>
      <c r="E893" s="44" t="s">
        <v>196</v>
      </c>
      <c r="F893" s="44" t="s">
        <v>101</v>
      </c>
      <c r="G893" s="45">
        <v>72900</v>
      </c>
      <c r="H893" s="44">
        <v>14</v>
      </c>
      <c r="I893" s="45">
        <v>1020600</v>
      </c>
      <c r="J893" s="44" t="s">
        <v>195</v>
      </c>
      <c r="K893" s="44" t="str">
        <f>INDEX(CLEANED_MotorPH_Products_List_2!C:C,MATCH(MotorPHSales[[#This Row],[Product]],CLEANED_MotorPH_Products_List_2!$B:$B,0))</f>
        <v>Underbone</v>
      </c>
      <c r="L893" s="44" t="str">
        <f>INDEX(CLEANED_MotorPH_Products_List_2!E:E,MATCH(MotorPHSales[[#This Row],[Product]],CLEANED_MotorPH_Products_List_2!$B:$B,0))</f>
        <v>Single cylinder</v>
      </c>
      <c r="M893" s="44" t="str">
        <f>INDEX(CLEANED_MotorPH_Products_List_2!F:F,MATCH(MotorPHSales[[#This Row],[Product]],CLEANED_MotorPH_Products_List_2!$B:$B,0))</f>
        <v>air-cooled</v>
      </c>
      <c r="N893" s="44" t="str">
        <f>INDEX(CLEANED_MotorPH_Products_List_2!G:G,MATCH(MotorPHSales[[#This Row],[Product]],CLEANED_MotorPH_Products_List_2!$B:$B,0))</f>
        <v>150cc</v>
      </c>
      <c r="O893" s="44" t="str">
        <f>INDEX(CLEANED_MotorPH_Products_List_2!K:K,MATCH(MotorPHSales[[#This Row],[Product]],CLEANED_MotorPH_Products_List_2!B:B,0))</f>
        <v>Entry-level</v>
      </c>
      <c r="P893" s="45">
        <f>IF(MotorPHSales[[#This Row],[Segment]]="Entry-level",MotorPHSales[[#This Row],[UnitPrice]]/(1+30%),IF(MotorPHSales[[#This Row],[Segment]]="Mid-range",MotorPHSales[[#This Row],[UnitPrice]]/(1+35%),MotorPHSales[[#This Row],[UnitPrice]]/(1+40%)))*MotorPHSales[[#This Row],[Quantity]]</f>
        <v>785076.92307692312</v>
      </c>
      <c r="Q893" s="44" t="str">
        <f>INDEX(CLEANED_MotorPH_Products_List_2!H:H,MATCH(MotorPHSales[[#This Row],[Product]],CLEANED_MotorPH_Products_List_2!$B:$B,0))</f>
        <v>CVT</v>
      </c>
    </row>
    <row r="894" spans="1:17" ht="15.75" x14ac:dyDescent="0.3">
      <c r="A894" s="43">
        <v>45894</v>
      </c>
      <c r="B894" s="44" t="str">
        <f>TEXT(MotorPHSales[[#This Row],[Date]],"mmmm")</f>
        <v>August</v>
      </c>
      <c r="C894" s="44">
        <f>DAY(MotorPHSales[[#This Row],[Date]])</f>
        <v>25</v>
      </c>
      <c r="D894" s="44">
        <f>YEAR(MotorPHSales[[#This Row],[Date]])</f>
        <v>2025</v>
      </c>
      <c r="E894" s="44" t="s">
        <v>194</v>
      </c>
      <c r="F894" s="44" t="s">
        <v>55</v>
      </c>
      <c r="G894" s="45">
        <v>80900</v>
      </c>
      <c r="H894" s="44">
        <v>19</v>
      </c>
      <c r="I894" s="45">
        <v>1537100</v>
      </c>
      <c r="J894" s="44" t="s">
        <v>198</v>
      </c>
      <c r="K894" s="44" t="str">
        <f>INDEX(CLEANED_MotorPH_Products_List_2!C:C,MATCH(MotorPHSales[[#This Row],[Product]],CLEANED_MotorPH_Products_List_2!$B:$B,0))</f>
        <v>Scooter</v>
      </c>
      <c r="L894" s="44" t="str">
        <f>INDEX(CLEANED_MotorPH_Products_List_2!E:E,MATCH(MotorPHSales[[#This Row],[Product]],CLEANED_MotorPH_Products_List_2!$B:$B,0))</f>
        <v>Single cylinder</v>
      </c>
      <c r="M894" s="44" t="str">
        <f>INDEX(CLEANED_MotorPH_Products_List_2!F:F,MATCH(MotorPHSales[[#This Row],[Product]],CLEANED_MotorPH_Products_List_2!$B:$B,0))</f>
        <v>liquid-cooled</v>
      </c>
      <c r="N894" s="44" t="str">
        <f>INDEX(CLEANED_MotorPH_Products_List_2!G:G,MATCH(MotorPHSales[[#This Row],[Product]],CLEANED_MotorPH_Products_List_2!$B:$B,0))</f>
        <v>125cc</v>
      </c>
      <c r="O894" s="44" t="str">
        <f>INDEX(CLEANED_MotorPH_Products_List_2!K:K,MATCH(MotorPHSales[[#This Row],[Product]],CLEANED_MotorPH_Products_List_2!B:B,0))</f>
        <v>Entry-level</v>
      </c>
      <c r="P894" s="45">
        <f>IF(MotorPHSales[[#This Row],[Segment]]="Entry-level",MotorPHSales[[#This Row],[UnitPrice]]/(1+30%),IF(MotorPHSales[[#This Row],[Segment]]="Mid-range",MotorPHSales[[#This Row],[UnitPrice]]/(1+35%),MotorPHSales[[#This Row],[UnitPrice]]/(1+40%)))*MotorPHSales[[#This Row],[Quantity]]</f>
        <v>1182384.6153846153</v>
      </c>
      <c r="Q894" s="44" t="str">
        <f>INDEX(CLEANED_MotorPH_Products_List_2!H:H,MATCH(MotorPHSales[[#This Row],[Product]],CLEANED_MotorPH_Products_List_2!$B:$B,0))</f>
        <v>CVT</v>
      </c>
    </row>
    <row r="895" spans="1:17" ht="15.75" x14ac:dyDescent="0.3">
      <c r="A895" s="43">
        <v>45898</v>
      </c>
      <c r="B895" s="44" t="str">
        <f>TEXT(MotorPHSales[[#This Row],[Date]],"mmmm")</f>
        <v>August</v>
      </c>
      <c r="C895" s="44">
        <f>DAY(MotorPHSales[[#This Row],[Date]])</f>
        <v>29</v>
      </c>
      <c r="D895" s="44">
        <f>YEAR(MotorPHSales[[#This Row],[Date]])</f>
        <v>2025</v>
      </c>
      <c r="E895" s="44" t="s">
        <v>194</v>
      </c>
      <c r="F895" s="44" t="s">
        <v>82</v>
      </c>
      <c r="G895" s="45">
        <v>199000</v>
      </c>
      <c r="H895" s="44">
        <v>43</v>
      </c>
      <c r="I895" s="45">
        <v>8557000</v>
      </c>
      <c r="J895" s="44" t="s">
        <v>198</v>
      </c>
      <c r="K895" s="44" t="str">
        <f>INDEX(CLEANED_MotorPH_Products_List_2!C:C,MATCH(MotorPHSales[[#This Row],[Product]],CLEANED_MotorPH_Products_List_2!$B:$B,0))</f>
        <v>Dual-sport</v>
      </c>
      <c r="L895" s="44" t="str">
        <f>INDEX(CLEANED_MotorPH_Products_List_2!E:E,MATCH(MotorPHSales[[#This Row],[Product]],CLEANED_MotorPH_Products_List_2!$B:$B,0))</f>
        <v>Single cylinder</v>
      </c>
      <c r="M895" s="44" t="str">
        <f>INDEX(CLEANED_MotorPH_Products_List_2!F:F,MATCH(MotorPHSales[[#This Row],[Product]],CLEANED_MotorPH_Products_List_2!$B:$B,0))</f>
        <v>air-cooled</v>
      </c>
      <c r="N895" s="44" t="str">
        <f>INDEX(CLEANED_MotorPH_Products_List_2!G:G,MATCH(MotorPHSales[[#This Row],[Product]],CLEANED_MotorPH_Products_List_2!$B:$B,0))</f>
        <v>233cc</v>
      </c>
      <c r="O895" s="44" t="str">
        <f>INDEX(CLEANED_MotorPH_Products_List_2!K:K,MATCH(MotorPHSales[[#This Row],[Product]],CLEANED_MotorPH_Products_List_2!B:B,0))</f>
        <v>Mid-range</v>
      </c>
      <c r="P895" s="45">
        <f>IF(MotorPHSales[[#This Row],[Segment]]="Entry-level",MotorPHSales[[#This Row],[UnitPrice]]/(1+30%),IF(MotorPHSales[[#This Row],[Segment]]="Mid-range",MotorPHSales[[#This Row],[UnitPrice]]/(1+35%),MotorPHSales[[#This Row],[UnitPrice]]/(1+40%)))*MotorPHSales[[#This Row],[Quantity]]</f>
        <v>6338518.5185185177</v>
      </c>
      <c r="Q895" s="44" t="str">
        <f>INDEX(CLEANED_MotorPH_Products_List_2!H:H,MATCH(MotorPHSales[[#This Row],[Product]],CLEANED_MotorPH_Products_List_2!$B:$B,0))</f>
        <v>6-speed</v>
      </c>
    </row>
    <row r="896" spans="1:17" ht="15.75" x14ac:dyDescent="0.3">
      <c r="A896" s="43">
        <v>45852</v>
      </c>
      <c r="B896" s="44" t="str">
        <f>TEXT(MotorPHSales[[#This Row],[Date]],"mmmm")</f>
        <v>July</v>
      </c>
      <c r="C896" s="44">
        <f>DAY(MotorPHSales[[#This Row],[Date]])</f>
        <v>14</v>
      </c>
      <c r="D896" s="44">
        <f>YEAR(MotorPHSales[[#This Row],[Date]])</f>
        <v>2025</v>
      </c>
      <c r="E896" s="44" t="s">
        <v>196</v>
      </c>
      <c r="F896" s="44" t="s">
        <v>80</v>
      </c>
      <c r="G896" s="45">
        <v>398000</v>
      </c>
      <c r="H896" s="44">
        <v>18</v>
      </c>
      <c r="I896" s="45">
        <v>7164000</v>
      </c>
      <c r="J896" s="44" t="s">
        <v>195</v>
      </c>
      <c r="K896" s="44" t="str">
        <f>INDEX(CLEANED_MotorPH_Products_List_2!C:C,MATCH(MotorPHSales[[#This Row],[Product]],CLEANED_MotorPH_Products_List_2!$B:$B,0))</f>
        <v>Scooter</v>
      </c>
      <c r="L896" s="44" t="str">
        <f>INDEX(CLEANED_MotorPH_Products_List_2!E:E,MATCH(MotorPHSales[[#This Row],[Product]],CLEANED_MotorPH_Products_List_2!$B:$B,0))</f>
        <v>Single cylinder</v>
      </c>
      <c r="M896" s="44" t="str">
        <f>INDEX(CLEANED_MotorPH_Products_List_2!F:F,MATCH(MotorPHSales[[#This Row],[Product]],CLEANED_MotorPH_Products_List_2!$B:$B,0))</f>
        <v>liquid-cooled</v>
      </c>
      <c r="N896" s="44" t="str">
        <f>INDEX(CLEANED_MotorPH_Products_List_2!G:G,MATCH(MotorPHSales[[#This Row],[Product]],CLEANED_MotorPH_Products_List_2!$B:$B,0))</f>
        <v>278cc</v>
      </c>
      <c r="O896" s="44" t="str">
        <f>INDEX(CLEANED_MotorPH_Products_List_2!K:K,MATCH(MotorPHSales[[#This Row],[Product]],CLEANED_MotorPH_Products_List_2!B:B,0))</f>
        <v>Mid-range</v>
      </c>
      <c r="P896" s="45">
        <f>IF(MotorPHSales[[#This Row],[Segment]]="Entry-level",MotorPHSales[[#This Row],[UnitPrice]]/(1+30%),IF(MotorPHSales[[#This Row],[Segment]]="Mid-range",MotorPHSales[[#This Row],[UnitPrice]]/(1+35%),MotorPHSales[[#This Row],[UnitPrice]]/(1+40%)))*MotorPHSales[[#This Row],[Quantity]]</f>
        <v>5306666.666666666</v>
      </c>
      <c r="Q896" s="44" t="str">
        <f>INDEX(CLEANED_MotorPH_Products_List_2!H:H,MATCH(MotorPHSales[[#This Row],[Product]],CLEANED_MotorPH_Products_List_2!$B:$B,0))</f>
        <v>CVT</v>
      </c>
    </row>
    <row r="897" spans="1:17" ht="15.75" x14ac:dyDescent="0.3">
      <c r="A897" s="43">
        <v>45833</v>
      </c>
      <c r="B897" s="44" t="str">
        <f>TEXT(MotorPHSales[[#This Row],[Date]],"mmmm")</f>
        <v>June</v>
      </c>
      <c r="C897" s="44">
        <f>DAY(MotorPHSales[[#This Row],[Date]])</f>
        <v>25</v>
      </c>
      <c r="D897" s="44">
        <f>YEAR(MotorPHSales[[#This Row],[Date]])</f>
        <v>2025</v>
      </c>
      <c r="E897" s="44" t="s">
        <v>196</v>
      </c>
      <c r="F897" s="44" t="s">
        <v>63</v>
      </c>
      <c r="G897" s="45">
        <v>48000</v>
      </c>
      <c r="H897" s="44">
        <v>40</v>
      </c>
      <c r="I897" s="45">
        <v>1920000</v>
      </c>
      <c r="J897" s="44" t="s">
        <v>195</v>
      </c>
      <c r="K897" s="44" t="str">
        <f>INDEX(CLEANED_MotorPH_Products_List_2!C:C,MATCH(MotorPHSales[[#This Row],[Product]],CLEANED_MotorPH_Products_List_2!$B:$B,0))</f>
        <v>Commuter</v>
      </c>
      <c r="L897" s="44" t="str">
        <f>INDEX(CLEANED_MotorPH_Products_List_2!E:E,MATCH(MotorPHSales[[#This Row],[Product]],CLEANED_MotorPH_Products_List_2!$B:$B,0))</f>
        <v>Single cylinder</v>
      </c>
      <c r="M897" s="44" t="str">
        <f>INDEX(CLEANED_MotorPH_Products_List_2!F:F,MATCH(MotorPHSales[[#This Row],[Product]],CLEANED_MotorPH_Products_List_2!$B:$B,0))</f>
        <v>air-cooled</v>
      </c>
      <c r="N897" s="44" t="str">
        <f>INDEX(CLEANED_MotorPH_Products_List_2!G:G,MATCH(MotorPHSales[[#This Row],[Product]],CLEANED_MotorPH_Products_List_2!$B:$B,0))</f>
        <v>125cc</v>
      </c>
      <c r="O897" s="44" t="str">
        <f>INDEX(CLEANED_MotorPH_Products_List_2!K:K,MATCH(MotorPHSales[[#This Row],[Product]],CLEANED_MotorPH_Products_List_2!B:B,0))</f>
        <v>Entry-level</v>
      </c>
      <c r="P897" s="45">
        <f>IF(MotorPHSales[[#This Row],[Segment]]="Entry-level",MotorPHSales[[#This Row],[UnitPrice]]/(1+30%),IF(MotorPHSales[[#This Row],[Segment]]="Mid-range",MotorPHSales[[#This Row],[UnitPrice]]/(1+35%),MotorPHSales[[#This Row],[UnitPrice]]/(1+40%)))*MotorPHSales[[#This Row],[Quantity]]</f>
        <v>1476923.076923077</v>
      </c>
      <c r="Q897" s="44" t="str">
        <f>INDEX(CLEANED_MotorPH_Products_List_2!H:H,MATCH(MotorPHSales[[#This Row],[Product]],CLEANED_MotorPH_Products_List_2!$B:$B,0))</f>
        <v>4-speed</v>
      </c>
    </row>
    <row r="898" spans="1:17" ht="15.75" x14ac:dyDescent="0.3">
      <c r="A898" s="43">
        <v>45825</v>
      </c>
      <c r="B898" s="44" t="str">
        <f>TEXT(MotorPHSales[[#This Row],[Date]],"mmmm")</f>
        <v>June</v>
      </c>
      <c r="C898" s="44">
        <f>DAY(MotorPHSales[[#This Row],[Date]])</f>
        <v>17</v>
      </c>
      <c r="D898" s="44">
        <f>YEAR(MotorPHSales[[#This Row],[Date]])</f>
        <v>2025</v>
      </c>
      <c r="E898" s="44" t="s">
        <v>196</v>
      </c>
      <c r="F898" s="44" t="s">
        <v>53</v>
      </c>
      <c r="G898" s="45">
        <v>345000</v>
      </c>
      <c r="H898" s="44">
        <v>19</v>
      </c>
      <c r="I898" s="45">
        <v>6555000</v>
      </c>
      <c r="J898" s="44" t="s">
        <v>198</v>
      </c>
      <c r="K898" s="44" t="str">
        <f>INDEX(CLEANED_MotorPH_Products_List_2!C:C,MATCH(MotorPHSales[[#This Row],[Product]],CLEANED_MotorPH_Products_List_2!$B:$B,0))</f>
        <v>Touring</v>
      </c>
      <c r="L898" s="44" t="str">
        <f>INDEX(CLEANED_MotorPH_Products_List_2!E:E,MATCH(MotorPHSales[[#This Row],[Product]],CLEANED_MotorPH_Products_List_2!$B:$B,0))</f>
        <v>Parallel-twin</v>
      </c>
      <c r="M898" s="44" t="str">
        <f>INDEX(CLEANED_MotorPH_Products_List_2!F:F,MATCH(MotorPHSales[[#This Row],[Product]],CLEANED_MotorPH_Products_List_2!$B:$B,0))</f>
        <v>liquid-cooled</v>
      </c>
      <c r="N898" s="44" t="str">
        <f>INDEX(CLEANED_MotorPH_Products_List_2!G:G,MATCH(MotorPHSales[[#This Row],[Product]],CLEANED_MotorPH_Products_List_2!$B:$B,0))</f>
        <v>649cc</v>
      </c>
      <c r="O898" s="44" t="str">
        <f>INDEX(CLEANED_MotorPH_Products_List_2!K:K,MATCH(MotorPHSales[[#This Row],[Product]],CLEANED_MotorPH_Products_List_2!B:B,0))</f>
        <v>Premium</v>
      </c>
      <c r="P898" s="45">
        <f>IF(MotorPHSales[[#This Row],[Segment]]="Entry-level",MotorPHSales[[#This Row],[UnitPrice]]/(1+30%),IF(MotorPHSales[[#This Row],[Segment]]="Mid-range",MotorPHSales[[#This Row],[UnitPrice]]/(1+35%),MotorPHSales[[#This Row],[UnitPrice]]/(1+40%)))*MotorPHSales[[#This Row],[Quantity]]</f>
        <v>4682142.8571428573</v>
      </c>
      <c r="Q898" s="44" t="str">
        <f>INDEX(CLEANED_MotorPH_Products_List_2!H:H,MATCH(MotorPHSales[[#This Row],[Product]],CLEANED_MotorPH_Products_List_2!$B:$B,0))</f>
        <v>6-speed</v>
      </c>
    </row>
    <row r="899" spans="1:17" ht="15.75" x14ac:dyDescent="0.3">
      <c r="A899" s="43">
        <v>45821</v>
      </c>
      <c r="B899" s="44" t="str">
        <f>TEXT(MotorPHSales[[#This Row],[Date]],"mmmm")</f>
        <v>June</v>
      </c>
      <c r="C899" s="44">
        <f>DAY(MotorPHSales[[#This Row],[Date]])</f>
        <v>13</v>
      </c>
      <c r="D899" s="44">
        <f>YEAR(MotorPHSales[[#This Row],[Date]])</f>
        <v>2025</v>
      </c>
      <c r="E899" s="44" t="s">
        <v>194</v>
      </c>
      <c r="F899" s="44" t="s">
        <v>28</v>
      </c>
      <c r="G899" s="45">
        <v>164900</v>
      </c>
      <c r="H899" s="44">
        <v>11</v>
      </c>
      <c r="I899" s="45">
        <v>1813900</v>
      </c>
      <c r="J899" s="44" t="s">
        <v>195</v>
      </c>
      <c r="K899" s="44" t="str">
        <f>INDEX(CLEANED_MotorPH_Products_List_2!C:C,MATCH(MotorPHSales[[#This Row],[Product]],CLEANED_MotorPH_Products_List_2!$B:$B,0))</f>
        <v>Scooter</v>
      </c>
      <c r="L899" s="44" t="str">
        <f>INDEX(CLEANED_MotorPH_Products_List_2!E:E,MATCH(MotorPHSales[[#This Row],[Product]],CLEANED_MotorPH_Products_List_2!$B:$B,0))</f>
        <v>Single cylinder</v>
      </c>
      <c r="M899" s="44" t="str">
        <f>INDEX(CLEANED_MotorPH_Products_List_2!F:F,MATCH(MotorPHSales[[#This Row],[Product]],CLEANED_MotorPH_Products_List_2!$B:$B,0))</f>
        <v>liquid-cooled</v>
      </c>
      <c r="N899" s="44" t="str">
        <f>INDEX(CLEANED_MotorPH_Products_List_2!G:G,MATCH(MotorPHSales[[#This Row],[Product]],CLEANED_MotorPH_Products_List_2!$B:$B,0))</f>
        <v>157cc</v>
      </c>
      <c r="O899" s="44" t="str">
        <f>INDEX(CLEANED_MotorPH_Products_List_2!K:K,MATCH(MotorPHSales[[#This Row],[Product]],CLEANED_MotorPH_Products_List_2!B:B,0))</f>
        <v>Entry-level</v>
      </c>
      <c r="P899" s="45">
        <f>IF(MotorPHSales[[#This Row],[Segment]]="Entry-level",MotorPHSales[[#This Row],[UnitPrice]]/(1+30%),IF(MotorPHSales[[#This Row],[Segment]]="Mid-range",MotorPHSales[[#This Row],[UnitPrice]]/(1+35%),MotorPHSales[[#This Row],[UnitPrice]]/(1+40%)))*MotorPHSales[[#This Row],[Quantity]]</f>
        <v>1395307.6923076923</v>
      </c>
      <c r="Q899" s="44" t="str">
        <f>INDEX(CLEANED_MotorPH_Products_List_2!H:H,MATCH(MotorPHSales[[#This Row],[Product]],CLEANED_MotorPH_Products_List_2!$B:$B,0))</f>
        <v>CVT</v>
      </c>
    </row>
    <row r="900" spans="1:17" ht="15.75" x14ac:dyDescent="0.3">
      <c r="A900" s="43">
        <v>45892</v>
      </c>
      <c r="B900" s="44" t="str">
        <f>TEXT(MotorPHSales[[#This Row],[Date]],"mmmm")</f>
        <v>August</v>
      </c>
      <c r="C900" s="44">
        <f>DAY(MotorPHSales[[#This Row],[Date]])</f>
        <v>23</v>
      </c>
      <c r="D900" s="44">
        <f>YEAR(MotorPHSales[[#This Row],[Date]])</f>
        <v>2025</v>
      </c>
      <c r="E900" s="44" t="s">
        <v>194</v>
      </c>
      <c r="F900" s="44" t="s">
        <v>53</v>
      </c>
      <c r="G900" s="45">
        <v>345000</v>
      </c>
      <c r="H900" s="44">
        <v>21</v>
      </c>
      <c r="I900" s="45">
        <v>7245000</v>
      </c>
      <c r="J900" s="44" t="s">
        <v>198</v>
      </c>
      <c r="K900" s="44" t="str">
        <f>INDEX(CLEANED_MotorPH_Products_List_2!C:C,MATCH(MotorPHSales[[#This Row],[Product]],CLEANED_MotorPH_Products_List_2!$B:$B,0))</f>
        <v>Touring</v>
      </c>
      <c r="L900" s="44" t="str">
        <f>INDEX(CLEANED_MotorPH_Products_List_2!E:E,MATCH(MotorPHSales[[#This Row],[Product]],CLEANED_MotorPH_Products_List_2!$B:$B,0))</f>
        <v>Parallel-twin</v>
      </c>
      <c r="M900" s="44" t="str">
        <f>INDEX(CLEANED_MotorPH_Products_List_2!F:F,MATCH(MotorPHSales[[#This Row],[Product]],CLEANED_MotorPH_Products_List_2!$B:$B,0))</f>
        <v>liquid-cooled</v>
      </c>
      <c r="N900" s="44" t="str">
        <f>INDEX(CLEANED_MotorPH_Products_List_2!G:G,MATCH(MotorPHSales[[#This Row],[Product]],CLEANED_MotorPH_Products_List_2!$B:$B,0))</f>
        <v>649cc</v>
      </c>
      <c r="O900" s="44" t="str">
        <f>INDEX(CLEANED_MotorPH_Products_List_2!K:K,MATCH(MotorPHSales[[#This Row],[Product]],CLEANED_MotorPH_Products_List_2!B:B,0))</f>
        <v>Premium</v>
      </c>
      <c r="P900" s="45">
        <f>IF(MotorPHSales[[#This Row],[Segment]]="Entry-level",MotorPHSales[[#This Row],[UnitPrice]]/(1+30%),IF(MotorPHSales[[#This Row],[Segment]]="Mid-range",MotorPHSales[[#This Row],[UnitPrice]]/(1+35%),MotorPHSales[[#This Row],[UnitPrice]]/(1+40%)))*MotorPHSales[[#This Row],[Quantity]]</f>
        <v>5175000</v>
      </c>
      <c r="Q900" s="44" t="str">
        <f>INDEX(CLEANED_MotorPH_Products_List_2!H:H,MATCH(MotorPHSales[[#This Row],[Product]],CLEANED_MotorPH_Products_List_2!$B:$B,0))</f>
        <v>6-speed</v>
      </c>
    </row>
    <row r="901" spans="1:17" ht="15.75" x14ac:dyDescent="0.3">
      <c r="A901" s="43">
        <v>45833</v>
      </c>
      <c r="B901" s="44" t="str">
        <f>TEXT(MotorPHSales[[#This Row],[Date]],"mmmm")</f>
        <v>June</v>
      </c>
      <c r="C901" s="44">
        <f>DAY(MotorPHSales[[#This Row],[Date]])</f>
        <v>25</v>
      </c>
      <c r="D901" s="44">
        <f>YEAR(MotorPHSales[[#This Row],[Date]])</f>
        <v>2025</v>
      </c>
      <c r="E901" s="44" t="s">
        <v>194</v>
      </c>
      <c r="F901" s="44" t="s">
        <v>36</v>
      </c>
      <c r="G901" s="45">
        <v>129000</v>
      </c>
      <c r="H901" s="44">
        <v>8</v>
      </c>
      <c r="I901" s="45">
        <v>1032000</v>
      </c>
      <c r="J901" s="44" t="s">
        <v>198</v>
      </c>
      <c r="K901" s="44" t="str">
        <f>INDEX(CLEANED_MotorPH_Products_List_2!C:C,MATCH(MotorPHSales[[#This Row],[Product]],CLEANED_MotorPH_Products_List_2!$B:$B,0))</f>
        <v>Naked bike</v>
      </c>
      <c r="L901" s="44" t="str">
        <f>INDEX(CLEANED_MotorPH_Products_List_2!E:E,MATCH(MotorPHSales[[#This Row],[Product]],CLEANED_MotorPH_Products_List_2!$B:$B,0))</f>
        <v>Single cylinder</v>
      </c>
      <c r="M901" s="44" t="str">
        <f>INDEX(CLEANED_MotorPH_Products_List_2!F:F,MATCH(MotorPHSales[[#This Row],[Product]],CLEANED_MotorPH_Products_List_2!$B:$B,0))</f>
        <v>oil-cooled</v>
      </c>
      <c r="N901" s="44" t="str">
        <f>INDEX(CLEANED_MotorPH_Products_List_2!G:G,MATCH(MotorPHSales[[#This Row],[Product]],CLEANED_MotorPH_Products_List_2!$B:$B,0))</f>
        <v>197cc</v>
      </c>
      <c r="O901" s="44" t="str">
        <f>INDEX(CLEANED_MotorPH_Products_List_2!K:K,MATCH(MotorPHSales[[#This Row],[Product]],CLEANED_MotorPH_Products_List_2!B:B,0))</f>
        <v>Entry-level</v>
      </c>
      <c r="P901" s="45">
        <f>IF(MotorPHSales[[#This Row],[Segment]]="Entry-level",MotorPHSales[[#This Row],[UnitPrice]]/(1+30%),IF(MotorPHSales[[#This Row],[Segment]]="Mid-range",MotorPHSales[[#This Row],[UnitPrice]]/(1+35%),MotorPHSales[[#This Row],[UnitPrice]]/(1+40%)))*MotorPHSales[[#This Row],[Quantity]]</f>
        <v>793846.15384615387</v>
      </c>
      <c r="Q901" s="44" t="str">
        <f>INDEX(CLEANED_MotorPH_Products_List_2!H:H,MATCH(MotorPHSales[[#This Row],[Product]],CLEANED_MotorPH_Products_List_2!$B:$B,0))</f>
        <v>5-speed</v>
      </c>
    </row>
    <row r="902" spans="1:17" ht="15.75" x14ac:dyDescent="0.3">
      <c r="A902" s="43">
        <v>45876</v>
      </c>
      <c r="B902" s="44" t="str">
        <f>TEXT(MotorPHSales[[#This Row],[Date]],"mmmm")</f>
        <v>August</v>
      </c>
      <c r="C902" s="44">
        <f>DAY(MotorPHSales[[#This Row],[Date]])</f>
        <v>7</v>
      </c>
      <c r="D902" s="44">
        <f>YEAR(MotorPHSales[[#This Row],[Date]])</f>
        <v>2025</v>
      </c>
      <c r="E902" s="44" t="s">
        <v>196</v>
      </c>
      <c r="F902" s="44" t="s">
        <v>76</v>
      </c>
      <c r="G902" s="45">
        <v>369000</v>
      </c>
      <c r="H902" s="44">
        <v>6</v>
      </c>
      <c r="I902" s="45">
        <v>2214000</v>
      </c>
      <c r="J902" s="44" t="s">
        <v>198</v>
      </c>
      <c r="K902" s="44" t="str">
        <f>INDEX(CLEANED_MotorPH_Products_List_2!C:C,MATCH(MotorPHSales[[#This Row],[Product]],CLEANED_MotorPH_Products_List_2!$B:$B,0))</f>
        <v>Adventure</v>
      </c>
      <c r="L902" s="44" t="str">
        <f>INDEX(CLEANED_MotorPH_Products_List_2!E:E,MATCH(MotorPHSales[[#This Row],[Product]],CLEANED_MotorPH_Products_List_2!$B:$B,0))</f>
        <v>Parallel-twin</v>
      </c>
      <c r="M902" s="44" t="str">
        <f>INDEX(CLEANED_MotorPH_Products_List_2!F:F,MATCH(MotorPHSales[[#This Row],[Product]],CLEANED_MotorPH_Products_List_2!$B:$B,0))</f>
        <v>liquid-cooled</v>
      </c>
      <c r="N902" s="44" t="str">
        <f>INDEX(CLEANED_MotorPH_Products_List_2!G:G,MATCH(MotorPHSales[[#This Row],[Product]],CLEANED_MotorPH_Products_List_2!$B:$B,0))</f>
        <v>649cc</v>
      </c>
      <c r="O902" s="44" t="str">
        <f>INDEX(CLEANED_MotorPH_Products_List_2!K:K,MATCH(MotorPHSales[[#This Row],[Product]],CLEANED_MotorPH_Products_List_2!B:B,0))</f>
        <v>Premium</v>
      </c>
      <c r="P902" s="45">
        <f>IF(MotorPHSales[[#This Row],[Segment]]="Entry-level",MotorPHSales[[#This Row],[UnitPrice]]/(1+30%),IF(MotorPHSales[[#This Row],[Segment]]="Mid-range",MotorPHSales[[#This Row],[UnitPrice]]/(1+35%),MotorPHSales[[#This Row],[UnitPrice]]/(1+40%)))*MotorPHSales[[#This Row],[Quantity]]</f>
        <v>1581428.5714285714</v>
      </c>
      <c r="Q902" s="44" t="str">
        <f>INDEX(CLEANED_MotorPH_Products_List_2!H:H,MATCH(MotorPHSales[[#This Row],[Product]],CLEANED_MotorPH_Products_List_2!$B:$B,0))</f>
        <v>6-speed</v>
      </c>
    </row>
    <row r="903" spans="1:17" ht="15.75" x14ac:dyDescent="0.3">
      <c r="A903" s="43">
        <v>45818</v>
      </c>
      <c r="B903" s="44" t="str">
        <f>TEXT(MotorPHSales[[#This Row],[Date]],"mmmm")</f>
        <v>June</v>
      </c>
      <c r="C903" s="44">
        <f>DAY(MotorPHSales[[#This Row],[Date]])</f>
        <v>10</v>
      </c>
      <c r="D903" s="44">
        <f>YEAR(MotorPHSales[[#This Row],[Date]])</f>
        <v>2025</v>
      </c>
      <c r="E903" s="44" t="s">
        <v>194</v>
      </c>
      <c r="F903" s="44" t="s">
        <v>78</v>
      </c>
      <c r="G903" s="45">
        <v>99900</v>
      </c>
      <c r="H903" s="44">
        <v>5</v>
      </c>
      <c r="I903" s="45">
        <v>499500</v>
      </c>
      <c r="J903" s="44" t="s">
        <v>195</v>
      </c>
      <c r="K903" s="44" t="str">
        <f>INDEX(CLEANED_MotorPH_Products_List_2!C:C,MATCH(MotorPHSales[[#This Row],[Product]],CLEANED_MotorPH_Products_List_2!$B:$B,0))</f>
        <v>Street</v>
      </c>
      <c r="L903" s="44" t="str">
        <f>INDEX(CLEANED_MotorPH_Products_List_2!E:E,MATCH(MotorPHSales[[#This Row],[Product]],CLEANED_MotorPH_Products_List_2!$B:$B,0))</f>
        <v>Single cylinder</v>
      </c>
      <c r="M903" s="44" t="str">
        <f>INDEX(CLEANED_MotorPH_Products_List_2!F:F,MATCH(MotorPHSales[[#This Row],[Product]],CLEANED_MotorPH_Products_List_2!$B:$B,0))</f>
        <v>air-cooled</v>
      </c>
      <c r="N903" s="44" t="str">
        <f>INDEX(CLEANED_MotorPH_Products_List_2!G:G,MATCH(MotorPHSales[[#This Row],[Product]],CLEANED_MotorPH_Products_List_2!$B:$B,0))</f>
        <v>149cc</v>
      </c>
      <c r="O903" s="44" t="str">
        <f>INDEX(CLEANED_MotorPH_Products_List_2!K:K,MATCH(MotorPHSales[[#This Row],[Product]],CLEANED_MotorPH_Products_List_2!B:B,0))</f>
        <v>Entry-level</v>
      </c>
      <c r="P903" s="45">
        <f>IF(MotorPHSales[[#This Row],[Segment]]="Entry-level",MotorPHSales[[#This Row],[UnitPrice]]/(1+30%),IF(MotorPHSales[[#This Row],[Segment]]="Mid-range",MotorPHSales[[#This Row],[UnitPrice]]/(1+35%),MotorPHSales[[#This Row],[UnitPrice]]/(1+40%)))*MotorPHSales[[#This Row],[Quantity]]</f>
        <v>384230.76923076925</v>
      </c>
      <c r="Q903" s="44" t="str">
        <f>INDEX(CLEANED_MotorPH_Products_List_2!H:H,MATCH(MotorPHSales[[#This Row],[Product]],CLEANED_MotorPH_Products_List_2!$B:$B,0))</f>
        <v>5-speed</v>
      </c>
    </row>
    <row r="904" spans="1:17" ht="15.75" x14ac:dyDescent="0.3">
      <c r="A904" s="43">
        <v>45875</v>
      </c>
      <c r="B904" s="44" t="str">
        <f>TEXT(MotorPHSales[[#This Row],[Date]],"mmmm")</f>
        <v>August</v>
      </c>
      <c r="C904" s="44">
        <f>DAY(MotorPHSales[[#This Row],[Date]])</f>
        <v>6</v>
      </c>
      <c r="D904" s="44">
        <f>YEAR(MotorPHSales[[#This Row],[Date]])</f>
        <v>2025</v>
      </c>
      <c r="E904" s="44" t="s">
        <v>196</v>
      </c>
      <c r="F904" s="44" t="s">
        <v>40</v>
      </c>
      <c r="G904" s="45">
        <v>210000</v>
      </c>
      <c r="H904" s="44">
        <v>8</v>
      </c>
      <c r="I904" s="45">
        <v>1680000</v>
      </c>
      <c r="J904" s="44" t="s">
        <v>198</v>
      </c>
      <c r="K904" s="44" t="str">
        <f>INDEX(CLEANED_MotorPH_Products_List_2!C:C,MATCH(MotorPHSales[[#This Row],[Product]],CLEANED_MotorPH_Products_List_2!$B:$B,0))</f>
        <v>Scooter</v>
      </c>
      <c r="L904" s="44" t="str">
        <f>INDEX(CLEANED_MotorPH_Products_List_2!E:E,MATCH(MotorPHSales[[#This Row],[Product]],CLEANED_MotorPH_Products_List_2!$B:$B,0))</f>
        <v>Single cylinder</v>
      </c>
      <c r="M904" s="44" t="str">
        <f>INDEX(CLEANED_MotorPH_Products_List_2!F:F,MATCH(MotorPHSales[[#This Row],[Product]],CLEANED_MotorPH_Products_List_2!$B:$B,0))</f>
        <v>air-cooled</v>
      </c>
      <c r="N904" s="44" t="str">
        <f>INDEX(CLEANED_MotorPH_Products_List_2!G:G,MATCH(MotorPHSales[[#This Row],[Product]],CLEANED_MotorPH_Products_List_2!$B:$B,0))</f>
        <v>150cc</v>
      </c>
      <c r="O904" s="44" t="str">
        <f>INDEX(CLEANED_MotorPH_Products_List_2!K:K,MATCH(MotorPHSales[[#This Row],[Product]],CLEANED_MotorPH_Products_List_2!B:B,0))</f>
        <v>Entry-level</v>
      </c>
      <c r="P904" s="45">
        <f>IF(MotorPHSales[[#This Row],[Segment]]="Entry-level",MotorPHSales[[#This Row],[UnitPrice]]/(1+30%),IF(MotorPHSales[[#This Row],[Segment]]="Mid-range",MotorPHSales[[#This Row],[UnitPrice]]/(1+35%),MotorPHSales[[#This Row],[UnitPrice]]/(1+40%)))*MotorPHSales[[#This Row],[Quantity]]</f>
        <v>1292307.6923076923</v>
      </c>
      <c r="Q904" s="44" t="str">
        <f>INDEX(CLEANED_MotorPH_Products_List_2!H:H,MATCH(MotorPHSales[[#This Row],[Product]],CLEANED_MotorPH_Products_List_2!$B:$B,0))</f>
        <v>CVT</v>
      </c>
    </row>
    <row r="905" spans="1:17" ht="15.75" x14ac:dyDescent="0.3">
      <c r="A905" s="43">
        <v>45868</v>
      </c>
      <c r="B905" s="44" t="str">
        <f>TEXT(MotorPHSales[[#This Row],[Date]],"mmmm")</f>
        <v>July</v>
      </c>
      <c r="C905" s="44">
        <f>DAY(MotorPHSales[[#This Row],[Date]])</f>
        <v>30</v>
      </c>
      <c r="D905" s="44">
        <f>YEAR(MotorPHSales[[#This Row],[Date]])</f>
        <v>2025</v>
      </c>
      <c r="E905" s="44" t="s">
        <v>194</v>
      </c>
      <c r="F905" s="44" t="s">
        <v>57</v>
      </c>
      <c r="G905" s="45">
        <v>125900</v>
      </c>
      <c r="H905" s="44">
        <v>19</v>
      </c>
      <c r="I905" s="45">
        <v>2392100</v>
      </c>
      <c r="J905" s="44" t="s">
        <v>195</v>
      </c>
      <c r="K905" s="44" t="str">
        <f>INDEX(CLEANED_MotorPH_Products_List_2!C:C,MATCH(MotorPHSales[[#This Row],[Product]],CLEANED_MotorPH_Products_List_2!$B:$B,0))</f>
        <v>Underbone</v>
      </c>
      <c r="L905" s="44" t="str">
        <f>INDEX(CLEANED_MotorPH_Products_List_2!E:E,MATCH(MotorPHSales[[#This Row],[Product]],CLEANED_MotorPH_Products_List_2!$B:$B,0))</f>
        <v>Single cylinder</v>
      </c>
      <c r="M905" s="44" t="str">
        <f>INDEX(CLEANED_MotorPH_Products_List_2!F:F,MATCH(MotorPHSales[[#This Row],[Product]],CLEANED_MotorPH_Products_List_2!$B:$B,0))</f>
        <v>liquid-cooled</v>
      </c>
      <c r="N905" s="44" t="str">
        <f>INDEX(CLEANED_MotorPH_Products_List_2!G:G,MATCH(MotorPHSales[[#This Row],[Product]],CLEANED_MotorPH_Products_List_2!$B:$B,0))</f>
        <v>155cc</v>
      </c>
      <c r="O905" s="44" t="str">
        <f>INDEX(CLEANED_MotorPH_Products_List_2!K:K,MATCH(MotorPHSales[[#This Row],[Product]],CLEANED_MotorPH_Products_List_2!B:B,0))</f>
        <v>Entry-level</v>
      </c>
      <c r="P905" s="45">
        <f>IF(MotorPHSales[[#This Row],[Segment]]="Entry-level",MotorPHSales[[#This Row],[UnitPrice]]/(1+30%),IF(MotorPHSales[[#This Row],[Segment]]="Mid-range",MotorPHSales[[#This Row],[UnitPrice]]/(1+35%),MotorPHSales[[#This Row],[UnitPrice]]/(1+40%)))*MotorPHSales[[#This Row],[Quantity]]</f>
        <v>1840076.923076923</v>
      </c>
      <c r="Q905" s="44" t="str">
        <f>INDEX(CLEANED_MotorPH_Products_List_2!H:H,MATCH(MotorPHSales[[#This Row],[Product]],CLEANED_MotorPH_Products_List_2!$B:$B,0))</f>
        <v>6-speed</v>
      </c>
    </row>
    <row r="906" spans="1:17" ht="15.75" x14ac:dyDescent="0.3">
      <c r="A906" s="43">
        <v>45894</v>
      </c>
      <c r="B906" s="44" t="str">
        <f>TEXT(MotorPHSales[[#This Row],[Date]],"mmmm")</f>
        <v>August</v>
      </c>
      <c r="C906" s="44">
        <f>DAY(MotorPHSales[[#This Row],[Date]])</f>
        <v>25</v>
      </c>
      <c r="D906" s="44">
        <f>YEAR(MotorPHSales[[#This Row],[Date]])</f>
        <v>2025</v>
      </c>
      <c r="E906" s="44" t="s">
        <v>196</v>
      </c>
      <c r="F906" s="44" t="s">
        <v>8</v>
      </c>
      <c r="G906" s="45">
        <v>178000</v>
      </c>
      <c r="H906" s="44">
        <v>12</v>
      </c>
      <c r="I906" s="45">
        <v>2136000</v>
      </c>
      <c r="J906" s="44" t="s">
        <v>197</v>
      </c>
      <c r="K906" s="44" t="str">
        <f>INDEX(CLEANED_MotorPH_Products_List_2!C:C,MATCH(MotorPHSales[[#This Row],[Product]],CLEANED_MotorPH_Products_List_2!$B:$B,0))</f>
        <v>Naked bike</v>
      </c>
      <c r="L906" s="44" t="str">
        <f>INDEX(CLEANED_MotorPH_Products_List_2!E:E,MATCH(MotorPHSales[[#This Row],[Product]],CLEANED_MotorPH_Products_List_2!$B:$B,0))</f>
        <v>Single cylinder</v>
      </c>
      <c r="M906" s="44" t="str">
        <f>INDEX(CLEANED_MotorPH_Products_List_2!F:F,MATCH(MotorPHSales[[#This Row],[Product]],CLEANED_MotorPH_Products_List_2!$B:$B,0))</f>
        <v>liquid-cooled</v>
      </c>
      <c r="N906" s="44" t="str">
        <f>INDEX(CLEANED_MotorPH_Products_List_2!G:G,MATCH(MotorPHSales[[#This Row],[Product]],CLEANED_MotorPH_Products_List_2!$B:$B,0))</f>
        <v>155cc</v>
      </c>
      <c r="O906" s="44" t="str">
        <f>INDEX(CLEANED_MotorPH_Products_List_2!K:K,MATCH(MotorPHSales[[#This Row],[Product]],CLEANED_MotorPH_Products_List_2!B:B,0))</f>
        <v>Entry-level</v>
      </c>
      <c r="P906" s="45">
        <f>IF(MotorPHSales[[#This Row],[Segment]]="Entry-level",MotorPHSales[[#This Row],[UnitPrice]]/(1+30%),IF(MotorPHSales[[#This Row],[Segment]]="Mid-range",MotorPHSales[[#This Row],[UnitPrice]]/(1+35%),MotorPHSales[[#This Row],[UnitPrice]]/(1+40%)))*MotorPHSales[[#This Row],[Quantity]]</f>
        <v>1643076.923076923</v>
      </c>
      <c r="Q906" s="44" t="str">
        <f>INDEX(CLEANED_MotorPH_Products_List_2!H:H,MATCH(MotorPHSales[[#This Row],[Product]],CLEANED_MotorPH_Products_List_2!$B:$B,0))</f>
        <v>6-speed</v>
      </c>
    </row>
    <row r="907" spans="1:17" ht="15.75" x14ac:dyDescent="0.3">
      <c r="A907" s="43">
        <v>45842</v>
      </c>
      <c r="B907" s="44" t="str">
        <f>TEXT(MotorPHSales[[#This Row],[Date]],"mmmm")</f>
        <v>July</v>
      </c>
      <c r="C907" s="44">
        <f>DAY(MotorPHSales[[#This Row],[Date]])</f>
        <v>4</v>
      </c>
      <c r="D907" s="44">
        <f>YEAR(MotorPHSales[[#This Row],[Date]])</f>
        <v>2025</v>
      </c>
      <c r="E907" s="44" t="s">
        <v>194</v>
      </c>
      <c r="F907" s="44" t="s">
        <v>18</v>
      </c>
      <c r="G907" s="45">
        <v>328000</v>
      </c>
      <c r="H907" s="44">
        <v>1</v>
      </c>
      <c r="I907" s="45">
        <v>328000</v>
      </c>
      <c r="J907" s="44" t="s">
        <v>197</v>
      </c>
      <c r="K907" s="44" t="str">
        <f>INDEX(CLEANED_MotorPH_Products_List_2!C:C,MATCH(MotorPHSales[[#This Row],[Product]],CLEANED_MotorPH_Products_List_2!$B:$B,0))</f>
        <v>Cafe racer</v>
      </c>
      <c r="L907" s="44" t="str">
        <f>INDEX(CLEANED_MotorPH_Products_List_2!E:E,MATCH(MotorPHSales[[#This Row],[Product]],CLEANED_MotorPH_Products_List_2!$B:$B,0))</f>
        <v>Twin cylinder</v>
      </c>
      <c r="M907" s="44" t="str">
        <f>INDEX(CLEANED_MotorPH_Products_List_2!F:F,MATCH(MotorPHSales[[#This Row],[Product]],CLEANED_MotorPH_Products_List_2!$B:$B,0))</f>
        <v>air-cooled</v>
      </c>
      <c r="N907" s="44" t="str">
        <f>INDEX(CLEANED_MotorPH_Products_List_2!G:G,MATCH(MotorPHSales[[#This Row],[Product]],CLEANED_MotorPH_Products_List_2!$B:$B,0))</f>
        <v>471cc</v>
      </c>
      <c r="O907" s="44" t="str">
        <f>INDEX(CLEANED_MotorPH_Products_List_2!K:K,MATCH(MotorPHSales[[#This Row],[Product]],CLEANED_MotorPH_Products_List_2!B:B,0))</f>
        <v>Mid-range</v>
      </c>
      <c r="P907" s="45">
        <f>IF(MotorPHSales[[#This Row],[Segment]]="Entry-level",MotorPHSales[[#This Row],[UnitPrice]]/(1+30%),IF(MotorPHSales[[#This Row],[Segment]]="Mid-range",MotorPHSales[[#This Row],[UnitPrice]]/(1+35%),MotorPHSales[[#This Row],[UnitPrice]]/(1+40%)))*MotorPHSales[[#This Row],[Quantity]]</f>
        <v>242962.96296296295</v>
      </c>
      <c r="Q907" s="44" t="str">
        <f>INDEX(CLEANED_MotorPH_Products_List_2!H:H,MATCH(MotorPHSales[[#This Row],[Product]],CLEANED_MotorPH_Products_List_2!$B:$B,0))</f>
        <v>6-speed</v>
      </c>
    </row>
    <row r="908" spans="1:17" ht="15.75" x14ac:dyDescent="0.3">
      <c r="A908" s="43">
        <v>45816</v>
      </c>
      <c r="B908" s="44" t="str">
        <f>TEXT(MotorPHSales[[#This Row],[Date]],"mmmm")</f>
        <v>June</v>
      </c>
      <c r="C908" s="44">
        <f>DAY(MotorPHSales[[#This Row],[Date]])</f>
        <v>8</v>
      </c>
      <c r="D908" s="44">
        <f>YEAR(MotorPHSales[[#This Row],[Date]])</f>
        <v>2025</v>
      </c>
      <c r="E908" s="44" t="s">
        <v>196</v>
      </c>
      <c r="F908" s="44" t="s">
        <v>30</v>
      </c>
      <c r="G908" s="45">
        <v>79900</v>
      </c>
      <c r="H908" s="44">
        <v>46</v>
      </c>
      <c r="I908" s="45">
        <v>3675400</v>
      </c>
      <c r="J908" s="44" t="s">
        <v>195</v>
      </c>
      <c r="K908" s="44" t="str">
        <f>INDEX(CLEANED_MotorPH_Products_List_2!C:C,MATCH(MotorPHSales[[#This Row],[Product]],CLEANED_MotorPH_Products_List_2!$B:$B,0))</f>
        <v>Scooter</v>
      </c>
      <c r="L908" s="44" t="str">
        <f>INDEX(CLEANED_MotorPH_Products_List_2!E:E,MATCH(MotorPHSales[[#This Row],[Product]],CLEANED_MotorPH_Products_List_2!$B:$B,0))</f>
        <v>Single cylinder</v>
      </c>
      <c r="M908" s="44" t="str">
        <f>INDEX(CLEANED_MotorPH_Products_List_2!F:F,MATCH(MotorPHSales[[#This Row],[Product]],CLEANED_MotorPH_Products_List_2!$B:$B,0))</f>
        <v>air-cooled</v>
      </c>
      <c r="N908" s="44" t="str">
        <f>INDEX(CLEANED_MotorPH_Products_List_2!G:G,MATCH(MotorPHSales[[#This Row],[Product]],CLEANED_MotorPH_Products_List_2!$B:$B,0))</f>
        <v>124cc</v>
      </c>
      <c r="O908" s="44" t="str">
        <f>INDEX(CLEANED_MotorPH_Products_List_2!K:K,MATCH(MotorPHSales[[#This Row],[Product]],CLEANED_MotorPH_Products_List_2!B:B,0))</f>
        <v>Entry-level</v>
      </c>
      <c r="P908" s="45">
        <f>IF(MotorPHSales[[#This Row],[Segment]]="Entry-level",MotorPHSales[[#This Row],[UnitPrice]]/(1+30%),IF(MotorPHSales[[#This Row],[Segment]]="Mid-range",MotorPHSales[[#This Row],[UnitPrice]]/(1+35%),MotorPHSales[[#This Row],[UnitPrice]]/(1+40%)))*MotorPHSales[[#This Row],[Quantity]]</f>
        <v>2827230.769230769</v>
      </c>
      <c r="Q908" s="44" t="str">
        <f>INDEX(CLEANED_MotorPH_Products_List_2!H:H,MATCH(MotorPHSales[[#This Row],[Product]],CLEANED_MotorPH_Products_List_2!$B:$B,0))</f>
        <v>CVT</v>
      </c>
    </row>
    <row r="909" spans="1:17" ht="15.75" x14ac:dyDescent="0.3">
      <c r="A909" s="43">
        <v>45848</v>
      </c>
      <c r="B909" s="44" t="str">
        <f>TEXT(MotorPHSales[[#This Row],[Date]],"mmmm")</f>
        <v>July</v>
      </c>
      <c r="C909" s="44">
        <f>DAY(MotorPHSales[[#This Row],[Date]])</f>
        <v>10</v>
      </c>
      <c r="D909" s="44">
        <f>YEAR(MotorPHSales[[#This Row],[Date]])</f>
        <v>2025</v>
      </c>
      <c r="E909" s="44" t="s">
        <v>194</v>
      </c>
      <c r="F909" s="44" t="s">
        <v>32</v>
      </c>
      <c r="G909" s="45">
        <v>198000</v>
      </c>
      <c r="H909" s="44">
        <v>7</v>
      </c>
      <c r="I909" s="45">
        <v>1386000</v>
      </c>
      <c r="J909" s="44" t="s">
        <v>197</v>
      </c>
      <c r="K909" s="44" t="str">
        <f>INDEX(CLEANED_MotorPH_Products_List_2!C:C,MATCH(MotorPHSales[[#This Row],[Product]],CLEANED_MotorPH_Products_List_2!$B:$B,0))</f>
        <v>Sport</v>
      </c>
      <c r="L909" s="44" t="str">
        <f>INDEX(CLEANED_MotorPH_Products_List_2!E:E,MATCH(MotorPHSales[[#This Row],[Product]],CLEANED_MotorPH_Products_List_2!$B:$B,0))</f>
        <v>Single cylinder</v>
      </c>
      <c r="M909" s="44" t="str">
        <f>INDEX(CLEANED_MotorPH_Products_List_2!F:F,MATCH(MotorPHSales[[#This Row],[Product]],CLEANED_MotorPH_Products_List_2!$B:$B,0))</f>
        <v>liquid-cooled</v>
      </c>
      <c r="N909" s="44" t="str">
        <f>INDEX(CLEANED_MotorPH_Products_List_2!G:G,MATCH(MotorPHSales[[#This Row],[Product]],CLEANED_MotorPH_Products_List_2!$B:$B,0))</f>
        <v>199cc</v>
      </c>
      <c r="O909" s="44" t="str">
        <f>INDEX(CLEANED_MotorPH_Products_List_2!K:K,MATCH(MotorPHSales[[#This Row],[Product]],CLEANED_MotorPH_Products_List_2!B:B,0))</f>
        <v>Entry-level</v>
      </c>
      <c r="P909" s="45">
        <f>IF(MotorPHSales[[#This Row],[Segment]]="Entry-level",MotorPHSales[[#This Row],[UnitPrice]]/(1+30%),IF(MotorPHSales[[#This Row],[Segment]]="Mid-range",MotorPHSales[[#This Row],[UnitPrice]]/(1+35%),MotorPHSales[[#This Row],[UnitPrice]]/(1+40%)))*MotorPHSales[[#This Row],[Quantity]]</f>
        <v>1066153.8461538462</v>
      </c>
      <c r="Q909" s="44" t="str">
        <f>INDEX(CLEANED_MotorPH_Products_List_2!H:H,MATCH(MotorPHSales[[#This Row],[Product]],CLEANED_MotorPH_Products_List_2!$B:$B,0))</f>
        <v>6-speed</v>
      </c>
    </row>
    <row r="910" spans="1:17" ht="15.75" x14ac:dyDescent="0.3">
      <c r="A910" s="43">
        <v>45891</v>
      </c>
      <c r="B910" s="44" t="str">
        <f>TEXT(MotorPHSales[[#This Row],[Date]],"mmmm")</f>
        <v>August</v>
      </c>
      <c r="C910" s="44">
        <f>DAY(MotorPHSales[[#This Row],[Date]])</f>
        <v>22</v>
      </c>
      <c r="D910" s="44">
        <f>YEAR(MotorPHSales[[#This Row],[Date]])</f>
        <v>2025</v>
      </c>
      <c r="E910" s="44" t="s">
        <v>194</v>
      </c>
      <c r="F910" s="44" t="s">
        <v>82</v>
      </c>
      <c r="G910" s="45">
        <v>199000</v>
      </c>
      <c r="H910" s="44">
        <v>9</v>
      </c>
      <c r="I910" s="45">
        <v>1791000</v>
      </c>
      <c r="J910" s="44" t="s">
        <v>197</v>
      </c>
      <c r="K910" s="44" t="str">
        <f>INDEX(CLEANED_MotorPH_Products_List_2!C:C,MATCH(MotorPHSales[[#This Row],[Product]],CLEANED_MotorPH_Products_List_2!$B:$B,0))</f>
        <v>Dual-sport</v>
      </c>
      <c r="L910" s="44" t="str">
        <f>INDEX(CLEANED_MotorPH_Products_List_2!E:E,MATCH(MotorPHSales[[#This Row],[Product]],CLEANED_MotorPH_Products_List_2!$B:$B,0))</f>
        <v>Single cylinder</v>
      </c>
      <c r="M910" s="44" t="str">
        <f>INDEX(CLEANED_MotorPH_Products_List_2!F:F,MATCH(MotorPHSales[[#This Row],[Product]],CLEANED_MotorPH_Products_List_2!$B:$B,0))</f>
        <v>air-cooled</v>
      </c>
      <c r="N910" s="44" t="str">
        <f>INDEX(CLEANED_MotorPH_Products_List_2!G:G,MATCH(MotorPHSales[[#This Row],[Product]],CLEANED_MotorPH_Products_List_2!$B:$B,0))</f>
        <v>233cc</v>
      </c>
      <c r="O910" s="44" t="str">
        <f>INDEX(CLEANED_MotorPH_Products_List_2!K:K,MATCH(MotorPHSales[[#This Row],[Product]],CLEANED_MotorPH_Products_List_2!B:B,0))</f>
        <v>Mid-range</v>
      </c>
      <c r="P910" s="45">
        <f>IF(MotorPHSales[[#This Row],[Segment]]="Entry-level",MotorPHSales[[#This Row],[UnitPrice]]/(1+30%),IF(MotorPHSales[[#This Row],[Segment]]="Mid-range",MotorPHSales[[#This Row],[UnitPrice]]/(1+35%),MotorPHSales[[#This Row],[UnitPrice]]/(1+40%)))*MotorPHSales[[#This Row],[Quantity]]</f>
        <v>1326666.6666666665</v>
      </c>
      <c r="Q910" s="44" t="str">
        <f>INDEX(CLEANED_MotorPH_Products_List_2!H:H,MATCH(MotorPHSales[[#This Row],[Product]],CLEANED_MotorPH_Products_List_2!$B:$B,0))</f>
        <v>6-speed</v>
      </c>
    </row>
    <row r="911" spans="1:17" ht="15.75" x14ac:dyDescent="0.3">
      <c r="A911" s="43">
        <v>45850</v>
      </c>
      <c r="B911" s="44" t="str">
        <f>TEXT(MotorPHSales[[#This Row],[Date]],"mmmm")</f>
        <v>July</v>
      </c>
      <c r="C911" s="44">
        <f>DAY(MotorPHSales[[#This Row],[Date]])</f>
        <v>12</v>
      </c>
      <c r="D911" s="44">
        <f>YEAR(MotorPHSales[[#This Row],[Date]])</f>
        <v>2025</v>
      </c>
      <c r="E911" s="44" t="s">
        <v>196</v>
      </c>
      <c r="F911" s="44" t="s">
        <v>6</v>
      </c>
      <c r="G911" s="45">
        <v>389000</v>
      </c>
      <c r="H911" s="44">
        <v>6</v>
      </c>
      <c r="I911" s="45">
        <v>2334000</v>
      </c>
      <c r="J911" s="44" t="s">
        <v>195</v>
      </c>
      <c r="K911" s="44" t="str">
        <f>INDEX(CLEANED_MotorPH_Products_List_2!C:C,MATCH(MotorPHSales[[#This Row],[Product]],CLEANED_MotorPH_Products_List_2!$B:$B,0))</f>
        <v>Sport</v>
      </c>
      <c r="L911" s="44" t="str">
        <f>INDEX(CLEANED_MotorPH_Products_List_2!E:E,MATCH(MotorPHSales[[#This Row],[Product]],CLEANED_MotorPH_Products_List_2!$B:$B,0))</f>
        <v>Parallel-twin</v>
      </c>
      <c r="M911" s="44" t="str">
        <f>INDEX(CLEANED_MotorPH_Products_List_2!F:F,MATCH(MotorPHSales[[#This Row],[Product]],CLEANED_MotorPH_Products_List_2!$B:$B,0))</f>
        <v>liquid-cooled</v>
      </c>
      <c r="N911" s="44" t="str">
        <f>INDEX(CLEANED_MotorPH_Products_List_2!G:G,MATCH(MotorPHSales[[#This Row],[Product]],CLEANED_MotorPH_Products_List_2!$B:$B,0))</f>
        <v>471cc</v>
      </c>
      <c r="O911" s="44" t="str">
        <f>INDEX(CLEANED_MotorPH_Products_List_2!K:K,MATCH(MotorPHSales[[#This Row],[Product]],CLEANED_MotorPH_Products_List_2!B:B,0))</f>
        <v>Mid-range</v>
      </c>
      <c r="P911" s="45">
        <f>IF(MotorPHSales[[#This Row],[Segment]]="Entry-level",MotorPHSales[[#This Row],[UnitPrice]]/(1+30%),IF(MotorPHSales[[#This Row],[Segment]]="Mid-range",MotorPHSales[[#This Row],[UnitPrice]]/(1+35%),MotorPHSales[[#This Row],[UnitPrice]]/(1+40%)))*MotorPHSales[[#This Row],[Quantity]]</f>
        <v>1728888.888888889</v>
      </c>
      <c r="Q911" s="44" t="str">
        <f>INDEX(CLEANED_MotorPH_Products_List_2!H:H,MATCH(MotorPHSales[[#This Row],[Product]],CLEANED_MotorPH_Products_List_2!$B:$B,0))</f>
        <v>6-speed</v>
      </c>
    </row>
    <row r="912" spans="1:17" ht="15.75" x14ac:dyDescent="0.3">
      <c r="A912" s="43">
        <v>45849</v>
      </c>
      <c r="B912" s="44" t="str">
        <f>TEXT(MotorPHSales[[#This Row],[Date]],"mmmm")</f>
        <v>July</v>
      </c>
      <c r="C912" s="44">
        <f>DAY(MotorPHSales[[#This Row],[Date]])</f>
        <v>11</v>
      </c>
      <c r="D912" s="44">
        <f>YEAR(MotorPHSales[[#This Row],[Date]])</f>
        <v>2025</v>
      </c>
      <c r="E912" s="44" t="s">
        <v>196</v>
      </c>
      <c r="F912" s="44" t="s">
        <v>80</v>
      </c>
      <c r="G912" s="45">
        <v>398000</v>
      </c>
      <c r="H912" s="44">
        <v>5</v>
      </c>
      <c r="I912" s="45">
        <v>1990000</v>
      </c>
      <c r="J912" s="44" t="s">
        <v>197</v>
      </c>
      <c r="K912" s="44" t="str">
        <f>INDEX(CLEANED_MotorPH_Products_List_2!C:C,MATCH(MotorPHSales[[#This Row],[Product]],CLEANED_MotorPH_Products_List_2!$B:$B,0))</f>
        <v>Scooter</v>
      </c>
      <c r="L912" s="44" t="str">
        <f>INDEX(CLEANED_MotorPH_Products_List_2!E:E,MATCH(MotorPHSales[[#This Row],[Product]],CLEANED_MotorPH_Products_List_2!$B:$B,0))</f>
        <v>Single cylinder</v>
      </c>
      <c r="M912" s="44" t="str">
        <f>INDEX(CLEANED_MotorPH_Products_List_2!F:F,MATCH(MotorPHSales[[#This Row],[Product]],CLEANED_MotorPH_Products_List_2!$B:$B,0))</f>
        <v>liquid-cooled</v>
      </c>
      <c r="N912" s="44" t="str">
        <f>INDEX(CLEANED_MotorPH_Products_List_2!G:G,MATCH(MotorPHSales[[#This Row],[Product]],CLEANED_MotorPH_Products_List_2!$B:$B,0))</f>
        <v>278cc</v>
      </c>
      <c r="O912" s="44" t="str">
        <f>INDEX(CLEANED_MotorPH_Products_List_2!K:K,MATCH(MotorPHSales[[#This Row],[Product]],CLEANED_MotorPH_Products_List_2!B:B,0))</f>
        <v>Mid-range</v>
      </c>
      <c r="P912" s="45">
        <f>IF(MotorPHSales[[#This Row],[Segment]]="Entry-level",MotorPHSales[[#This Row],[UnitPrice]]/(1+30%),IF(MotorPHSales[[#This Row],[Segment]]="Mid-range",MotorPHSales[[#This Row],[UnitPrice]]/(1+35%),MotorPHSales[[#This Row],[UnitPrice]]/(1+40%)))*MotorPHSales[[#This Row],[Quantity]]</f>
        <v>1474074.0740740739</v>
      </c>
      <c r="Q912" s="44" t="str">
        <f>INDEX(CLEANED_MotorPH_Products_List_2!H:H,MATCH(MotorPHSales[[#This Row],[Product]],CLEANED_MotorPH_Products_List_2!$B:$B,0))</f>
        <v>CVT</v>
      </c>
    </row>
    <row r="913" spans="1:17" ht="15.75" x14ac:dyDescent="0.3">
      <c r="A913" s="43">
        <v>45814</v>
      </c>
      <c r="B913" s="44" t="str">
        <f>TEXT(MotorPHSales[[#This Row],[Date]],"mmmm")</f>
        <v>June</v>
      </c>
      <c r="C913" s="44">
        <f>DAY(MotorPHSales[[#This Row],[Date]])</f>
        <v>6</v>
      </c>
      <c r="D913" s="44">
        <f>YEAR(MotorPHSales[[#This Row],[Date]])</f>
        <v>2025</v>
      </c>
      <c r="E913" s="44" t="s">
        <v>194</v>
      </c>
      <c r="F913" s="44" t="s">
        <v>34</v>
      </c>
      <c r="G913" s="45">
        <v>320000</v>
      </c>
      <c r="H913" s="44">
        <v>4</v>
      </c>
      <c r="I913" s="45">
        <v>1280000</v>
      </c>
      <c r="J913" s="44" t="s">
        <v>197</v>
      </c>
      <c r="K913" s="44" t="str">
        <f>INDEX(CLEANED_MotorPH_Products_List_2!C:C,MATCH(MotorPHSales[[#This Row],[Product]],CLEANED_MotorPH_Products_List_2!$B:$B,0))</f>
        <v>Adventure</v>
      </c>
      <c r="L913" s="44" t="str">
        <f>INDEX(CLEANED_MotorPH_Products_List_2!E:E,MATCH(MotorPHSales[[#This Row],[Product]],CLEANED_MotorPH_Products_List_2!$B:$B,0))</f>
        <v>Single cylinder</v>
      </c>
      <c r="M913" s="44" t="str">
        <f>INDEX(CLEANED_MotorPH_Products_List_2!F:F,MATCH(MotorPHSales[[#This Row],[Product]],CLEANED_MotorPH_Products_List_2!$B:$B,0))</f>
        <v>liquid-cooled</v>
      </c>
      <c r="N913" s="44" t="str">
        <f>INDEX(CLEANED_MotorPH_Products_List_2!G:G,MATCH(MotorPHSales[[#This Row],[Product]],CLEANED_MotorPH_Products_List_2!$B:$B,0))</f>
        <v>313cc</v>
      </c>
      <c r="O913" s="44" t="str">
        <f>INDEX(CLEANED_MotorPH_Products_List_2!K:K,MATCH(MotorPHSales[[#This Row],[Product]],CLEANED_MotorPH_Products_List_2!B:B,0))</f>
        <v>Mid-range</v>
      </c>
      <c r="P913" s="45">
        <f>IF(MotorPHSales[[#This Row],[Segment]]="Entry-level",MotorPHSales[[#This Row],[UnitPrice]]/(1+30%),IF(MotorPHSales[[#This Row],[Segment]]="Mid-range",MotorPHSales[[#This Row],[UnitPrice]]/(1+35%),MotorPHSales[[#This Row],[UnitPrice]]/(1+40%)))*MotorPHSales[[#This Row],[Quantity]]</f>
        <v>948148.14814814809</v>
      </c>
      <c r="Q913" s="44" t="str">
        <f>INDEX(CLEANED_MotorPH_Products_List_2!H:H,MATCH(MotorPHSales[[#This Row],[Product]],CLEANED_MotorPH_Products_List_2!$B:$B,0))</f>
        <v>6-speed</v>
      </c>
    </row>
    <row r="914" spans="1:17" ht="15.75" x14ac:dyDescent="0.3">
      <c r="A914" s="43">
        <v>45860</v>
      </c>
      <c r="B914" s="44" t="str">
        <f>TEXT(MotorPHSales[[#This Row],[Date]],"mmmm")</f>
        <v>July</v>
      </c>
      <c r="C914" s="44">
        <f>DAY(MotorPHSales[[#This Row],[Date]])</f>
        <v>22</v>
      </c>
      <c r="D914" s="44">
        <f>YEAR(MotorPHSales[[#This Row],[Date]])</f>
        <v>2025</v>
      </c>
      <c r="E914" s="44" t="s">
        <v>196</v>
      </c>
      <c r="F914" s="44" t="s">
        <v>18</v>
      </c>
      <c r="G914" s="45">
        <v>328000</v>
      </c>
      <c r="H914" s="44">
        <v>10</v>
      </c>
      <c r="I914" s="45">
        <v>3280000</v>
      </c>
      <c r="J914" s="44" t="s">
        <v>197</v>
      </c>
      <c r="K914" s="44" t="str">
        <f>INDEX(CLEANED_MotorPH_Products_List_2!C:C,MATCH(MotorPHSales[[#This Row],[Product]],CLEANED_MotorPH_Products_List_2!$B:$B,0))</f>
        <v>Cafe racer</v>
      </c>
      <c r="L914" s="44" t="str">
        <f>INDEX(CLEANED_MotorPH_Products_List_2!E:E,MATCH(MotorPHSales[[#This Row],[Product]],CLEANED_MotorPH_Products_List_2!$B:$B,0))</f>
        <v>Twin cylinder</v>
      </c>
      <c r="M914" s="44" t="str">
        <f>INDEX(CLEANED_MotorPH_Products_List_2!F:F,MATCH(MotorPHSales[[#This Row],[Product]],CLEANED_MotorPH_Products_List_2!$B:$B,0))</f>
        <v>air-cooled</v>
      </c>
      <c r="N914" s="44" t="str">
        <f>INDEX(CLEANED_MotorPH_Products_List_2!G:G,MATCH(MotorPHSales[[#This Row],[Product]],CLEANED_MotorPH_Products_List_2!$B:$B,0))</f>
        <v>471cc</v>
      </c>
      <c r="O914" s="44" t="str">
        <f>INDEX(CLEANED_MotorPH_Products_List_2!K:K,MATCH(MotorPHSales[[#This Row],[Product]],CLEANED_MotorPH_Products_List_2!B:B,0))</f>
        <v>Mid-range</v>
      </c>
      <c r="P914" s="45">
        <f>IF(MotorPHSales[[#This Row],[Segment]]="Entry-level",MotorPHSales[[#This Row],[UnitPrice]]/(1+30%),IF(MotorPHSales[[#This Row],[Segment]]="Mid-range",MotorPHSales[[#This Row],[UnitPrice]]/(1+35%),MotorPHSales[[#This Row],[UnitPrice]]/(1+40%)))*MotorPHSales[[#This Row],[Quantity]]</f>
        <v>2429629.6296296297</v>
      </c>
      <c r="Q914" s="44" t="str">
        <f>INDEX(CLEANED_MotorPH_Products_List_2!H:H,MATCH(MotorPHSales[[#This Row],[Product]],CLEANED_MotorPH_Products_List_2!$B:$B,0))</f>
        <v>6-speed</v>
      </c>
    </row>
    <row r="915" spans="1:17" ht="15.75" x14ac:dyDescent="0.3">
      <c r="A915" s="43">
        <v>45834</v>
      </c>
      <c r="B915" s="44" t="str">
        <f>TEXT(MotorPHSales[[#This Row],[Date]],"mmmm")</f>
        <v>June</v>
      </c>
      <c r="C915" s="44">
        <f>DAY(MotorPHSales[[#This Row],[Date]])</f>
        <v>26</v>
      </c>
      <c r="D915" s="44">
        <f>YEAR(MotorPHSales[[#This Row],[Date]])</f>
        <v>2025</v>
      </c>
      <c r="E915" s="44" t="s">
        <v>196</v>
      </c>
      <c r="F915" s="44" t="s">
        <v>28</v>
      </c>
      <c r="G915" s="45">
        <v>164900</v>
      </c>
      <c r="H915" s="44">
        <v>7</v>
      </c>
      <c r="I915" s="45">
        <v>1154300</v>
      </c>
      <c r="J915" s="44" t="s">
        <v>197</v>
      </c>
      <c r="K915" s="44" t="str">
        <f>INDEX(CLEANED_MotorPH_Products_List_2!C:C,MATCH(MotorPHSales[[#This Row],[Product]],CLEANED_MotorPH_Products_List_2!$B:$B,0))</f>
        <v>Scooter</v>
      </c>
      <c r="L915" s="44" t="str">
        <f>INDEX(CLEANED_MotorPH_Products_List_2!E:E,MATCH(MotorPHSales[[#This Row],[Product]],CLEANED_MotorPH_Products_List_2!$B:$B,0))</f>
        <v>Single cylinder</v>
      </c>
      <c r="M915" s="44" t="str">
        <f>INDEX(CLEANED_MotorPH_Products_List_2!F:F,MATCH(MotorPHSales[[#This Row],[Product]],CLEANED_MotorPH_Products_List_2!$B:$B,0))</f>
        <v>liquid-cooled</v>
      </c>
      <c r="N915" s="44" t="str">
        <f>INDEX(CLEANED_MotorPH_Products_List_2!G:G,MATCH(MotorPHSales[[#This Row],[Product]],CLEANED_MotorPH_Products_List_2!$B:$B,0))</f>
        <v>157cc</v>
      </c>
      <c r="O915" s="44" t="str">
        <f>INDEX(CLEANED_MotorPH_Products_List_2!K:K,MATCH(MotorPHSales[[#This Row],[Product]],CLEANED_MotorPH_Products_List_2!B:B,0))</f>
        <v>Entry-level</v>
      </c>
      <c r="P915" s="45">
        <f>IF(MotorPHSales[[#This Row],[Segment]]="Entry-level",MotorPHSales[[#This Row],[UnitPrice]]/(1+30%),IF(MotorPHSales[[#This Row],[Segment]]="Mid-range",MotorPHSales[[#This Row],[UnitPrice]]/(1+35%),MotorPHSales[[#This Row],[UnitPrice]]/(1+40%)))*MotorPHSales[[#This Row],[Quantity]]</f>
        <v>887923.07692307688</v>
      </c>
      <c r="Q915" s="44" t="str">
        <f>INDEX(CLEANED_MotorPH_Products_List_2!H:H,MATCH(MotorPHSales[[#This Row],[Product]],CLEANED_MotorPH_Products_List_2!$B:$B,0))</f>
        <v>CVT</v>
      </c>
    </row>
    <row r="916" spans="1:17" ht="15.75" x14ac:dyDescent="0.3">
      <c r="A916" s="43">
        <v>45872</v>
      </c>
      <c r="B916" s="44" t="str">
        <f>TEXT(MotorPHSales[[#This Row],[Date]],"mmmm")</f>
        <v>August</v>
      </c>
      <c r="C916" s="44">
        <f>DAY(MotorPHSales[[#This Row],[Date]])</f>
        <v>3</v>
      </c>
      <c r="D916" s="44">
        <f>YEAR(MotorPHSales[[#This Row],[Date]])</f>
        <v>2025</v>
      </c>
      <c r="E916" s="44" t="s">
        <v>196</v>
      </c>
      <c r="F916" s="44" t="s">
        <v>88</v>
      </c>
      <c r="G916" s="45">
        <v>599000</v>
      </c>
      <c r="H916" s="44">
        <v>6</v>
      </c>
      <c r="I916" s="45">
        <v>3594000</v>
      </c>
      <c r="J916" s="44" t="s">
        <v>195</v>
      </c>
      <c r="K916" s="44" t="str">
        <f>INDEX(CLEANED_MotorPH_Products_List_2!C:C,MATCH(MotorPHSales[[#This Row],[Product]],CLEANED_MotorPH_Products_List_2!$B:$B,0))</f>
        <v>Naked bike</v>
      </c>
      <c r="L916" s="44" t="str">
        <f>INDEX(CLEANED_MotorPH_Products_List_2!E:E,MATCH(MotorPHSales[[#This Row],[Product]],CLEANED_MotorPH_Products_List_2!$B:$B,0))</f>
        <v>Parallel-twin</v>
      </c>
      <c r="M916" s="44" t="str">
        <f>INDEX(CLEANED_MotorPH_Products_List_2!F:F,MATCH(MotorPHSales[[#This Row],[Product]],CLEANED_MotorPH_Products_List_2!$B:$B,0))</f>
        <v>liquid-cooled</v>
      </c>
      <c r="N916" s="44" t="str">
        <f>INDEX(CLEANED_MotorPH_Products_List_2!G:G,MATCH(MotorPHSales[[#This Row],[Product]],CLEANED_MotorPH_Products_List_2!$B:$B,0))</f>
        <v>799cc</v>
      </c>
      <c r="O916" s="44" t="str">
        <f>INDEX(CLEANED_MotorPH_Products_List_2!K:K,MATCH(MotorPHSales[[#This Row],[Product]],CLEANED_MotorPH_Products_List_2!B:B,0))</f>
        <v>Premium</v>
      </c>
      <c r="P916" s="45">
        <f>IF(MotorPHSales[[#This Row],[Segment]]="Entry-level",MotorPHSales[[#This Row],[UnitPrice]]/(1+30%),IF(MotorPHSales[[#This Row],[Segment]]="Mid-range",MotorPHSales[[#This Row],[UnitPrice]]/(1+35%),MotorPHSales[[#This Row],[UnitPrice]]/(1+40%)))*MotorPHSales[[#This Row],[Quantity]]</f>
        <v>2567142.8571428573</v>
      </c>
      <c r="Q916" s="44" t="str">
        <f>INDEX(CLEANED_MotorPH_Products_List_2!H:H,MATCH(MotorPHSales[[#This Row],[Product]],CLEANED_MotorPH_Products_List_2!$B:$B,0))</f>
        <v>6-speed</v>
      </c>
    </row>
    <row r="917" spans="1:17" ht="15.75" x14ac:dyDescent="0.3">
      <c r="A917" s="43">
        <v>45867</v>
      </c>
      <c r="B917" s="44" t="str">
        <f>TEXT(MotorPHSales[[#This Row],[Date]],"mmmm")</f>
        <v>July</v>
      </c>
      <c r="C917" s="44">
        <f>DAY(MotorPHSales[[#This Row],[Date]])</f>
        <v>29</v>
      </c>
      <c r="D917" s="44">
        <f>YEAR(MotorPHSales[[#This Row],[Date]])</f>
        <v>2025</v>
      </c>
      <c r="E917" s="44" t="s">
        <v>194</v>
      </c>
      <c r="F917" s="44" t="s">
        <v>44</v>
      </c>
      <c r="G917" s="45">
        <v>331000</v>
      </c>
      <c r="H917" s="44">
        <v>48</v>
      </c>
      <c r="I917" s="45">
        <v>15888000</v>
      </c>
      <c r="J917" s="44" t="s">
        <v>195</v>
      </c>
      <c r="K917" s="44" t="str">
        <f>INDEX(CLEANED_MotorPH_Products_List_2!C:C,MATCH(MotorPHSales[[#This Row],[Product]],CLEANED_MotorPH_Products_List_2!$B:$B,0))</f>
        <v>Naked bike</v>
      </c>
      <c r="L917" s="44" t="str">
        <f>INDEX(CLEANED_MotorPH_Products_List_2!E:E,MATCH(MotorPHSales[[#This Row],[Product]],CLEANED_MotorPH_Products_List_2!$B:$B,0))</f>
        <v>Parallel-twin</v>
      </c>
      <c r="M917" s="44" t="str">
        <f>INDEX(CLEANED_MotorPH_Products_List_2!F:F,MATCH(MotorPHSales[[#This Row],[Product]],CLEANED_MotorPH_Products_List_2!$B:$B,0))</f>
        <v>liquid-cooled</v>
      </c>
      <c r="N917" s="44" t="str">
        <f>INDEX(CLEANED_MotorPH_Products_List_2!G:G,MATCH(MotorPHSales[[#This Row],[Product]],CLEANED_MotorPH_Products_List_2!$B:$B,0))</f>
        <v>399cc</v>
      </c>
      <c r="O917" s="44" t="str">
        <f>INDEX(CLEANED_MotorPH_Products_List_2!K:K,MATCH(MotorPHSales[[#This Row],[Product]],CLEANED_MotorPH_Products_List_2!B:B,0))</f>
        <v>Mid-range</v>
      </c>
      <c r="P917" s="45">
        <f>IF(MotorPHSales[[#This Row],[Segment]]="Entry-level",MotorPHSales[[#This Row],[UnitPrice]]/(1+30%),IF(MotorPHSales[[#This Row],[Segment]]="Mid-range",MotorPHSales[[#This Row],[UnitPrice]]/(1+35%),MotorPHSales[[#This Row],[UnitPrice]]/(1+40%)))*MotorPHSales[[#This Row],[Quantity]]</f>
        <v>11768888.888888888</v>
      </c>
      <c r="Q917" s="44" t="str">
        <f>INDEX(CLEANED_MotorPH_Products_List_2!H:H,MATCH(MotorPHSales[[#This Row],[Product]],CLEANED_MotorPH_Products_List_2!$B:$B,0))</f>
        <v>6-speed</v>
      </c>
    </row>
    <row r="918" spans="1:17" ht="15.75" x14ac:dyDescent="0.3">
      <c r="A918" s="43">
        <v>45864</v>
      </c>
      <c r="B918" s="44" t="str">
        <f>TEXT(MotorPHSales[[#This Row],[Date]],"mmmm")</f>
        <v>July</v>
      </c>
      <c r="C918" s="44">
        <f>DAY(MotorPHSales[[#This Row],[Date]])</f>
        <v>26</v>
      </c>
      <c r="D918" s="44">
        <f>YEAR(MotorPHSales[[#This Row],[Date]])</f>
        <v>2025</v>
      </c>
      <c r="E918" s="44" t="s">
        <v>196</v>
      </c>
      <c r="F918" s="44" t="s">
        <v>30</v>
      </c>
      <c r="G918" s="45">
        <v>79900</v>
      </c>
      <c r="H918" s="44">
        <v>5</v>
      </c>
      <c r="I918" s="45">
        <v>399500</v>
      </c>
      <c r="J918" s="44" t="s">
        <v>197</v>
      </c>
      <c r="K918" s="44" t="str">
        <f>INDEX(CLEANED_MotorPH_Products_List_2!C:C,MATCH(MotorPHSales[[#This Row],[Product]],CLEANED_MotorPH_Products_List_2!$B:$B,0))</f>
        <v>Scooter</v>
      </c>
      <c r="L918" s="44" t="str">
        <f>INDEX(CLEANED_MotorPH_Products_List_2!E:E,MATCH(MotorPHSales[[#This Row],[Product]],CLEANED_MotorPH_Products_List_2!$B:$B,0))</f>
        <v>Single cylinder</v>
      </c>
      <c r="M918" s="44" t="str">
        <f>INDEX(CLEANED_MotorPH_Products_List_2!F:F,MATCH(MotorPHSales[[#This Row],[Product]],CLEANED_MotorPH_Products_List_2!$B:$B,0))</f>
        <v>air-cooled</v>
      </c>
      <c r="N918" s="44" t="str">
        <f>INDEX(CLEANED_MotorPH_Products_List_2!G:G,MATCH(MotorPHSales[[#This Row],[Product]],CLEANED_MotorPH_Products_List_2!$B:$B,0))</f>
        <v>124cc</v>
      </c>
      <c r="O918" s="44" t="str">
        <f>INDEX(CLEANED_MotorPH_Products_List_2!K:K,MATCH(MotorPHSales[[#This Row],[Product]],CLEANED_MotorPH_Products_List_2!B:B,0))</f>
        <v>Entry-level</v>
      </c>
      <c r="P918" s="45">
        <f>IF(MotorPHSales[[#This Row],[Segment]]="Entry-level",MotorPHSales[[#This Row],[UnitPrice]]/(1+30%),IF(MotorPHSales[[#This Row],[Segment]]="Mid-range",MotorPHSales[[#This Row],[UnitPrice]]/(1+35%),MotorPHSales[[#This Row],[UnitPrice]]/(1+40%)))*MotorPHSales[[#This Row],[Quantity]]</f>
        <v>307307.69230769231</v>
      </c>
      <c r="Q918" s="44" t="str">
        <f>INDEX(CLEANED_MotorPH_Products_List_2!H:H,MATCH(MotorPHSales[[#This Row],[Product]],CLEANED_MotorPH_Products_List_2!$B:$B,0))</f>
        <v>CVT</v>
      </c>
    </row>
    <row r="919" spans="1:17" ht="15.75" x14ac:dyDescent="0.3">
      <c r="A919" s="43">
        <v>45867</v>
      </c>
      <c r="B919" s="44" t="str">
        <f>TEXT(MotorPHSales[[#This Row],[Date]],"mmmm")</f>
        <v>July</v>
      </c>
      <c r="C919" s="44">
        <f>DAY(MotorPHSales[[#This Row],[Date]])</f>
        <v>29</v>
      </c>
      <c r="D919" s="44">
        <f>YEAR(MotorPHSales[[#This Row],[Date]])</f>
        <v>2025</v>
      </c>
      <c r="E919" s="44" t="s">
        <v>196</v>
      </c>
      <c r="F919" s="44" t="s">
        <v>53</v>
      </c>
      <c r="G919" s="45">
        <v>345000</v>
      </c>
      <c r="H919" s="44">
        <v>12</v>
      </c>
      <c r="I919" s="45">
        <v>4140000</v>
      </c>
      <c r="J919" s="44" t="s">
        <v>198</v>
      </c>
      <c r="K919" s="44" t="str">
        <f>INDEX(CLEANED_MotorPH_Products_List_2!C:C,MATCH(MotorPHSales[[#This Row],[Product]],CLEANED_MotorPH_Products_List_2!$B:$B,0))</f>
        <v>Touring</v>
      </c>
      <c r="L919" s="44" t="str">
        <f>INDEX(CLEANED_MotorPH_Products_List_2!E:E,MATCH(MotorPHSales[[#This Row],[Product]],CLEANED_MotorPH_Products_List_2!$B:$B,0))</f>
        <v>Parallel-twin</v>
      </c>
      <c r="M919" s="44" t="str">
        <f>INDEX(CLEANED_MotorPH_Products_List_2!F:F,MATCH(MotorPHSales[[#This Row],[Product]],CLEANED_MotorPH_Products_List_2!$B:$B,0))</f>
        <v>liquid-cooled</v>
      </c>
      <c r="N919" s="44" t="str">
        <f>INDEX(CLEANED_MotorPH_Products_List_2!G:G,MATCH(MotorPHSales[[#This Row],[Product]],CLEANED_MotorPH_Products_List_2!$B:$B,0))</f>
        <v>649cc</v>
      </c>
      <c r="O919" s="44" t="str">
        <f>INDEX(CLEANED_MotorPH_Products_List_2!K:K,MATCH(MotorPHSales[[#This Row],[Product]],CLEANED_MotorPH_Products_List_2!B:B,0))</f>
        <v>Premium</v>
      </c>
      <c r="P919" s="45">
        <f>IF(MotorPHSales[[#This Row],[Segment]]="Entry-level",MotorPHSales[[#This Row],[UnitPrice]]/(1+30%),IF(MotorPHSales[[#This Row],[Segment]]="Mid-range",MotorPHSales[[#This Row],[UnitPrice]]/(1+35%),MotorPHSales[[#This Row],[UnitPrice]]/(1+40%)))*MotorPHSales[[#This Row],[Quantity]]</f>
        <v>2957142.8571428573</v>
      </c>
      <c r="Q919" s="44" t="str">
        <f>INDEX(CLEANED_MotorPH_Products_List_2!H:H,MATCH(MotorPHSales[[#This Row],[Product]],CLEANED_MotorPH_Products_List_2!$B:$B,0))</f>
        <v>6-speed</v>
      </c>
    </row>
    <row r="920" spans="1:17" ht="15.75" x14ac:dyDescent="0.3">
      <c r="A920" s="43">
        <v>45878</v>
      </c>
      <c r="B920" s="44" t="str">
        <f>TEXT(MotorPHSales[[#This Row],[Date]],"mmmm")</f>
        <v>August</v>
      </c>
      <c r="C920" s="44">
        <f>DAY(MotorPHSales[[#This Row],[Date]])</f>
        <v>9</v>
      </c>
      <c r="D920" s="44">
        <f>YEAR(MotorPHSales[[#This Row],[Date]])</f>
        <v>2025</v>
      </c>
      <c r="E920" s="44" t="s">
        <v>196</v>
      </c>
      <c r="F920" s="44" t="s">
        <v>10</v>
      </c>
      <c r="G920" s="45">
        <v>340000</v>
      </c>
      <c r="H920" s="44">
        <v>15</v>
      </c>
      <c r="I920" s="45">
        <v>5100000</v>
      </c>
      <c r="J920" s="44" t="s">
        <v>198</v>
      </c>
      <c r="K920" s="44" t="str">
        <f>INDEX(CLEANED_MotorPH_Products_List_2!C:C,MATCH(MotorPHSales[[#This Row],[Product]],CLEANED_MotorPH_Products_List_2!$B:$B,0))</f>
        <v>Sport</v>
      </c>
      <c r="L920" s="44" t="str">
        <f>INDEX(CLEANED_MotorPH_Products_List_2!E:E,MATCH(MotorPHSales[[#This Row],[Product]],CLEANED_MotorPH_Products_List_2!$B:$B,0))</f>
        <v>Parallel-twin</v>
      </c>
      <c r="M920" s="44" t="str">
        <f>INDEX(CLEANED_MotorPH_Products_List_2!F:F,MATCH(MotorPHSales[[#This Row],[Product]],CLEANED_MotorPH_Products_List_2!$B:$B,0))</f>
        <v>liquid-cooled</v>
      </c>
      <c r="N920" s="44" t="str">
        <f>INDEX(CLEANED_MotorPH_Products_List_2!G:G,MATCH(MotorPHSales[[#This Row],[Product]],CLEANED_MotorPH_Products_List_2!$B:$B,0))</f>
        <v>399cc</v>
      </c>
      <c r="O920" s="44" t="str">
        <f>INDEX(CLEANED_MotorPH_Products_List_2!K:K,MATCH(MotorPHSales[[#This Row],[Product]],CLEANED_MotorPH_Products_List_2!B:B,0))</f>
        <v>Mid-range</v>
      </c>
      <c r="P920" s="45">
        <f>IF(MotorPHSales[[#This Row],[Segment]]="Entry-level",MotorPHSales[[#This Row],[UnitPrice]]/(1+30%),IF(MotorPHSales[[#This Row],[Segment]]="Mid-range",MotorPHSales[[#This Row],[UnitPrice]]/(1+35%),MotorPHSales[[#This Row],[UnitPrice]]/(1+40%)))*MotorPHSales[[#This Row],[Quantity]]</f>
        <v>3777777.7777777775</v>
      </c>
      <c r="Q920" s="44" t="str">
        <f>INDEX(CLEANED_MotorPH_Products_List_2!H:H,MATCH(MotorPHSales[[#This Row],[Product]],CLEANED_MotorPH_Products_List_2!$B:$B,0))</f>
        <v>6-speed</v>
      </c>
    </row>
    <row r="921" spans="1:17" ht="15.75" x14ac:dyDescent="0.3">
      <c r="A921" s="43">
        <v>45841</v>
      </c>
      <c r="B921" s="44" t="str">
        <f>TEXT(MotorPHSales[[#This Row],[Date]],"mmmm")</f>
        <v>July</v>
      </c>
      <c r="C921" s="44">
        <f>DAY(MotorPHSales[[#This Row],[Date]])</f>
        <v>3</v>
      </c>
      <c r="D921" s="44">
        <f>YEAR(MotorPHSales[[#This Row],[Date]])</f>
        <v>2025</v>
      </c>
      <c r="E921" s="44" t="s">
        <v>196</v>
      </c>
      <c r="F921" s="44" t="s">
        <v>55</v>
      </c>
      <c r="G921" s="45">
        <v>80900</v>
      </c>
      <c r="H921" s="44">
        <v>21</v>
      </c>
      <c r="I921" s="45">
        <v>1698900</v>
      </c>
      <c r="J921" s="44" t="s">
        <v>195</v>
      </c>
      <c r="K921" s="44" t="str">
        <f>INDEX(CLEANED_MotorPH_Products_List_2!C:C,MATCH(MotorPHSales[[#This Row],[Product]],CLEANED_MotorPH_Products_List_2!$B:$B,0))</f>
        <v>Scooter</v>
      </c>
      <c r="L921" s="44" t="str">
        <f>INDEX(CLEANED_MotorPH_Products_List_2!E:E,MATCH(MotorPHSales[[#This Row],[Product]],CLEANED_MotorPH_Products_List_2!$B:$B,0))</f>
        <v>Single cylinder</v>
      </c>
      <c r="M921" s="44" t="str">
        <f>INDEX(CLEANED_MotorPH_Products_List_2!F:F,MATCH(MotorPHSales[[#This Row],[Product]],CLEANED_MotorPH_Products_List_2!$B:$B,0))</f>
        <v>liquid-cooled</v>
      </c>
      <c r="N921" s="44" t="str">
        <f>INDEX(CLEANED_MotorPH_Products_List_2!G:G,MATCH(MotorPHSales[[#This Row],[Product]],CLEANED_MotorPH_Products_List_2!$B:$B,0))</f>
        <v>125cc</v>
      </c>
      <c r="O921" s="44" t="str">
        <f>INDEX(CLEANED_MotorPH_Products_List_2!K:K,MATCH(MotorPHSales[[#This Row],[Product]],CLEANED_MotorPH_Products_List_2!B:B,0))</f>
        <v>Entry-level</v>
      </c>
      <c r="P921" s="45">
        <f>IF(MotorPHSales[[#This Row],[Segment]]="Entry-level",MotorPHSales[[#This Row],[UnitPrice]]/(1+30%),IF(MotorPHSales[[#This Row],[Segment]]="Mid-range",MotorPHSales[[#This Row],[UnitPrice]]/(1+35%),MotorPHSales[[#This Row],[UnitPrice]]/(1+40%)))*MotorPHSales[[#This Row],[Quantity]]</f>
        <v>1306846.1538461538</v>
      </c>
      <c r="Q921" s="44" t="str">
        <f>INDEX(CLEANED_MotorPH_Products_List_2!H:H,MATCH(MotorPHSales[[#This Row],[Product]],CLEANED_MotorPH_Products_List_2!$B:$B,0))</f>
        <v>CVT</v>
      </c>
    </row>
    <row r="922" spans="1:17" ht="15.75" x14ac:dyDescent="0.3">
      <c r="A922" s="43">
        <v>45861</v>
      </c>
      <c r="B922" s="44" t="str">
        <f>TEXT(MotorPHSales[[#This Row],[Date]],"mmmm")</f>
        <v>July</v>
      </c>
      <c r="C922" s="44">
        <f>DAY(MotorPHSales[[#This Row],[Date]])</f>
        <v>23</v>
      </c>
      <c r="D922" s="44">
        <f>YEAR(MotorPHSales[[#This Row],[Date]])</f>
        <v>2025</v>
      </c>
      <c r="E922" s="44" t="s">
        <v>194</v>
      </c>
      <c r="F922" s="44" t="s">
        <v>51</v>
      </c>
      <c r="G922" s="45">
        <v>78900</v>
      </c>
      <c r="H922" s="44">
        <v>4</v>
      </c>
      <c r="I922" s="45">
        <v>315600</v>
      </c>
      <c r="J922" s="44" t="s">
        <v>197</v>
      </c>
      <c r="K922" s="44" t="str">
        <f>INDEX(CLEANED_MotorPH_Products_List_2!C:C,MATCH(MotorPHSales[[#This Row],[Product]],CLEANED_MotorPH_Products_List_2!$B:$B,0))</f>
        <v>Adventure</v>
      </c>
      <c r="L922" s="44" t="str">
        <f>INDEX(CLEANED_MotorPH_Products_List_2!E:E,MATCH(MotorPHSales[[#This Row],[Product]],CLEANED_MotorPH_Products_List_2!$B:$B,0))</f>
        <v>Single cylinder</v>
      </c>
      <c r="M922" s="44" t="str">
        <f>INDEX(CLEANED_MotorPH_Products_List_2!F:F,MATCH(MotorPHSales[[#This Row],[Product]],CLEANED_MotorPH_Products_List_2!$B:$B,0))</f>
        <v>oil-cooled</v>
      </c>
      <c r="N922" s="44" t="str">
        <f>INDEX(CLEANED_MotorPH_Products_List_2!G:G,MATCH(MotorPHSales[[#This Row],[Product]],CLEANED_MotorPH_Products_List_2!$B:$B,0))</f>
        <v>223cc</v>
      </c>
      <c r="O922" s="44" t="str">
        <f>INDEX(CLEANED_MotorPH_Products_List_2!K:K,MATCH(MotorPHSales[[#This Row],[Product]],CLEANED_MotorPH_Products_List_2!B:B,0))</f>
        <v>Mid-range</v>
      </c>
      <c r="P922" s="45">
        <f>IF(MotorPHSales[[#This Row],[Segment]]="Entry-level",MotorPHSales[[#This Row],[UnitPrice]]/(1+30%),IF(MotorPHSales[[#This Row],[Segment]]="Mid-range",MotorPHSales[[#This Row],[UnitPrice]]/(1+35%),MotorPHSales[[#This Row],[UnitPrice]]/(1+40%)))*MotorPHSales[[#This Row],[Quantity]]</f>
        <v>233777.77777777775</v>
      </c>
      <c r="Q922" s="44" t="str">
        <f>INDEX(CLEANED_MotorPH_Products_List_2!H:H,MATCH(MotorPHSales[[#This Row],[Product]],CLEANED_MotorPH_Products_List_2!$B:$B,0))</f>
        <v>6-speed</v>
      </c>
    </row>
    <row r="923" spans="1:17" ht="15.75" x14ac:dyDescent="0.3">
      <c r="A923" s="43">
        <v>45830</v>
      </c>
      <c r="B923" s="44" t="str">
        <f>TEXT(MotorPHSales[[#This Row],[Date]],"mmmm")</f>
        <v>June</v>
      </c>
      <c r="C923" s="44">
        <f>DAY(MotorPHSales[[#This Row],[Date]])</f>
        <v>22</v>
      </c>
      <c r="D923" s="44">
        <f>YEAR(MotorPHSales[[#This Row],[Date]])</f>
        <v>2025</v>
      </c>
      <c r="E923" s="44" t="s">
        <v>194</v>
      </c>
      <c r="F923" s="44" t="s">
        <v>78</v>
      </c>
      <c r="G923" s="45">
        <v>99900</v>
      </c>
      <c r="H923" s="44">
        <v>2</v>
      </c>
      <c r="I923" s="45">
        <v>199800</v>
      </c>
      <c r="J923" s="44" t="s">
        <v>195</v>
      </c>
      <c r="K923" s="44" t="str">
        <f>INDEX(CLEANED_MotorPH_Products_List_2!C:C,MATCH(MotorPHSales[[#This Row],[Product]],CLEANED_MotorPH_Products_List_2!$B:$B,0))</f>
        <v>Street</v>
      </c>
      <c r="L923" s="44" t="str">
        <f>INDEX(CLEANED_MotorPH_Products_List_2!E:E,MATCH(MotorPHSales[[#This Row],[Product]],CLEANED_MotorPH_Products_List_2!$B:$B,0))</f>
        <v>Single cylinder</v>
      </c>
      <c r="M923" s="44" t="str">
        <f>INDEX(CLEANED_MotorPH_Products_List_2!F:F,MATCH(MotorPHSales[[#This Row],[Product]],CLEANED_MotorPH_Products_List_2!$B:$B,0))</f>
        <v>air-cooled</v>
      </c>
      <c r="N923" s="44" t="str">
        <f>INDEX(CLEANED_MotorPH_Products_List_2!G:G,MATCH(MotorPHSales[[#This Row],[Product]],CLEANED_MotorPH_Products_List_2!$B:$B,0))</f>
        <v>149cc</v>
      </c>
      <c r="O923" s="44" t="str">
        <f>INDEX(CLEANED_MotorPH_Products_List_2!K:K,MATCH(MotorPHSales[[#This Row],[Product]],CLEANED_MotorPH_Products_List_2!B:B,0))</f>
        <v>Entry-level</v>
      </c>
      <c r="P923" s="45">
        <f>IF(MotorPHSales[[#This Row],[Segment]]="Entry-level",MotorPHSales[[#This Row],[UnitPrice]]/(1+30%),IF(MotorPHSales[[#This Row],[Segment]]="Mid-range",MotorPHSales[[#This Row],[UnitPrice]]/(1+35%),MotorPHSales[[#This Row],[UnitPrice]]/(1+40%)))*MotorPHSales[[#This Row],[Quantity]]</f>
        <v>153692.30769230769</v>
      </c>
      <c r="Q923" s="44" t="str">
        <f>INDEX(CLEANED_MotorPH_Products_List_2!H:H,MATCH(MotorPHSales[[#This Row],[Product]],CLEANED_MotorPH_Products_List_2!$B:$B,0))</f>
        <v>5-speed</v>
      </c>
    </row>
    <row r="924" spans="1:17" ht="15.75" x14ac:dyDescent="0.3">
      <c r="A924" s="43">
        <v>45829</v>
      </c>
      <c r="B924" s="44" t="str">
        <f>TEXT(MotorPHSales[[#This Row],[Date]],"mmmm")</f>
        <v>June</v>
      </c>
      <c r="C924" s="44">
        <f>DAY(MotorPHSales[[#This Row],[Date]])</f>
        <v>21</v>
      </c>
      <c r="D924" s="44">
        <f>YEAR(MotorPHSales[[#This Row],[Date]])</f>
        <v>2025</v>
      </c>
      <c r="E924" s="44" t="s">
        <v>194</v>
      </c>
      <c r="F924" s="44" t="s">
        <v>59</v>
      </c>
      <c r="G924" s="45">
        <v>67900</v>
      </c>
      <c r="H924" s="44">
        <v>31</v>
      </c>
      <c r="I924" s="45">
        <v>2104900</v>
      </c>
      <c r="J924" s="44" t="s">
        <v>197</v>
      </c>
      <c r="K924" s="44" t="str">
        <f>INDEX(CLEANED_MotorPH_Products_List_2!C:C,MATCH(MotorPHSales[[#This Row],[Product]],CLEANED_MotorPH_Products_List_2!$B:$B,0))</f>
        <v>Commuter</v>
      </c>
      <c r="L924" s="44" t="str">
        <f>INDEX(CLEANED_MotorPH_Products_List_2!E:E,MATCH(MotorPHSales[[#This Row],[Product]],CLEANED_MotorPH_Products_List_2!$B:$B,0))</f>
        <v>Single cylinder</v>
      </c>
      <c r="M924" s="44" t="str">
        <f>INDEX(CLEANED_MotorPH_Products_List_2!F:F,MATCH(MotorPHSales[[#This Row],[Product]],CLEANED_MotorPH_Products_List_2!$B:$B,0))</f>
        <v>air-cooled</v>
      </c>
      <c r="N924" s="44" t="str">
        <f>INDEX(CLEANED_MotorPH_Products_List_2!G:G,MATCH(MotorPHSales[[#This Row],[Product]],CLEANED_MotorPH_Products_List_2!$B:$B,0))</f>
        <v>125cc</v>
      </c>
      <c r="O924" s="44" t="str">
        <f>INDEX(CLEANED_MotorPH_Products_List_2!K:K,MATCH(MotorPHSales[[#This Row],[Product]],CLEANED_MotorPH_Products_List_2!B:B,0))</f>
        <v>Entry-level</v>
      </c>
      <c r="P924" s="45">
        <f>IF(MotorPHSales[[#This Row],[Segment]]="Entry-level",MotorPHSales[[#This Row],[UnitPrice]]/(1+30%),IF(MotorPHSales[[#This Row],[Segment]]="Mid-range",MotorPHSales[[#This Row],[UnitPrice]]/(1+35%),MotorPHSales[[#This Row],[UnitPrice]]/(1+40%)))*MotorPHSales[[#This Row],[Quantity]]</f>
        <v>1619153.846153846</v>
      </c>
      <c r="Q924" s="44" t="str">
        <f>INDEX(CLEANED_MotorPH_Products_List_2!H:H,MATCH(MotorPHSales[[#This Row],[Product]],CLEANED_MotorPH_Products_List_2!$B:$B,0))</f>
        <v>4-speed</v>
      </c>
    </row>
    <row r="925" spans="1:17" ht="15.75" x14ac:dyDescent="0.3">
      <c r="A925" s="43">
        <v>45878</v>
      </c>
      <c r="B925" s="44" t="str">
        <f>TEXT(MotorPHSales[[#This Row],[Date]],"mmmm")</f>
        <v>August</v>
      </c>
      <c r="C925" s="44">
        <f>DAY(MotorPHSales[[#This Row],[Date]])</f>
        <v>9</v>
      </c>
      <c r="D925" s="44">
        <f>YEAR(MotorPHSales[[#This Row],[Date]])</f>
        <v>2025</v>
      </c>
      <c r="E925" s="44" t="s">
        <v>196</v>
      </c>
      <c r="F925" s="44" t="s">
        <v>84</v>
      </c>
      <c r="G925" s="45">
        <v>995000</v>
      </c>
      <c r="H925" s="44">
        <v>5</v>
      </c>
      <c r="I925" s="45">
        <v>4975000</v>
      </c>
      <c r="J925" s="44" t="s">
        <v>197</v>
      </c>
      <c r="K925" s="44" t="str">
        <f>INDEX(CLEANED_MotorPH_Products_List_2!C:C,MATCH(MotorPHSales[[#This Row],[Product]],CLEANED_MotorPH_Products_List_2!$B:$B,0))</f>
        <v>Heritage</v>
      </c>
      <c r="L925" s="44" t="str">
        <f>INDEX(CLEANED_MotorPH_Products_List_2!E:E,MATCH(MotorPHSales[[#This Row],[Product]],CLEANED_MotorPH_Products_List_2!$B:$B,0))</f>
        <v>Flat twin</v>
      </c>
      <c r="M925" s="44" t="str">
        <f>INDEX(CLEANED_MotorPH_Products_List_2!F:F,MATCH(MotorPHSales[[#This Row],[Product]],CLEANED_MotorPH_Products_List_2!$B:$B,0))</f>
        <v>air</v>
      </c>
      <c r="N925" s="44">
        <f>INDEX(CLEANED_MotorPH_Products_List_2!G:G,MATCH(MotorPHSales[[#This Row],[Product]],CLEANED_MotorPH_Products_List_2!$B:$B,0))</f>
        <v>0</v>
      </c>
      <c r="O925" s="44" t="str">
        <f>INDEX(CLEANED_MotorPH_Products_List_2!K:K,MATCH(MotorPHSales[[#This Row],[Product]],CLEANED_MotorPH_Products_List_2!B:B,0))</f>
        <v>Premium</v>
      </c>
      <c r="P925" s="45">
        <f>IF(MotorPHSales[[#This Row],[Segment]]="Entry-level",MotorPHSales[[#This Row],[UnitPrice]]/(1+30%),IF(MotorPHSales[[#This Row],[Segment]]="Mid-range",MotorPHSales[[#This Row],[UnitPrice]]/(1+35%),MotorPHSales[[#This Row],[UnitPrice]]/(1+40%)))*MotorPHSales[[#This Row],[Quantity]]</f>
        <v>3553571.4285714291</v>
      </c>
      <c r="Q925" s="44">
        <f>INDEX(CLEANED_MotorPH_Products_List_2!H:H,MATCH(MotorPHSales[[#This Row],[Product]],CLEANED_MotorPH_Products_List_2!$B:$B,0))</f>
        <v>0</v>
      </c>
    </row>
    <row r="926" spans="1:17" ht="15.75" x14ac:dyDescent="0.3">
      <c r="A926" s="43">
        <v>45878</v>
      </c>
      <c r="B926" s="44" t="str">
        <f>TEXT(MotorPHSales[[#This Row],[Date]],"mmmm")</f>
        <v>August</v>
      </c>
      <c r="C926" s="44">
        <f>DAY(MotorPHSales[[#This Row],[Date]])</f>
        <v>9</v>
      </c>
      <c r="D926" s="44">
        <f>YEAR(MotorPHSales[[#This Row],[Date]])</f>
        <v>2025</v>
      </c>
      <c r="E926" s="44" t="s">
        <v>196</v>
      </c>
      <c r="F926" s="44" t="s">
        <v>10</v>
      </c>
      <c r="G926" s="45">
        <v>340000</v>
      </c>
      <c r="H926" s="44">
        <v>12</v>
      </c>
      <c r="I926" s="45">
        <v>4080000</v>
      </c>
      <c r="J926" s="44" t="s">
        <v>198</v>
      </c>
      <c r="K926" s="44" t="str">
        <f>INDEX(CLEANED_MotorPH_Products_List_2!C:C,MATCH(MotorPHSales[[#This Row],[Product]],CLEANED_MotorPH_Products_List_2!$B:$B,0))</f>
        <v>Sport</v>
      </c>
      <c r="L926" s="44" t="str">
        <f>INDEX(CLEANED_MotorPH_Products_List_2!E:E,MATCH(MotorPHSales[[#This Row],[Product]],CLEANED_MotorPH_Products_List_2!$B:$B,0))</f>
        <v>Parallel-twin</v>
      </c>
      <c r="M926" s="44" t="str">
        <f>INDEX(CLEANED_MotorPH_Products_List_2!F:F,MATCH(MotorPHSales[[#This Row],[Product]],CLEANED_MotorPH_Products_List_2!$B:$B,0))</f>
        <v>liquid-cooled</v>
      </c>
      <c r="N926" s="44" t="str">
        <f>INDEX(CLEANED_MotorPH_Products_List_2!G:G,MATCH(MotorPHSales[[#This Row],[Product]],CLEANED_MotorPH_Products_List_2!$B:$B,0))</f>
        <v>399cc</v>
      </c>
      <c r="O926" s="44" t="str">
        <f>INDEX(CLEANED_MotorPH_Products_List_2!K:K,MATCH(MotorPHSales[[#This Row],[Product]],CLEANED_MotorPH_Products_List_2!B:B,0))</f>
        <v>Mid-range</v>
      </c>
      <c r="P926" s="45">
        <f>IF(MotorPHSales[[#This Row],[Segment]]="Entry-level",MotorPHSales[[#This Row],[UnitPrice]]/(1+30%),IF(MotorPHSales[[#This Row],[Segment]]="Mid-range",MotorPHSales[[#This Row],[UnitPrice]]/(1+35%),MotorPHSales[[#This Row],[UnitPrice]]/(1+40%)))*MotorPHSales[[#This Row],[Quantity]]</f>
        <v>3022222.222222222</v>
      </c>
      <c r="Q926" s="44" t="str">
        <f>INDEX(CLEANED_MotorPH_Products_List_2!H:H,MATCH(MotorPHSales[[#This Row],[Product]],CLEANED_MotorPH_Products_List_2!$B:$B,0))</f>
        <v>6-speed</v>
      </c>
    </row>
    <row r="927" spans="1:17" ht="15.75" x14ac:dyDescent="0.3">
      <c r="A927" s="43">
        <v>45812</v>
      </c>
      <c r="B927" s="44" t="str">
        <f>TEXT(MotorPHSales[[#This Row],[Date]],"mmmm")</f>
        <v>June</v>
      </c>
      <c r="C927" s="44">
        <f>DAY(MotorPHSales[[#This Row],[Date]])</f>
        <v>4</v>
      </c>
      <c r="D927" s="44">
        <f>YEAR(MotorPHSales[[#This Row],[Date]])</f>
        <v>2025</v>
      </c>
      <c r="E927" s="44" t="s">
        <v>194</v>
      </c>
      <c r="F927" s="44" t="s">
        <v>32</v>
      </c>
      <c r="G927" s="45">
        <v>198000</v>
      </c>
      <c r="H927" s="44">
        <v>2</v>
      </c>
      <c r="I927" s="45">
        <v>396000</v>
      </c>
      <c r="J927" s="44" t="s">
        <v>197</v>
      </c>
      <c r="K927" s="44" t="str">
        <f>INDEX(CLEANED_MotorPH_Products_List_2!C:C,MATCH(MotorPHSales[[#This Row],[Product]],CLEANED_MotorPH_Products_List_2!$B:$B,0))</f>
        <v>Sport</v>
      </c>
      <c r="L927" s="44" t="str">
        <f>INDEX(CLEANED_MotorPH_Products_List_2!E:E,MATCH(MotorPHSales[[#This Row],[Product]],CLEANED_MotorPH_Products_List_2!$B:$B,0))</f>
        <v>Single cylinder</v>
      </c>
      <c r="M927" s="44" t="str">
        <f>INDEX(CLEANED_MotorPH_Products_List_2!F:F,MATCH(MotorPHSales[[#This Row],[Product]],CLEANED_MotorPH_Products_List_2!$B:$B,0))</f>
        <v>liquid-cooled</v>
      </c>
      <c r="N927" s="44" t="str">
        <f>INDEX(CLEANED_MotorPH_Products_List_2!G:G,MATCH(MotorPHSales[[#This Row],[Product]],CLEANED_MotorPH_Products_List_2!$B:$B,0))</f>
        <v>199cc</v>
      </c>
      <c r="O927" s="44" t="str">
        <f>INDEX(CLEANED_MotorPH_Products_List_2!K:K,MATCH(MotorPHSales[[#This Row],[Product]],CLEANED_MotorPH_Products_List_2!B:B,0))</f>
        <v>Entry-level</v>
      </c>
      <c r="P927" s="45">
        <f>IF(MotorPHSales[[#This Row],[Segment]]="Entry-level",MotorPHSales[[#This Row],[UnitPrice]]/(1+30%),IF(MotorPHSales[[#This Row],[Segment]]="Mid-range",MotorPHSales[[#This Row],[UnitPrice]]/(1+35%),MotorPHSales[[#This Row],[UnitPrice]]/(1+40%)))*MotorPHSales[[#This Row],[Quantity]]</f>
        <v>304615.38461538462</v>
      </c>
      <c r="Q927" s="44" t="str">
        <f>INDEX(CLEANED_MotorPH_Products_List_2!H:H,MATCH(MotorPHSales[[#This Row],[Product]],CLEANED_MotorPH_Products_List_2!$B:$B,0))</f>
        <v>6-speed</v>
      </c>
    </row>
    <row r="928" spans="1:17" ht="15.75" x14ac:dyDescent="0.3">
      <c r="A928" s="43">
        <v>45883</v>
      </c>
      <c r="B928" s="44" t="str">
        <f>TEXT(MotorPHSales[[#This Row],[Date]],"mmmm")</f>
        <v>August</v>
      </c>
      <c r="C928" s="44">
        <f>DAY(MotorPHSales[[#This Row],[Date]])</f>
        <v>14</v>
      </c>
      <c r="D928" s="44">
        <f>YEAR(MotorPHSales[[#This Row],[Date]])</f>
        <v>2025</v>
      </c>
      <c r="E928" s="44" t="s">
        <v>196</v>
      </c>
      <c r="F928" s="44" t="s">
        <v>51</v>
      </c>
      <c r="G928" s="45">
        <v>78900</v>
      </c>
      <c r="H928" s="44">
        <v>11</v>
      </c>
      <c r="I928" s="45">
        <v>867900</v>
      </c>
      <c r="J928" s="44" t="s">
        <v>197</v>
      </c>
      <c r="K928" s="44" t="str">
        <f>INDEX(CLEANED_MotorPH_Products_List_2!C:C,MATCH(MotorPHSales[[#This Row],[Product]],CLEANED_MotorPH_Products_List_2!$B:$B,0))</f>
        <v>Adventure</v>
      </c>
      <c r="L928" s="44" t="str">
        <f>INDEX(CLEANED_MotorPH_Products_List_2!E:E,MATCH(MotorPHSales[[#This Row],[Product]],CLEANED_MotorPH_Products_List_2!$B:$B,0))</f>
        <v>Single cylinder</v>
      </c>
      <c r="M928" s="44" t="str">
        <f>INDEX(CLEANED_MotorPH_Products_List_2!F:F,MATCH(MotorPHSales[[#This Row],[Product]],CLEANED_MotorPH_Products_List_2!$B:$B,0))</f>
        <v>oil-cooled</v>
      </c>
      <c r="N928" s="44" t="str">
        <f>INDEX(CLEANED_MotorPH_Products_List_2!G:G,MATCH(MotorPHSales[[#This Row],[Product]],CLEANED_MotorPH_Products_List_2!$B:$B,0))</f>
        <v>223cc</v>
      </c>
      <c r="O928" s="44" t="str">
        <f>INDEX(CLEANED_MotorPH_Products_List_2!K:K,MATCH(MotorPHSales[[#This Row],[Product]],CLEANED_MotorPH_Products_List_2!B:B,0))</f>
        <v>Mid-range</v>
      </c>
      <c r="P928" s="45">
        <f>IF(MotorPHSales[[#This Row],[Segment]]="Entry-level",MotorPHSales[[#This Row],[UnitPrice]]/(1+30%),IF(MotorPHSales[[#This Row],[Segment]]="Mid-range",MotorPHSales[[#This Row],[UnitPrice]]/(1+35%),MotorPHSales[[#This Row],[UnitPrice]]/(1+40%)))*MotorPHSales[[#This Row],[Quantity]]</f>
        <v>642888.88888888876</v>
      </c>
      <c r="Q928" s="44" t="str">
        <f>INDEX(CLEANED_MotorPH_Products_List_2!H:H,MATCH(MotorPHSales[[#This Row],[Product]],CLEANED_MotorPH_Products_List_2!$B:$B,0))</f>
        <v>6-speed</v>
      </c>
    </row>
    <row r="929" spans="1:17" ht="15.75" x14ac:dyDescent="0.3">
      <c r="A929" s="43">
        <v>45870</v>
      </c>
      <c r="B929" s="44" t="str">
        <f>TEXT(MotorPHSales[[#This Row],[Date]],"mmmm")</f>
        <v>August</v>
      </c>
      <c r="C929" s="44">
        <f>DAY(MotorPHSales[[#This Row],[Date]])</f>
        <v>1</v>
      </c>
      <c r="D929" s="44">
        <f>YEAR(MotorPHSales[[#This Row],[Date]])</f>
        <v>2025</v>
      </c>
      <c r="E929" s="44" t="s">
        <v>196</v>
      </c>
      <c r="F929" s="44" t="s">
        <v>82</v>
      </c>
      <c r="G929" s="45">
        <v>199000</v>
      </c>
      <c r="H929" s="44">
        <v>42</v>
      </c>
      <c r="I929" s="45">
        <v>8358000</v>
      </c>
      <c r="J929" s="44" t="s">
        <v>197</v>
      </c>
      <c r="K929" s="44" t="str">
        <f>INDEX(CLEANED_MotorPH_Products_List_2!C:C,MATCH(MotorPHSales[[#This Row],[Product]],CLEANED_MotorPH_Products_List_2!$B:$B,0))</f>
        <v>Dual-sport</v>
      </c>
      <c r="L929" s="44" t="str">
        <f>INDEX(CLEANED_MotorPH_Products_List_2!E:E,MATCH(MotorPHSales[[#This Row],[Product]],CLEANED_MotorPH_Products_List_2!$B:$B,0))</f>
        <v>Single cylinder</v>
      </c>
      <c r="M929" s="44" t="str">
        <f>INDEX(CLEANED_MotorPH_Products_List_2!F:F,MATCH(MotorPHSales[[#This Row],[Product]],CLEANED_MotorPH_Products_List_2!$B:$B,0))</f>
        <v>air-cooled</v>
      </c>
      <c r="N929" s="44" t="str">
        <f>INDEX(CLEANED_MotorPH_Products_List_2!G:G,MATCH(MotorPHSales[[#This Row],[Product]],CLEANED_MotorPH_Products_List_2!$B:$B,0))</f>
        <v>233cc</v>
      </c>
      <c r="O929" s="44" t="str">
        <f>INDEX(CLEANED_MotorPH_Products_List_2!K:K,MATCH(MotorPHSales[[#This Row],[Product]],CLEANED_MotorPH_Products_List_2!B:B,0))</f>
        <v>Mid-range</v>
      </c>
      <c r="P929" s="45">
        <f>IF(MotorPHSales[[#This Row],[Segment]]="Entry-level",MotorPHSales[[#This Row],[UnitPrice]]/(1+30%),IF(MotorPHSales[[#This Row],[Segment]]="Mid-range",MotorPHSales[[#This Row],[UnitPrice]]/(1+35%),MotorPHSales[[#This Row],[UnitPrice]]/(1+40%)))*MotorPHSales[[#This Row],[Quantity]]</f>
        <v>6191111.1111111101</v>
      </c>
      <c r="Q929" s="44" t="str">
        <f>INDEX(CLEANED_MotorPH_Products_List_2!H:H,MATCH(MotorPHSales[[#This Row],[Product]],CLEANED_MotorPH_Products_List_2!$B:$B,0))</f>
        <v>6-speed</v>
      </c>
    </row>
    <row r="930" spans="1:17" ht="15.75" x14ac:dyDescent="0.3">
      <c r="A930" s="43">
        <v>45870</v>
      </c>
      <c r="B930" s="44" t="str">
        <f>TEXT(MotorPHSales[[#This Row],[Date]],"mmmm")</f>
        <v>August</v>
      </c>
      <c r="C930" s="44">
        <f>DAY(MotorPHSales[[#This Row],[Date]])</f>
        <v>1</v>
      </c>
      <c r="D930" s="44">
        <f>YEAR(MotorPHSales[[#This Row],[Date]])</f>
        <v>2025</v>
      </c>
      <c r="E930" s="44" t="s">
        <v>194</v>
      </c>
      <c r="F930" s="44" t="s">
        <v>14</v>
      </c>
      <c r="G930" s="45">
        <v>250000</v>
      </c>
      <c r="H930" s="44">
        <v>8</v>
      </c>
      <c r="I930" s="45">
        <v>2000000</v>
      </c>
      <c r="J930" s="44" t="s">
        <v>197</v>
      </c>
      <c r="K930" s="44" t="str">
        <f>INDEX(CLEANED_MotorPH_Products_List_2!C:C,MATCH(MotorPHSales[[#This Row],[Product]],CLEANED_MotorPH_Products_List_2!$B:$B,0))</f>
        <v>Classic</v>
      </c>
      <c r="L930" s="44" t="str">
        <f>INDEX(CLEANED_MotorPH_Products_List_2!E:E,MATCH(MotorPHSales[[#This Row],[Product]],CLEANED_MotorPH_Products_List_2!$B:$B,0))</f>
        <v>Single cylinder</v>
      </c>
      <c r="M930" s="44" t="str">
        <f>INDEX(CLEANED_MotorPH_Products_List_2!F:F,MATCH(MotorPHSales[[#This Row],[Product]],CLEANED_MotorPH_Products_List_2!$B:$B,0))</f>
        <v>air-cooled</v>
      </c>
      <c r="N930" s="44" t="str">
        <f>INDEX(CLEANED_MotorPH_Products_List_2!G:G,MATCH(MotorPHSales[[#This Row],[Product]],CLEANED_MotorPH_Products_List_2!$B:$B,0))</f>
        <v>349cc</v>
      </c>
      <c r="O930" s="44" t="str">
        <f>INDEX(CLEANED_MotorPH_Products_List_2!K:K,MATCH(MotorPHSales[[#This Row],[Product]],CLEANED_MotorPH_Products_List_2!B:B,0))</f>
        <v>Mid-range</v>
      </c>
      <c r="P930" s="45">
        <f>IF(MotorPHSales[[#This Row],[Segment]]="Entry-level",MotorPHSales[[#This Row],[UnitPrice]]/(1+30%),IF(MotorPHSales[[#This Row],[Segment]]="Mid-range",MotorPHSales[[#This Row],[UnitPrice]]/(1+35%),MotorPHSales[[#This Row],[UnitPrice]]/(1+40%)))*MotorPHSales[[#This Row],[Quantity]]</f>
        <v>1481481.4814814813</v>
      </c>
      <c r="Q930" s="44" t="str">
        <f>INDEX(CLEANED_MotorPH_Products_List_2!H:H,MATCH(MotorPHSales[[#This Row],[Product]],CLEANED_MotorPH_Products_List_2!$B:$B,0))</f>
        <v>5-speed</v>
      </c>
    </row>
    <row r="931" spans="1:17" ht="15.75" x14ac:dyDescent="0.3">
      <c r="A931" s="43">
        <v>45832</v>
      </c>
      <c r="B931" s="44" t="str">
        <f>TEXT(MotorPHSales[[#This Row],[Date]],"mmmm")</f>
        <v>June</v>
      </c>
      <c r="C931" s="44">
        <f>DAY(MotorPHSales[[#This Row],[Date]])</f>
        <v>24</v>
      </c>
      <c r="D931" s="44">
        <f>YEAR(MotorPHSales[[#This Row],[Date]])</f>
        <v>2025</v>
      </c>
      <c r="E931" s="44" t="s">
        <v>196</v>
      </c>
      <c r="F931" s="44" t="s">
        <v>22</v>
      </c>
      <c r="G931" s="45">
        <v>182000</v>
      </c>
      <c r="H931" s="44">
        <v>32</v>
      </c>
      <c r="I931" s="45">
        <v>5824000</v>
      </c>
      <c r="J931" s="44" t="s">
        <v>198</v>
      </c>
      <c r="K931" s="44" t="str">
        <f>INDEX(CLEANED_MotorPH_Products_List_2!C:C,MATCH(MotorPHSales[[#This Row],[Product]],CLEANED_MotorPH_Products_List_2!$B:$B,0))</f>
        <v>Retro</v>
      </c>
      <c r="L931" s="44" t="str">
        <f>INDEX(CLEANED_MotorPH_Products_List_2!E:E,MATCH(MotorPHSales[[#This Row],[Product]],CLEANED_MotorPH_Products_List_2!$B:$B,0))</f>
        <v>Single cylinder</v>
      </c>
      <c r="M931" s="44" t="str">
        <f>INDEX(CLEANED_MotorPH_Products_List_2!F:F,MATCH(MotorPHSales[[#This Row],[Product]],CLEANED_MotorPH_Products_List_2!$B:$B,0))</f>
        <v>liquid-cooled</v>
      </c>
      <c r="N931" s="44" t="str">
        <f>INDEX(CLEANED_MotorPH_Products_List_2!G:G,MATCH(MotorPHSales[[#This Row],[Product]],CLEANED_MotorPH_Products_List_2!$B:$B,0))</f>
        <v>155cc</v>
      </c>
      <c r="O931" s="44" t="str">
        <f>INDEX(CLEANED_MotorPH_Products_List_2!K:K,MATCH(MotorPHSales[[#This Row],[Product]],CLEANED_MotorPH_Products_List_2!B:B,0))</f>
        <v>Entry-level</v>
      </c>
      <c r="P931" s="45">
        <f>IF(MotorPHSales[[#This Row],[Segment]]="Entry-level",MotorPHSales[[#This Row],[UnitPrice]]/(1+30%),IF(MotorPHSales[[#This Row],[Segment]]="Mid-range",MotorPHSales[[#This Row],[UnitPrice]]/(1+35%),MotorPHSales[[#This Row],[UnitPrice]]/(1+40%)))*MotorPHSales[[#This Row],[Quantity]]</f>
        <v>4480000</v>
      </c>
      <c r="Q931" s="44" t="str">
        <f>INDEX(CLEANED_MotorPH_Products_List_2!H:H,MATCH(MotorPHSales[[#This Row],[Product]],CLEANED_MotorPH_Products_List_2!$B:$B,0))</f>
        <v>6-speed</v>
      </c>
    </row>
    <row r="932" spans="1:17" ht="15.75" x14ac:dyDescent="0.3">
      <c r="A932" s="43">
        <v>45863</v>
      </c>
      <c r="B932" s="44" t="str">
        <f>TEXT(MotorPHSales[[#This Row],[Date]],"mmmm")</f>
        <v>July</v>
      </c>
      <c r="C932" s="44">
        <f>DAY(MotorPHSales[[#This Row],[Date]])</f>
        <v>25</v>
      </c>
      <c r="D932" s="44">
        <f>YEAR(MotorPHSales[[#This Row],[Date]])</f>
        <v>2025</v>
      </c>
      <c r="E932" s="44" t="s">
        <v>194</v>
      </c>
      <c r="F932" s="44" t="s">
        <v>16</v>
      </c>
      <c r="G932" s="45">
        <v>165000</v>
      </c>
      <c r="H932" s="44">
        <v>28</v>
      </c>
      <c r="I932" s="45">
        <v>4620000</v>
      </c>
      <c r="J932" s="44" t="s">
        <v>197</v>
      </c>
      <c r="K932" s="44" t="str">
        <f>INDEX(CLEANED_MotorPH_Products_List_2!C:C,MATCH(MotorPHSales[[#This Row],[Product]],CLEANED_MotorPH_Products_List_2!$B:$B,0))</f>
        <v>Naked bike</v>
      </c>
      <c r="L932" s="44" t="str">
        <f>INDEX(CLEANED_MotorPH_Products_List_2!E:E,MATCH(MotorPHSales[[#This Row],[Product]],CLEANED_MotorPH_Products_List_2!$B:$B,0))</f>
        <v>Single cylinder</v>
      </c>
      <c r="M932" s="44" t="str">
        <f>INDEX(CLEANED_MotorPH_Products_List_2!F:F,MATCH(MotorPHSales[[#This Row],[Product]],CLEANED_MotorPH_Products_List_2!$B:$B,0))</f>
        <v>liquid-cooled</v>
      </c>
      <c r="N932" s="44" t="str">
        <f>INDEX(CLEANED_MotorPH_Products_List_2!G:G,MATCH(MotorPHSales[[#This Row],[Product]],CLEANED_MotorPH_Products_List_2!$B:$B,0))</f>
        <v>292cc</v>
      </c>
      <c r="O932" s="44" t="str">
        <f>INDEX(CLEANED_MotorPH_Products_List_2!K:K,MATCH(MotorPHSales[[#This Row],[Product]],CLEANED_MotorPH_Products_List_2!B:B,0))</f>
        <v>Mid-range</v>
      </c>
      <c r="P932" s="45">
        <f>IF(MotorPHSales[[#This Row],[Segment]]="Entry-level",MotorPHSales[[#This Row],[UnitPrice]]/(1+30%),IF(MotorPHSales[[#This Row],[Segment]]="Mid-range",MotorPHSales[[#This Row],[UnitPrice]]/(1+35%),MotorPHSales[[#This Row],[UnitPrice]]/(1+40%)))*MotorPHSales[[#This Row],[Quantity]]</f>
        <v>3422222.222222222</v>
      </c>
      <c r="Q932" s="44" t="str">
        <f>INDEX(CLEANED_MotorPH_Products_List_2!H:H,MATCH(MotorPHSales[[#This Row],[Product]],CLEANED_MotorPH_Products_List_2!$B:$B,0))</f>
        <v>6-speed</v>
      </c>
    </row>
    <row r="933" spans="1:17" ht="15.75" x14ac:dyDescent="0.3">
      <c r="A933" s="43">
        <v>45817</v>
      </c>
      <c r="B933" s="44" t="str">
        <f>TEXT(MotorPHSales[[#This Row],[Date]],"mmmm")</f>
        <v>June</v>
      </c>
      <c r="C933" s="44">
        <f>DAY(MotorPHSales[[#This Row],[Date]])</f>
        <v>9</v>
      </c>
      <c r="D933" s="44">
        <f>YEAR(MotorPHSales[[#This Row],[Date]])</f>
        <v>2025</v>
      </c>
      <c r="E933" s="44" t="s">
        <v>194</v>
      </c>
      <c r="F933" s="44" t="s">
        <v>46</v>
      </c>
      <c r="G933" s="45">
        <v>124000</v>
      </c>
      <c r="H933" s="44">
        <v>13</v>
      </c>
      <c r="I933" s="45">
        <v>1612000</v>
      </c>
      <c r="J933" s="44" t="s">
        <v>195</v>
      </c>
      <c r="K933" s="44" t="str">
        <f>INDEX(CLEANED_MotorPH_Products_List_2!C:C,MATCH(MotorPHSales[[#This Row],[Product]],CLEANED_MotorPH_Products_List_2!$B:$B,0))</f>
        <v>Scooter</v>
      </c>
      <c r="L933" s="44" t="str">
        <f>INDEX(CLEANED_MotorPH_Products_List_2!E:E,MATCH(MotorPHSales[[#This Row],[Product]],CLEANED_MotorPH_Products_List_2!$B:$B,0))</f>
        <v>Single cylinder</v>
      </c>
      <c r="M933" s="44" t="str">
        <f>INDEX(CLEANED_MotorPH_Products_List_2!F:F,MATCH(MotorPHSales[[#This Row],[Product]],CLEANED_MotorPH_Products_List_2!$B:$B,0))</f>
        <v>liquid-cooled</v>
      </c>
      <c r="N933" s="44" t="str">
        <f>INDEX(CLEANED_MotorPH_Products_List_2!G:G,MATCH(MotorPHSales[[#This Row],[Product]],CLEANED_MotorPH_Products_List_2!$B:$B,0))</f>
        <v>155cc</v>
      </c>
      <c r="O933" s="44" t="str">
        <f>INDEX(CLEANED_MotorPH_Products_List_2!K:K,MATCH(MotorPHSales[[#This Row],[Product]],CLEANED_MotorPH_Products_List_2!B:B,0))</f>
        <v>Entry-level</v>
      </c>
      <c r="P933" s="45">
        <f>IF(MotorPHSales[[#This Row],[Segment]]="Entry-level",MotorPHSales[[#This Row],[UnitPrice]]/(1+30%),IF(MotorPHSales[[#This Row],[Segment]]="Mid-range",MotorPHSales[[#This Row],[UnitPrice]]/(1+35%),MotorPHSales[[#This Row],[UnitPrice]]/(1+40%)))*MotorPHSales[[#This Row],[Quantity]]</f>
        <v>1240000</v>
      </c>
      <c r="Q933" s="44" t="str">
        <f>INDEX(CLEANED_MotorPH_Products_List_2!H:H,MATCH(MotorPHSales[[#This Row],[Product]],CLEANED_MotorPH_Products_List_2!$B:$B,0))</f>
        <v>CVT</v>
      </c>
    </row>
    <row r="934" spans="1:17" ht="15.75" x14ac:dyDescent="0.3">
      <c r="A934" s="43">
        <v>45811</v>
      </c>
      <c r="B934" s="44" t="str">
        <f>TEXT(MotorPHSales[[#This Row],[Date]],"mmmm")</f>
        <v>June</v>
      </c>
      <c r="C934" s="44">
        <f>DAY(MotorPHSales[[#This Row],[Date]])</f>
        <v>3</v>
      </c>
      <c r="D934" s="44">
        <f>YEAR(MotorPHSales[[#This Row],[Date]])</f>
        <v>2025</v>
      </c>
      <c r="E934" s="44" t="s">
        <v>194</v>
      </c>
      <c r="F934" s="44" t="s">
        <v>78</v>
      </c>
      <c r="G934" s="45">
        <v>99900</v>
      </c>
      <c r="H934" s="44">
        <v>17</v>
      </c>
      <c r="I934" s="45">
        <v>1698300</v>
      </c>
      <c r="J934" s="44" t="s">
        <v>197</v>
      </c>
      <c r="K934" s="44" t="str">
        <f>INDEX(CLEANED_MotorPH_Products_List_2!C:C,MATCH(MotorPHSales[[#This Row],[Product]],CLEANED_MotorPH_Products_List_2!$B:$B,0))</f>
        <v>Street</v>
      </c>
      <c r="L934" s="44" t="str">
        <f>INDEX(CLEANED_MotorPH_Products_List_2!E:E,MATCH(MotorPHSales[[#This Row],[Product]],CLEANED_MotorPH_Products_List_2!$B:$B,0))</f>
        <v>Single cylinder</v>
      </c>
      <c r="M934" s="44" t="str">
        <f>INDEX(CLEANED_MotorPH_Products_List_2!F:F,MATCH(MotorPHSales[[#This Row],[Product]],CLEANED_MotorPH_Products_List_2!$B:$B,0))</f>
        <v>air-cooled</v>
      </c>
      <c r="N934" s="44" t="str">
        <f>INDEX(CLEANED_MotorPH_Products_List_2!G:G,MATCH(MotorPHSales[[#This Row],[Product]],CLEANED_MotorPH_Products_List_2!$B:$B,0))</f>
        <v>149cc</v>
      </c>
      <c r="O934" s="44" t="str">
        <f>INDEX(CLEANED_MotorPH_Products_List_2!K:K,MATCH(MotorPHSales[[#This Row],[Product]],CLEANED_MotorPH_Products_List_2!B:B,0))</f>
        <v>Entry-level</v>
      </c>
      <c r="P934" s="45">
        <f>IF(MotorPHSales[[#This Row],[Segment]]="Entry-level",MotorPHSales[[#This Row],[UnitPrice]]/(1+30%),IF(MotorPHSales[[#This Row],[Segment]]="Mid-range",MotorPHSales[[#This Row],[UnitPrice]]/(1+35%),MotorPHSales[[#This Row],[UnitPrice]]/(1+40%)))*MotorPHSales[[#This Row],[Quantity]]</f>
        <v>1306384.6153846153</v>
      </c>
      <c r="Q934" s="44" t="str">
        <f>INDEX(CLEANED_MotorPH_Products_List_2!H:H,MATCH(MotorPHSales[[#This Row],[Product]],CLEANED_MotorPH_Products_List_2!$B:$B,0))</f>
        <v>5-speed</v>
      </c>
    </row>
    <row r="935" spans="1:17" ht="15.75" x14ac:dyDescent="0.3">
      <c r="A935" s="43">
        <v>45839</v>
      </c>
      <c r="B935" s="44" t="str">
        <f>TEXT(MotorPHSales[[#This Row],[Date]],"mmmm")</f>
        <v>July</v>
      </c>
      <c r="C935" s="44">
        <f>DAY(MotorPHSales[[#This Row],[Date]])</f>
        <v>1</v>
      </c>
      <c r="D935" s="44">
        <f>YEAR(MotorPHSales[[#This Row],[Date]])</f>
        <v>2025</v>
      </c>
      <c r="E935" s="44" t="s">
        <v>194</v>
      </c>
      <c r="F935" s="44" t="s">
        <v>42</v>
      </c>
      <c r="G935" s="45">
        <v>125000</v>
      </c>
      <c r="H935" s="44">
        <v>6</v>
      </c>
      <c r="I935" s="45">
        <v>750000</v>
      </c>
      <c r="J935" s="44" t="s">
        <v>195</v>
      </c>
      <c r="K935" s="44" t="str">
        <f>INDEX(CLEANED_MotorPH_Products_List_2!C:C,MATCH(MotorPHSales[[#This Row],[Product]],CLEANED_MotorPH_Products_List_2!$B:$B,0))</f>
        <v>Naked bike</v>
      </c>
      <c r="L935" s="44" t="str">
        <f>INDEX(CLEANED_MotorPH_Products_List_2!E:E,MATCH(MotorPHSales[[#This Row],[Product]],CLEANED_MotorPH_Products_List_2!$B:$B,0))</f>
        <v>Single cylinder</v>
      </c>
      <c r="M935" s="44" t="str">
        <f>INDEX(CLEANED_MotorPH_Products_List_2!F:F,MATCH(MotorPHSales[[#This Row],[Product]],CLEANED_MotorPH_Products_List_2!$B:$B,0))</f>
        <v>liquid-cooled</v>
      </c>
      <c r="N935" s="44" t="str">
        <f>INDEX(CLEANED_MotorPH_Products_List_2!G:G,MATCH(MotorPHSales[[#This Row],[Product]],CLEANED_MotorPH_Products_List_2!$B:$B,0))</f>
        <v>147cc</v>
      </c>
      <c r="O935" s="44" t="str">
        <f>INDEX(CLEANED_MotorPH_Products_List_2!K:K,MATCH(MotorPHSales[[#This Row],[Product]],CLEANED_MotorPH_Products_List_2!B:B,0))</f>
        <v>Entry-level</v>
      </c>
      <c r="P935" s="45">
        <f>IF(MotorPHSales[[#This Row],[Segment]]="Entry-level",MotorPHSales[[#This Row],[UnitPrice]]/(1+30%),IF(MotorPHSales[[#This Row],[Segment]]="Mid-range",MotorPHSales[[#This Row],[UnitPrice]]/(1+35%),MotorPHSales[[#This Row],[UnitPrice]]/(1+40%)))*MotorPHSales[[#This Row],[Quantity]]</f>
        <v>576923.07692307699</v>
      </c>
      <c r="Q935" s="44" t="str">
        <f>INDEX(CLEANED_MotorPH_Products_List_2!H:H,MATCH(MotorPHSales[[#This Row],[Product]],CLEANED_MotorPH_Products_List_2!$B:$B,0))</f>
        <v>6-speed</v>
      </c>
    </row>
    <row r="936" spans="1:17" ht="15.75" x14ac:dyDescent="0.3">
      <c r="A936" s="43">
        <v>45848</v>
      </c>
      <c r="B936" s="44" t="str">
        <f>TEXT(MotorPHSales[[#This Row],[Date]],"mmmm")</f>
        <v>July</v>
      </c>
      <c r="C936" s="44">
        <f>DAY(MotorPHSales[[#This Row],[Date]])</f>
        <v>10</v>
      </c>
      <c r="D936" s="44">
        <f>YEAR(MotorPHSales[[#This Row],[Date]])</f>
        <v>2025</v>
      </c>
      <c r="E936" s="44" t="s">
        <v>196</v>
      </c>
      <c r="F936" s="44" t="s">
        <v>47</v>
      </c>
      <c r="G936" s="45">
        <v>398000</v>
      </c>
      <c r="H936" s="44">
        <v>10</v>
      </c>
      <c r="I936" s="45">
        <v>3980000</v>
      </c>
      <c r="J936" s="44" t="s">
        <v>195</v>
      </c>
      <c r="K936" s="44" t="str">
        <f>INDEX(CLEANED_MotorPH_Products_List_2!C:C,MATCH(MotorPHSales[[#This Row],[Product]],CLEANED_MotorPH_Products_List_2!$B:$B,0))</f>
        <v>Cruiser</v>
      </c>
      <c r="L936" s="44" t="str">
        <f>INDEX(CLEANED_MotorPH_Products_List_2!E:E,MATCH(MotorPHSales[[#This Row],[Product]],CLEANED_MotorPH_Products_List_2!$B:$B,0))</f>
        <v>Parallel-twin</v>
      </c>
      <c r="M936" s="44" t="str">
        <f>INDEX(CLEANED_MotorPH_Products_List_2!F:F,MATCH(MotorPHSales[[#This Row],[Product]],CLEANED_MotorPH_Products_List_2!$B:$B,0))</f>
        <v>liquid-cooled</v>
      </c>
      <c r="N936" s="44" t="str">
        <f>INDEX(CLEANED_MotorPH_Products_List_2!G:G,MATCH(MotorPHSales[[#This Row],[Product]],CLEANED_MotorPH_Products_List_2!$B:$B,0))</f>
        <v>649cc</v>
      </c>
      <c r="O936" s="44" t="str">
        <f>INDEX(CLEANED_MotorPH_Products_List_2!K:K,MATCH(MotorPHSales[[#This Row],[Product]],CLEANED_MotorPH_Products_List_2!B:B,0))</f>
        <v>Premium</v>
      </c>
      <c r="P936" s="45">
        <f>IF(MotorPHSales[[#This Row],[Segment]]="Entry-level",MotorPHSales[[#This Row],[UnitPrice]]/(1+30%),IF(MotorPHSales[[#This Row],[Segment]]="Mid-range",MotorPHSales[[#This Row],[UnitPrice]]/(1+35%),MotorPHSales[[#This Row],[UnitPrice]]/(1+40%)))*MotorPHSales[[#This Row],[Quantity]]</f>
        <v>2842857.1428571432</v>
      </c>
      <c r="Q936" s="44" t="str">
        <f>INDEX(CLEANED_MotorPH_Products_List_2!H:H,MATCH(MotorPHSales[[#This Row],[Product]],CLEANED_MotorPH_Products_List_2!$B:$B,0))</f>
        <v>6-speed</v>
      </c>
    </row>
    <row r="937" spans="1:17" ht="15.75" x14ac:dyDescent="0.3">
      <c r="A937" s="43">
        <v>45844</v>
      </c>
      <c r="B937" s="44" t="str">
        <f>TEXT(MotorPHSales[[#This Row],[Date]],"mmmm")</f>
        <v>July</v>
      </c>
      <c r="C937" s="44">
        <f>DAY(MotorPHSales[[#This Row],[Date]])</f>
        <v>6</v>
      </c>
      <c r="D937" s="44">
        <f>YEAR(MotorPHSales[[#This Row],[Date]])</f>
        <v>2025</v>
      </c>
      <c r="E937" s="44" t="s">
        <v>196</v>
      </c>
      <c r="F937" s="44" t="s">
        <v>101</v>
      </c>
      <c r="G937" s="45">
        <v>72900</v>
      </c>
      <c r="H937" s="44">
        <v>29</v>
      </c>
      <c r="I937" s="45">
        <v>2114100</v>
      </c>
      <c r="J937" s="44" t="s">
        <v>198</v>
      </c>
      <c r="K937" s="44" t="str">
        <f>INDEX(CLEANED_MotorPH_Products_List_2!C:C,MATCH(MotorPHSales[[#This Row],[Product]],CLEANED_MotorPH_Products_List_2!$B:$B,0))</f>
        <v>Underbone</v>
      </c>
      <c r="L937" s="44" t="str">
        <f>INDEX(CLEANED_MotorPH_Products_List_2!E:E,MATCH(MotorPHSales[[#This Row],[Product]],CLEANED_MotorPH_Products_List_2!$B:$B,0))</f>
        <v>Single cylinder</v>
      </c>
      <c r="M937" s="44" t="str">
        <f>INDEX(CLEANED_MotorPH_Products_List_2!F:F,MATCH(MotorPHSales[[#This Row],[Product]],CLEANED_MotorPH_Products_List_2!$B:$B,0))</f>
        <v>air-cooled</v>
      </c>
      <c r="N937" s="44" t="str">
        <f>INDEX(CLEANED_MotorPH_Products_List_2!G:G,MATCH(MotorPHSales[[#This Row],[Product]],CLEANED_MotorPH_Products_List_2!$B:$B,0))</f>
        <v>150cc</v>
      </c>
      <c r="O937" s="44" t="str">
        <f>INDEX(CLEANED_MotorPH_Products_List_2!K:K,MATCH(MotorPHSales[[#This Row],[Product]],CLEANED_MotorPH_Products_List_2!B:B,0))</f>
        <v>Entry-level</v>
      </c>
      <c r="P937" s="45">
        <f>IF(MotorPHSales[[#This Row],[Segment]]="Entry-level",MotorPHSales[[#This Row],[UnitPrice]]/(1+30%),IF(MotorPHSales[[#This Row],[Segment]]="Mid-range",MotorPHSales[[#This Row],[UnitPrice]]/(1+35%),MotorPHSales[[#This Row],[UnitPrice]]/(1+40%)))*MotorPHSales[[#This Row],[Quantity]]</f>
        <v>1626230.7692307692</v>
      </c>
      <c r="Q937" s="44" t="str">
        <f>INDEX(CLEANED_MotorPH_Products_List_2!H:H,MATCH(MotorPHSales[[#This Row],[Product]],CLEANED_MotorPH_Products_List_2!$B:$B,0))</f>
        <v>CVT</v>
      </c>
    </row>
    <row r="938" spans="1:17" ht="15.75" x14ac:dyDescent="0.3">
      <c r="A938" s="43">
        <v>45832</v>
      </c>
      <c r="B938" s="44" t="str">
        <f>TEXT(MotorPHSales[[#This Row],[Date]],"mmmm")</f>
        <v>June</v>
      </c>
      <c r="C938" s="44">
        <f>DAY(MotorPHSales[[#This Row],[Date]])</f>
        <v>24</v>
      </c>
      <c r="D938" s="44">
        <f>YEAR(MotorPHSales[[#This Row],[Date]])</f>
        <v>2025</v>
      </c>
      <c r="E938" s="44" t="s">
        <v>196</v>
      </c>
      <c r="F938" s="44" t="s">
        <v>94</v>
      </c>
      <c r="G938" s="45">
        <v>299000</v>
      </c>
      <c r="H938" s="44">
        <v>8</v>
      </c>
      <c r="I938" s="45">
        <v>2392000</v>
      </c>
      <c r="J938" s="44" t="s">
        <v>195</v>
      </c>
      <c r="K938" s="44" t="str">
        <f>INDEX(CLEANED_MotorPH_Products_List_2!C:C,MATCH(MotorPHSales[[#This Row],[Product]],CLEANED_MotorPH_Products_List_2!$B:$B,0))</f>
        <v>Dual-sport</v>
      </c>
      <c r="L938" s="44" t="str">
        <f>INDEX(CLEANED_MotorPH_Products_List_2!E:E,MATCH(MotorPHSales[[#This Row],[Product]],CLEANED_MotorPH_Products_List_2!$B:$B,0))</f>
        <v>Single cylinder</v>
      </c>
      <c r="M938" s="44" t="str">
        <f>INDEX(CLEANED_MotorPH_Products_List_2!F:F,MATCH(MotorPHSales[[#This Row],[Product]],CLEANED_MotorPH_Products_List_2!$B:$B,0))</f>
        <v>air-cooled</v>
      </c>
      <c r="N938" s="44" t="str">
        <f>INDEX(CLEANED_MotorPH_Products_List_2!G:G,MATCH(MotorPHSales[[#This Row],[Product]],CLEANED_MotorPH_Products_List_2!$B:$B,0))</f>
        <v>249cc</v>
      </c>
      <c r="O938" s="44" t="str">
        <f>INDEX(CLEANED_MotorPH_Products_List_2!K:K,MATCH(MotorPHSales[[#This Row],[Product]],CLEANED_MotorPH_Products_List_2!B:B,0))</f>
        <v>Mid-range</v>
      </c>
      <c r="P938" s="45">
        <f>IF(MotorPHSales[[#This Row],[Segment]]="Entry-level",MotorPHSales[[#This Row],[UnitPrice]]/(1+30%),IF(MotorPHSales[[#This Row],[Segment]]="Mid-range",MotorPHSales[[#This Row],[UnitPrice]]/(1+35%),MotorPHSales[[#This Row],[UnitPrice]]/(1+40%)))*MotorPHSales[[#This Row],[Quantity]]</f>
        <v>1771851.8518518517</v>
      </c>
      <c r="Q938" s="44" t="str">
        <f>INDEX(CLEANED_MotorPH_Products_List_2!H:H,MATCH(MotorPHSales[[#This Row],[Product]],CLEANED_MotorPH_Products_List_2!$B:$B,0))</f>
        <v>5-speed</v>
      </c>
    </row>
    <row r="939" spans="1:17" ht="15.75" x14ac:dyDescent="0.3">
      <c r="A939" s="43">
        <v>45814</v>
      </c>
      <c r="B939" s="44" t="str">
        <f>TEXT(MotorPHSales[[#This Row],[Date]],"mmmm")</f>
        <v>June</v>
      </c>
      <c r="C939" s="44">
        <f>DAY(MotorPHSales[[#This Row],[Date]])</f>
        <v>6</v>
      </c>
      <c r="D939" s="44">
        <f>YEAR(MotorPHSales[[#This Row],[Date]])</f>
        <v>2025</v>
      </c>
      <c r="E939" s="44" t="s">
        <v>196</v>
      </c>
      <c r="F939" s="44" t="s">
        <v>51</v>
      </c>
      <c r="G939" s="45">
        <v>78900</v>
      </c>
      <c r="H939" s="44">
        <v>8</v>
      </c>
      <c r="I939" s="45">
        <v>631200</v>
      </c>
      <c r="J939" s="44" t="s">
        <v>195</v>
      </c>
      <c r="K939" s="44" t="str">
        <f>INDEX(CLEANED_MotorPH_Products_List_2!C:C,MATCH(MotorPHSales[[#This Row],[Product]],CLEANED_MotorPH_Products_List_2!$B:$B,0))</f>
        <v>Adventure</v>
      </c>
      <c r="L939" s="44" t="str">
        <f>INDEX(CLEANED_MotorPH_Products_List_2!E:E,MATCH(MotorPHSales[[#This Row],[Product]],CLEANED_MotorPH_Products_List_2!$B:$B,0))</f>
        <v>Single cylinder</v>
      </c>
      <c r="M939" s="44" t="str">
        <f>INDEX(CLEANED_MotorPH_Products_List_2!F:F,MATCH(MotorPHSales[[#This Row],[Product]],CLEANED_MotorPH_Products_List_2!$B:$B,0))</f>
        <v>oil-cooled</v>
      </c>
      <c r="N939" s="44" t="str">
        <f>INDEX(CLEANED_MotorPH_Products_List_2!G:G,MATCH(MotorPHSales[[#This Row],[Product]],CLEANED_MotorPH_Products_List_2!$B:$B,0))</f>
        <v>223cc</v>
      </c>
      <c r="O939" s="44" t="str">
        <f>INDEX(CLEANED_MotorPH_Products_List_2!K:K,MATCH(MotorPHSales[[#This Row],[Product]],CLEANED_MotorPH_Products_List_2!B:B,0))</f>
        <v>Mid-range</v>
      </c>
      <c r="P939" s="45">
        <f>IF(MotorPHSales[[#This Row],[Segment]]="Entry-level",MotorPHSales[[#This Row],[UnitPrice]]/(1+30%),IF(MotorPHSales[[#This Row],[Segment]]="Mid-range",MotorPHSales[[#This Row],[UnitPrice]]/(1+35%),MotorPHSales[[#This Row],[UnitPrice]]/(1+40%)))*MotorPHSales[[#This Row],[Quantity]]</f>
        <v>467555.5555555555</v>
      </c>
      <c r="Q939" s="44" t="str">
        <f>INDEX(CLEANED_MotorPH_Products_List_2!H:H,MATCH(MotorPHSales[[#This Row],[Product]],CLEANED_MotorPH_Products_List_2!$B:$B,0))</f>
        <v>6-speed</v>
      </c>
    </row>
    <row r="940" spans="1:17" ht="15.75" x14ac:dyDescent="0.3">
      <c r="A940" s="43">
        <v>45874</v>
      </c>
      <c r="B940" s="44" t="str">
        <f>TEXT(MotorPHSales[[#This Row],[Date]],"mmmm")</f>
        <v>August</v>
      </c>
      <c r="C940" s="44">
        <f>DAY(MotorPHSales[[#This Row],[Date]])</f>
        <v>5</v>
      </c>
      <c r="D940" s="44">
        <f>YEAR(MotorPHSales[[#This Row],[Date]])</f>
        <v>2025</v>
      </c>
      <c r="E940" s="44" t="s">
        <v>196</v>
      </c>
      <c r="F940" s="44" t="s">
        <v>76</v>
      </c>
      <c r="G940" s="45">
        <v>369000</v>
      </c>
      <c r="H940" s="44">
        <v>18</v>
      </c>
      <c r="I940" s="45">
        <v>6642000</v>
      </c>
      <c r="J940" s="44" t="s">
        <v>198</v>
      </c>
      <c r="K940" s="44" t="str">
        <f>INDEX(CLEANED_MotorPH_Products_List_2!C:C,MATCH(MotorPHSales[[#This Row],[Product]],CLEANED_MotorPH_Products_List_2!$B:$B,0))</f>
        <v>Adventure</v>
      </c>
      <c r="L940" s="44" t="str">
        <f>INDEX(CLEANED_MotorPH_Products_List_2!E:E,MATCH(MotorPHSales[[#This Row],[Product]],CLEANED_MotorPH_Products_List_2!$B:$B,0))</f>
        <v>Parallel-twin</v>
      </c>
      <c r="M940" s="44" t="str">
        <f>INDEX(CLEANED_MotorPH_Products_List_2!F:F,MATCH(MotorPHSales[[#This Row],[Product]],CLEANED_MotorPH_Products_List_2!$B:$B,0))</f>
        <v>liquid-cooled</v>
      </c>
      <c r="N940" s="44" t="str">
        <f>INDEX(CLEANED_MotorPH_Products_List_2!G:G,MATCH(MotorPHSales[[#This Row],[Product]],CLEANED_MotorPH_Products_List_2!$B:$B,0))</f>
        <v>649cc</v>
      </c>
      <c r="O940" s="44" t="str">
        <f>INDEX(CLEANED_MotorPH_Products_List_2!K:K,MATCH(MotorPHSales[[#This Row],[Product]],CLEANED_MotorPH_Products_List_2!B:B,0))</f>
        <v>Premium</v>
      </c>
      <c r="P940" s="45">
        <f>IF(MotorPHSales[[#This Row],[Segment]]="Entry-level",MotorPHSales[[#This Row],[UnitPrice]]/(1+30%),IF(MotorPHSales[[#This Row],[Segment]]="Mid-range",MotorPHSales[[#This Row],[UnitPrice]]/(1+35%),MotorPHSales[[#This Row],[UnitPrice]]/(1+40%)))*MotorPHSales[[#This Row],[Quantity]]</f>
        <v>4744285.7142857146</v>
      </c>
      <c r="Q940" s="44" t="str">
        <f>INDEX(CLEANED_MotorPH_Products_List_2!H:H,MATCH(MotorPHSales[[#This Row],[Product]],CLEANED_MotorPH_Products_List_2!$B:$B,0))</f>
        <v>6-speed</v>
      </c>
    </row>
    <row r="941" spans="1:17" ht="15.75" x14ac:dyDescent="0.3">
      <c r="A941" s="43">
        <v>45892</v>
      </c>
      <c r="B941" s="44" t="str">
        <f>TEXT(MotorPHSales[[#This Row],[Date]],"mmmm")</f>
        <v>August</v>
      </c>
      <c r="C941" s="44">
        <f>DAY(MotorPHSales[[#This Row],[Date]])</f>
        <v>23</v>
      </c>
      <c r="D941" s="44">
        <f>YEAR(MotorPHSales[[#This Row],[Date]])</f>
        <v>2025</v>
      </c>
      <c r="E941" s="44" t="s">
        <v>196</v>
      </c>
      <c r="F941" s="44" t="s">
        <v>47</v>
      </c>
      <c r="G941" s="45">
        <v>398000</v>
      </c>
      <c r="H941" s="44">
        <v>33</v>
      </c>
      <c r="I941" s="45">
        <v>13134000</v>
      </c>
      <c r="J941" s="44" t="s">
        <v>195</v>
      </c>
      <c r="K941" s="44" t="str">
        <f>INDEX(CLEANED_MotorPH_Products_List_2!C:C,MATCH(MotorPHSales[[#This Row],[Product]],CLEANED_MotorPH_Products_List_2!$B:$B,0))</f>
        <v>Cruiser</v>
      </c>
      <c r="L941" s="44" t="str">
        <f>INDEX(CLEANED_MotorPH_Products_List_2!E:E,MATCH(MotorPHSales[[#This Row],[Product]],CLEANED_MotorPH_Products_List_2!$B:$B,0))</f>
        <v>Parallel-twin</v>
      </c>
      <c r="M941" s="44" t="str">
        <f>INDEX(CLEANED_MotorPH_Products_List_2!F:F,MATCH(MotorPHSales[[#This Row],[Product]],CLEANED_MotorPH_Products_List_2!$B:$B,0))</f>
        <v>liquid-cooled</v>
      </c>
      <c r="N941" s="44" t="str">
        <f>INDEX(CLEANED_MotorPH_Products_List_2!G:G,MATCH(MotorPHSales[[#This Row],[Product]],CLEANED_MotorPH_Products_List_2!$B:$B,0))</f>
        <v>649cc</v>
      </c>
      <c r="O941" s="44" t="str">
        <f>INDEX(CLEANED_MotorPH_Products_List_2!K:K,MATCH(MotorPHSales[[#This Row],[Product]],CLEANED_MotorPH_Products_List_2!B:B,0))</f>
        <v>Premium</v>
      </c>
      <c r="P941" s="45">
        <f>IF(MotorPHSales[[#This Row],[Segment]]="Entry-level",MotorPHSales[[#This Row],[UnitPrice]]/(1+30%),IF(MotorPHSales[[#This Row],[Segment]]="Mid-range",MotorPHSales[[#This Row],[UnitPrice]]/(1+35%),MotorPHSales[[#This Row],[UnitPrice]]/(1+40%)))*MotorPHSales[[#This Row],[Quantity]]</f>
        <v>9381428.5714285728</v>
      </c>
      <c r="Q941" s="44" t="str">
        <f>INDEX(CLEANED_MotorPH_Products_List_2!H:H,MATCH(MotorPHSales[[#This Row],[Product]],CLEANED_MotorPH_Products_List_2!$B:$B,0))</f>
        <v>6-speed</v>
      </c>
    </row>
    <row r="942" spans="1:17" ht="15.75" x14ac:dyDescent="0.3">
      <c r="A942" s="43">
        <v>45900</v>
      </c>
      <c r="B942" s="44" t="str">
        <f>TEXT(MotorPHSales[[#This Row],[Date]],"mmmm")</f>
        <v>August</v>
      </c>
      <c r="C942" s="44">
        <f>DAY(MotorPHSales[[#This Row],[Date]])</f>
        <v>31</v>
      </c>
      <c r="D942" s="44">
        <f>YEAR(MotorPHSales[[#This Row],[Date]])</f>
        <v>2025</v>
      </c>
      <c r="E942" s="44" t="s">
        <v>194</v>
      </c>
      <c r="F942" s="44" t="s">
        <v>59</v>
      </c>
      <c r="G942" s="45">
        <v>67900</v>
      </c>
      <c r="H942" s="44">
        <v>25</v>
      </c>
      <c r="I942" s="45">
        <v>1697500</v>
      </c>
      <c r="J942" s="44" t="s">
        <v>198</v>
      </c>
      <c r="K942" s="44" t="str">
        <f>INDEX(CLEANED_MotorPH_Products_List_2!C:C,MATCH(MotorPHSales[[#This Row],[Product]],CLEANED_MotorPH_Products_List_2!$B:$B,0))</f>
        <v>Commuter</v>
      </c>
      <c r="L942" s="44" t="str">
        <f>INDEX(CLEANED_MotorPH_Products_List_2!E:E,MATCH(MotorPHSales[[#This Row],[Product]],CLEANED_MotorPH_Products_List_2!$B:$B,0))</f>
        <v>Single cylinder</v>
      </c>
      <c r="M942" s="44" t="str">
        <f>INDEX(CLEANED_MotorPH_Products_List_2!F:F,MATCH(MotorPHSales[[#This Row],[Product]],CLEANED_MotorPH_Products_List_2!$B:$B,0))</f>
        <v>air-cooled</v>
      </c>
      <c r="N942" s="44" t="str">
        <f>INDEX(CLEANED_MotorPH_Products_List_2!G:G,MATCH(MotorPHSales[[#This Row],[Product]],CLEANED_MotorPH_Products_List_2!$B:$B,0))</f>
        <v>125cc</v>
      </c>
      <c r="O942" s="44" t="str">
        <f>INDEX(CLEANED_MotorPH_Products_List_2!K:K,MATCH(MotorPHSales[[#This Row],[Product]],CLEANED_MotorPH_Products_List_2!B:B,0))</f>
        <v>Entry-level</v>
      </c>
      <c r="P942" s="45">
        <f>IF(MotorPHSales[[#This Row],[Segment]]="Entry-level",MotorPHSales[[#This Row],[UnitPrice]]/(1+30%),IF(MotorPHSales[[#This Row],[Segment]]="Mid-range",MotorPHSales[[#This Row],[UnitPrice]]/(1+35%),MotorPHSales[[#This Row],[UnitPrice]]/(1+40%)))*MotorPHSales[[#This Row],[Quantity]]</f>
        <v>1305769.2307692308</v>
      </c>
      <c r="Q942" s="44" t="str">
        <f>INDEX(CLEANED_MotorPH_Products_List_2!H:H,MATCH(MotorPHSales[[#This Row],[Product]],CLEANED_MotorPH_Products_List_2!$B:$B,0))</f>
        <v>4-speed</v>
      </c>
    </row>
    <row r="943" spans="1:17" ht="15.75" x14ac:dyDescent="0.3">
      <c r="A943" s="43">
        <v>45883</v>
      </c>
      <c r="B943" s="44" t="str">
        <f>TEXT(MotorPHSales[[#This Row],[Date]],"mmmm")</f>
        <v>August</v>
      </c>
      <c r="C943" s="44">
        <f>DAY(MotorPHSales[[#This Row],[Date]])</f>
        <v>14</v>
      </c>
      <c r="D943" s="44">
        <f>YEAR(MotorPHSales[[#This Row],[Date]])</f>
        <v>2025</v>
      </c>
      <c r="E943" s="44" t="s">
        <v>194</v>
      </c>
      <c r="F943" s="44" t="s">
        <v>30</v>
      </c>
      <c r="G943" s="45">
        <v>79900</v>
      </c>
      <c r="H943" s="44">
        <v>5</v>
      </c>
      <c r="I943" s="45">
        <v>399500</v>
      </c>
      <c r="J943" s="44" t="s">
        <v>198</v>
      </c>
      <c r="K943" s="44" t="str">
        <f>INDEX(CLEANED_MotorPH_Products_List_2!C:C,MATCH(MotorPHSales[[#This Row],[Product]],CLEANED_MotorPH_Products_List_2!$B:$B,0))</f>
        <v>Scooter</v>
      </c>
      <c r="L943" s="44" t="str">
        <f>INDEX(CLEANED_MotorPH_Products_List_2!E:E,MATCH(MotorPHSales[[#This Row],[Product]],CLEANED_MotorPH_Products_List_2!$B:$B,0))</f>
        <v>Single cylinder</v>
      </c>
      <c r="M943" s="44" t="str">
        <f>INDEX(CLEANED_MotorPH_Products_List_2!F:F,MATCH(MotorPHSales[[#This Row],[Product]],CLEANED_MotorPH_Products_List_2!$B:$B,0))</f>
        <v>air-cooled</v>
      </c>
      <c r="N943" s="44" t="str">
        <f>INDEX(CLEANED_MotorPH_Products_List_2!G:G,MATCH(MotorPHSales[[#This Row],[Product]],CLEANED_MotorPH_Products_List_2!$B:$B,0))</f>
        <v>124cc</v>
      </c>
      <c r="O943" s="44" t="str">
        <f>INDEX(CLEANED_MotorPH_Products_List_2!K:K,MATCH(MotorPHSales[[#This Row],[Product]],CLEANED_MotorPH_Products_List_2!B:B,0))</f>
        <v>Entry-level</v>
      </c>
      <c r="P943" s="45">
        <f>IF(MotorPHSales[[#This Row],[Segment]]="Entry-level",MotorPHSales[[#This Row],[UnitPrice]]/(1+30%),IF(MotorPHSales[[#This Row],[Segment]]="Mid-range",MotorPHSales[[#This Row],[UnitPrice]]/(1+35%),MotorPHSales[[#This Row],[UnitPrice]]/(1+40%)))*MotorPHSales[[#This Row],[Quantity]]</f>
        <v>307307.69230769231</v>
      </c>
      <c r="Q943" s="44" t="str">
        <f>INDEX(CLEANED_MotorPH_Products_List_2!H:H,MATCH(MotorPHSales[[#This Row],[Product]],CLEANED_MotorPH_Products_List_2!$B:$B,0))</f>
        <v>CVT</v>
      </c>
    </row>
    <row r="944" spans="1:17" ht="15.75" x14ac:dyDescent="0.3">
      <c r="A944" s="43">
        <v>45812</v>
      </c>
      <c r="B944" s="44" t="str">
        <f>TEXT(MotorPHSales[[#This Row],[Date]],"mmmm")</f>
        <v>June</v>
      </c>
      <c r="C944" s="44">
        <f>DAY(MotorPHSales[[#This Row],[Date]])</f>
        <v>4</v>
      </c>
      <c r="D944" s="44">
        <f>YEAR(MotorPHSales[[#This Row],[Date]])</f>
        <v>2025</v>
      </c>
      <c r="E944" s="44" t="s">
        <v>196</v>
      </c>
      <c r="F944" s="44" t="s">
        <v>46</v>
      </c>
      <c r="G944" s="45">
        <v>124000</v>
      </c>
      <c r="H944" s="44">
        <v>14</v>
      </c>
      <c r="I944" s="45">
        <v>1736000</v>
      </c>
      <c r="J944" s="44" t="s">
        <v>197</v>
      </c>
      <c r="K944" s="44" t="str">
        <f>INDEX(CLEANED_MotorPH_Products_List_2!C:C,MATCH(MotorPHSales[[#This Row],[Product]],CLEANED_MotorPH_Products_List_2!$B:$B,0))</f>
        <v>Scooter</v>
      </c>
      <c r="L944" s="44" t="str">
        <f>INDEX(CLEANED_MotorPH_Products_List_2!E:E,MATCH(MotorPHSales[[#This Row],[Product]],CLEANED_MotorPH_Products_List_2!$B:$B,0))</f>
        <v>Single cylinder</v>
      </c>
      <c r="M944" s="44" t="str">
        <f>INDEX(CLEANED_MotorPH_Products_List_2!F:F,MATCH(MotorPHSales[[#This Row],[Product]],CLEANED_MotorPH_Products_List_2!$B:$B,0))</f>
        <v>liquid-cooled</v>
      </c>
      <c r="N944" s="44" t="str">
        <f>INDEX(CLEANED_MotorPH_Products_List_2!G:G,MATCH(MotorPHSales[[#This Row],[Product]],CLEANED_MotorPH_Products_List_2!$B:$B,0))</f>
        <v>155cc</v>
      </c>
      <c r="O944" s="44" t="str">
        <f>INDEX(CLEANED_MotorPH_Products_List_2!K:K,MATCH(MotorPHSales[[#This Row],[Product]],CLEANED_MotorPH_Products_List_2!B:B,0))</f>
        <v>Entry-level</v>
      </c>
      <c r="P944" s="45">
        <f>IF(MotorPHSales[[#This Row],[Segment]]="Entry-level",MotorPHSales[[#This Row],[UnitPrice]]/(1+30%),IF(MotorPHSales[[#This Row],[Segment]]="Mid-range",MotorPHSales[[#This Row],[UnitPrice]]/(1+35%),MotorPHSales[[#This Row],[UnitPrice]]/(1+40%)))*MotorPHSales[[#This Row],[Quantity]]</f>
        <v>1335384.6153846153</v>
      </c>
      <c r="Q944" s="44" t="str">
        <f>INDEX(CLEANED_MotorPH_Products_List_2!H:H,MATCH(MotorPHSales[[#This Row],[Product]],CLEANED_MotorPH_Products_List_2!$B:$B,0))</f>
        <v>CVT</v>
      </c>
    </row>
    <row r="945" spans="1:17" ht="15.75" x14ac:dyDescent="0.3">
      <c r="A945" s="43">
        <v>45887</v>
      </c>
      <c r="B945" s="44" t="str">
        <f>TEXT(MotorPHSales[[#This Row],[Date]],"mmmm")</f>
        <v>August</v>
      </c>
      <c r="C945" s="44">
        <f>DAY(MotorPHSales[[#This Row],[Date]])</f>
        <v>18</v>
      </c>
      <c r="D945" s="44">
        <f>YEAR(MotorPHSales[[#This Row],[Date]])</f>
        <v>2025</v>
      </c>
      <c r="E945" s="44" t="s">
        <v>196</v>
      </c>
      <c r="F945" s="44" t="s">
        <v>14</v>
      </c>
      <c r="G945" s="45">
        <v>250000</v>
      </c>
      <c r="H945" s="44">
        <v>48</v>
      </c>
      <c r="I945" s="45">
        <v>12000000</v>
      </c>
      <c r="J945" s="44" t="s">
        <v>197</v>
      </c>
      <c r="K945" s="44" t="str">
        <f>INDEX(CLEANED_MotorPH_Products_List_2!C:C,MATCH(MotorPHSales[[#This Row],[Product]],CLEANED_MotorPH_Products_List_2!$B:$B,0))</f>
        <v>Classic</v>
      </c>
      <c r="L945" s="44" t="str">
        <f>INDEX(CLEANED_MotorPH_Products_List_2!E:E,MATCH(MotorPHSales[[#This Row],[Product]],CLEANED_MotorPH_Products_List_2!$B:$B,0))</f>
        <v>Single cylinder</v>
      </c>
      <c r="M945" s="44" t="str">
        <f>INDEX(CLEANED_MotorPH_Products_List_2!F:F,MATCH(MotorPHSales[[#This Row],[Product]],CLEANED_MotorPH_Products_List_2!$B:$B,0))</f>
        <v>air-cooled</v>
      </c>
      <c r="N945" s="44" t="str">
        <f>INDEX(CLEANED_MotorPH_Products_List_2!G:G,MATCH(MotorPHSales[[#This Row],[Product]],CLEANED_MotorPH_Products_List_2!$B:$B,0))</f>
        <v>349cc</v>
      </c>
      <c r="O945" s="44" t="str">
        <f>INDEX(CLEANED_MotorPH_Products_List_2!K:K,MATCH(MotorPHSales[[#This Row],[Product]],CLEANED_MotorPH_Products_List_2!B:B,0))</f>
        <v>Mid-range</v>
      </c>
      <c r="P945" s="45">
        <f>IF(MotorPHSales[[#This Row],[Segment]]="Entry-level",MotorPHSales[[#This Row],[UnitPrice]]/(1+30%),IF(MotorPHSales[[#This Row],[Segment]]="Mid-range",MotorPHSales[[#This Row],[UnitPrice]]/(1+35%),MotorPHSales[[#This Row],[UnitPrice]]/(1+40%)))*MotorPHSales[[#This Row],[Quantity]]</f>
        <v>8888888.8888888881</v>
      </c>
      <c r="Q945" s="44" t="str">
        <f>INDEX(CLEANED_MotorPH_Products_List_2!H:H,MATCH(MotorPHSales[[#This Row],[Product]],CLEANED_MotorPH_Products_List_2!$B:$B,0))</f>
        <v>5-speed</v>
      </c>
    </row>
    <row r="946" spans="1:17" ht="15.75" x14ac:dyDescent="0.3">
      <c r="A946" s="43">
        <v>45814</v>
      </c>
      <c r="B946" s="44" t="str">
        <f>TEXT(MotorPHSales[[#This Row],[Date]],"mmmm")</f>
        <v>June</v>
      </c>
      <c r="C946" s="44">
        <f>DAY(MotorPHSales[[#This Row],[Date]])</f>
        <v>6</v>
      </c>
      <c r="D946" s="44">
        <f>YEAR(MotorPHSales[[#This Row],[Date]])</f>
        <v>2025</v>
      </c>
      <c r="E946" s="44" t="s">
        <v>194</v>
      </c>
      <c r="F946" s="44" t="s">
        <v>70</v>
      </c>
      <c r="G946" s="45">
        <v>219000</v>
      </c>
      <c r="H946" s="44">
        <v>4</v>
      </c>
      <c r="I946" s="45">
        <v>876000</v>
      </c>
      <c r="J946" s="44" t="s">
        <v>195</v>
      </c>
      <c r="K946" s="44" t="str">
        <f>INDEX(CLEANED_MotorPH_Products_List_2!C:C,MATCH(MotorPHSales[[#This Row],[Product]],CLEANED_MotorPH_Products_List_2!$B:$B,0))</f>
        <v>Scooter</v>
      </c>
      <c r="L946" s="44" t="str">
        <f>INDEX(CLEANED_MotorPH_Products_List_2!E:E,MATCH(MotorPHSales[[#This Row],[Product]],CLEANED_MotorPH_Products_List_2!$B:$B,0))</f>
        <v>Single cylinder</v>
      </c>
      <c r="M946" s="44" t="str">
        <f>INDEX(CLEANED_MotorPH_Products_List_2!F:F,MATCH(MotorPHSales[[#This Row],[Product]],CLEANED_MotorPH_Products_List_2!$B:$B,0))</f>
        <v>liquid-cooled</v>
      </c>
      <c r="N946" s="44" t="str">
        <f>INDEX(CLEANED_MotorPH_Products_List_2!G:G,MATCH(MotorPHSales[[#This Row],[Product]],CLEANED_MotorPH_Products_List_2!$B:$B,0))</f>
        <v>174cc</v>
      </c>
      <c r="O946" s="44" t="str">
        <f>INDEX(CLEANED_MotorPH_Products_List_2!K:K,MATCH(MotorPHSales[[#This Row],[Product]],CLEANED_MotorPH_Products_List_2!B:B,0))</f>
        <v>Entry-level</v>
      </c>
      <c r="P946" s="45">
        <f>IF(MotorPHSales[[#This Row],[Segment]]="Entry-level",MotorPHSales[[#This Row],[UnitPrice]]/(1+30%),IF(MotorPHSales[[#This Row],[Segment]]="Mid-range",MotorPHSales[[#This Row],[UnitPrice]]/(1+35%),MotorPHSales[[#This Row],[UnitPrice]]/(1+40%)))*MotorPHSales[[#This Row],[Quantity]]</f>
        <v>673846.15384615387</v>
      </c>
      <c r="Q946" s="44" t="str">
        <f>INDEX(CLEANED_MotorPH_Products_List_2!H:H,MATCH(MotorPHSales[[#This Row],[Product]],CLEANED_MotorPH_Products_List_2!$B:$B,0))</f>
        <v>CVT</v>
      </c>
    </row>
    <row r="947" spans="1:17" ht="15.75" x14ac:dyDescent="0.3">
      <c r="A947" s="43">
        <v>45859</v>
      </c>
      <c r="B947" s="44" t="str">
        <f>TEXT(MotorPHSales[[#This Row],[Date]],"mmmm")</f>
        <v>July</v>
      </c>
      <c r="C947" s="44">
        <f>DAY(MotorPHSales[[#This Row],[Date]])</f>
        <v>21</v>
      </c>
      <c r="D947" s="44">
        <f>YEAR(MotorPHSales[[#This Row],[Date]])</f>
        <v>2025</v>
      </c>
      <c r="E947" s="44" t="s">
        <v>196</v>
      </c>
      <c r="F947" s="44" t="s">
        <v>16</v>
      </c>
      <c r="G947" s="45">
        <v>165000</v>
      </c>
      <c r="H947" s="44">
        <v>3</v>
      </c>
      <c r="I947" s="45">
        <v>495000</v>
      </c>
      <c r="J947" s="44" t="s">
        <v>195</v>
      </c>
      <c r="K947" s="44" t="str">
        <f>INDEX(CLEANED_MotorPH_Products_List_2!C:C,MATCH(MotorPHSales[[#This Row],[Product]],CLEANED_MotorPH_Products_List_2!$B:$B,0))</f>
        <v>Naked bike</v>
      </c>
      <c r="L947" s="44" t="str">
        <f>INDEX(CLEANED_MotorPH_Products_List_2!E:E,MATCH(MotorPHSales[[#This Row],[Product]],CLEANED_MotorPH_Products_List_2!$B:$B,0))</f>
        <v>Single cylinder</v>
      </c>
      <c r="M947" s="44" t="str">
        <f>INDEX(CLEANED_MotorPH_Products_List_2!F:F,MATCH(MotorPHSales[[#This Row],[Product]],CLEANED_MotorPH_Products_List_2!$B:$B,0))</f>
        <v>liquid-cooled</v>
      </c>
      <c r="N947" s="44" t="str">
        <f>INDEX(CLEANED_MotorPH_Products_List_2!G:G,MATCH(MotorPHSales[[#This Row],[Product]],CLEANED_MotorPH_Products_List_2!$B:$B,0))</f>
        <v>292cc</v>
      </c>
      <c r="O947" s="44" t="str">
        <f>INDEX(CLEANED_MotorPH_Products_List_2!K:K,MATCH(MotorPHSales[[#This Row],[Product]],CLEANED_MotorPH_Products_List_2!B:B,0))</f>
        <v>Mid-range</v>
      </c>
      <c r="P947" s="45">
        <f>IF(MotorPHSales[[#This Row],[Segment]]="Entry-level",MotorPHSales[[#This Row],[UnitPrice]]/(1+30%),IF(MotorPHSales[[#This Row],[Segment]]="Mid-range",MotorPHSales[[#This Row],[UnitPrice]]/(1+35%),MotorPHSales[[#This Row],[UnitPrice]]/(1+40%)))*MotorPHSales[[#This Row],[Quantity]]</f>
        <v>366666.66666666663</v>
      </c>
      <c r="Q947" s="44" t="str">
        <f>INDEX(CLEANED_MotorPH_Products_List_2!H:H,MATCH(MotorPHSales[[#This Row],[Product]],CLEANED_MotorPH_Products_List_2!$B:$B,0))</f>
        <v>6-speed</v>
      </c>
    </row>
    <row r="948" spans="1:17" ht="15.75" x14ac:dyDescent="0.3">
      <c r="A948" s="43">
        <v>45870</v>
      </c>
      <c r="B948" s="44" t="str">
        <f>TEXT(MotorPHSales[[#This Row],[Date]],"mmmm")</f>
        <v>August</v>
      </c>
      <c r="C948" s="44">
        <f>DAY(MotorPHSales[[#This Row],[Date]])</f>
        <v>1</v>
      </c>
      <c r="D948" s="44">
        <f>YEAR(MotorPHSales[[#This Row],[Date]])</f>
        <v>2025</v>
      </c>
      <c r="E948" s="44" t="s">
        <v>196</v>
      </c>
      <c r="F948" s="44" t="s">
        <v>49</v>
      </c>
      <c r="G948" s="45">
        <v>68900</v>
      </c>
      <c r="H948" s="44">
        <v>5</v>
      </c>
      <c r="I948" s="45">
        <v>344500</v>
      </c>
      <c r="J948" s="44" t="s">
        <v>197</v>
      </c>
      <c r="K948" s="44" t="str">
        <f>INDEX(CLEANED_MotorPH_Products_List_2!C:C,MATCH(MotorPHSales[[#This Row],[Product]],CLEANED_MotorPH_Products_List_2!$B:$B,0))</f>
        <v>Standard</v>
      </c>
      <c r="L948" s="44" t="str">
        <f>INDEX(CLEANED_MotorPH_Products_List_2!E:E,MATCH(MotorPHSales[[#This Row],[Product]],CLEANED_MotorPH_Products_List_2!$B:$B,0))</f>
        <v>Single cylinder</v>
      </c>
      <c r="M948" s="44" t="str">
        <f>INDEX(CLEANED_MotorPH_Products_List_2!F:F,MATCH(MotorPHSales[[#This Row],[Product]],CLEANED_MotorPH_Products_List_2!$B:$B,0))</f>
        <v>air-cooled</v>
      </c>
      <c r="N948" s="44" t="str">
        <f>INDEX(CLEANED_MotorPH_Products_List_2!G:G,MATCH(MotorPHSales[[#This Row],[Product]],CLEANED_MotorPH_Products_List_2!$B:$B,0))</f>
        <v>149cc</v>
      </c>
      <c r="O948" s="44" t="str">
        <f>INDEX(CLEANED_MotorPH_Products_List_2!K:K,MATCH(MotorPHSales[[#This Row],[Product]],CLEANED_MotorPH_Products_List_2!B:B,0))</f>
        <v>Entry-level</v>
      </c>
      <c r="P948" s="45">
        <f>IF(MotorPHSales[[#This Row],[Segment]]="Entry-level",MotorPHSales[[#This Row],[UnitPrice]]/(1+30%),IF(MotorPHSales[[#This Row],[Segment]]="Mid-range",MotorPHSales[[#This Row],[UnitPrice]]/(1+35%),MotorPHSales[[#This Row],[UnitPrice]]/(1+40%)))*MotorPHSales[[#This Row],[Quantity]]</f>
        <v>265000</v>
      </c>
      <c r="Q948" s="44" t="str">
        <f>INDEX(CLEANED_MotorPH_Products_List_2!H:H,MATCH(MotorPHSales[[#This Row],[Product]],CLEANED_MotorPH_Products_List_2!$B:$B,0))</f>
        <v>5-speed</v>
      </c>
    </row>
    <row r="949" spans="1:17" ht="15.75" x14ac:dyDescent="0.3">
      <c r="A949" s="43">
        <v>45865</v>
      </c>
      <c r="B949" s="44" t="str">
        <f>TEXT(MotorPHSales[[#This Row],[Date]],"mmmm")</f>
        <v>July</v>
      </c>
      <c r="C949" s="44">
        <f>DAY(MotorPHSales[[#This Row],[Date]])</f>
        <v>27</v>
      </c>
      <c r="D949" s="44">
        <f>YEAR(MotorPHSales[[#This Row],[Date]])</f>
        <v>2025</v>
      </c>
      <c r="E949" s="44" t="s">
        <v>194</v>
      </c>
      <c r="F949" s="44" t="s">
        <v>76</v>
      </c>
      <c r="G949" s="45">
        <v>369000</v>
      </c>
      <c r="H949" s="44">
        <v>32</v>
      </c>
      <c r="I949" s="45">
        <v>11808000</v>
      </c>
      <c r="J949" s="44" t="s">
        <v>198</v>
      </c>
      <c r="K949" s="44" t="str">
        <f>INDEX(CLEANED_MotorPH_Products_List_2!C:C,MATCH(MotorPHSales[[#This Row],[Product]],CLEANED_MotorPH_Products_List_2!$B:$B,0))</f>
        <v>Adventure</v>
      </c>
      <c r="L949" s="44" t="str">
        <f>INDEX(CLEANED_MotorPH_Products_List_2!E:E,MATCH(MotorPHSales[[#This Row],[Product]],CLEANED_MotorPH_Products_List_2!$B:$B,0))</f>
        <v>Parallel-twin</v>
      </c>
      <c r="M949" s="44" t="str">
        <f>INDEX(CLEANED_MotorPH_Products_List_2!F:F,MATCH(MotorPHSales[[#This Row],[Product]],CLEANED_MotorPH_Products_List_2!$B:$B,0))</f>
        <v>liquid-cooled</v>
      </c>
      <c r="N949" s="44" t="str">
        <f>INDEX(CLEANED_MotorPH_Products_List_2!G:G,MATCH(MotorPHSales[[#This Row],[Product]],CLEANED_MotorPH_Products_List_2!$B:$B,0))</f>
        <v>649cc</v>
      </c>
      <c r="O949" s="44" t="str">
        <f>INDEX(CLEANED_MotorPH_Products_List_2!K:K,MATCH(MotorPHSales[[#This Row],[Product]],CLEANED_MotorPH_Products_List_2!B:B,0))</f>
        <v>Premium</v>
      </c>
      <c r="P949" s="45">
        <f>IF(MotorPHSales[[#This Row],[Segment]]="Entry-level",MotorPHSales[[#This Row],[UnitPrice]]/(1+30%),IF(MotorPHSales[[#This Row],[Segment]]="Mid-range",MotorPHSales[[#This Row],[UnitPrice]]/(1+35%),MotorPHSales[[#This Row],[UnitPrice]]/(1+40%)))*MotorPHSales[[#This Row],[Quantity]]</f>
        <v>8434285.7142857146</v>
      </c>
      <c r="Q949" s="44" t="str">
        <f>INDEX(CLEANED_MotorPH_Products_List_2!H:H,MATCH(MotorPHSales[[#This Row],[Product]],CLEANED_MotorPH_Products_List_2!$B:$B,0))</f>
        <v>6-speed</v>
      </c>
    </row>
    <row r="950" spans="1:17" ht="15.75" x14ac:dyDescent="0.3">
      <c r="A950" s="43">
        <v>45874</v>
      </c>
      <c r="B950" s="44" t="str">
        <f>TEXT(MotorPHSales[[#This Row],[Date]],"mmmm")</f>
        <v>August</v>
      </c>
      <c r="C950" s="44">
        <f>DAY(MotorPHSales[[#This Row],[Date]])</f>
        <v>5</v>
      </c>
      <c r="D950" s="44">
        <f>YEAR(MotorPHSales[[#This Row],[Date]])</f>
        <v>2025</v>
      </c>
      <c r="E950" s="44" t="s">
        <v>194</v>
      </c>
      <c r="F950" s="44" t="s">
        <v>74</v>
      </c>
      <c r="G950" s="45">
        <v>349000</v>
      </c>
      <c r="H950" s="44">
        <v>3</v>
      </c>
      <c r="I950" s="45">
        <v>1047000</v>
      </c>
      <c r="J950" s="44" t="s">
        <v>198</v>
      </c>
      <c r="K950" s="44" t="str">
        <f>INDEX(CLEANED_MotorPH_Products_List_2!C:C,MATCH(MotorPHSales[[#This Row],[Product]],CLEANED_MotorPH_Products_List_2!$B:$B,0))</f>
        <v>Cruiser</v>
      </c>
      <c r="L950" s="44" t="str">
        <f>INDEX(CLEANED_MotorPH_Products_List_2!E:E,MATCH(MotorPHSales[[#This Row],[Product]],CLEANED_MotorPH_Products_List_2!$B:$B,0))</f>
        <v>Parallel-twin</v>
      </c>
      <c r="M950" s="44" t="str">
        <f>INDEX(CLEANED_MotorPH_Products_List_2!F:F,MATCH(MotorPHSales[[#This Row],[Product]],CLEANED_MotorPH_Products_List_2!$B:$B,0))</f>
        <v>liquid-cooled</v>
      </c>
      <c r="N950" s="44" t="str">
        <f>INDEX(CLEANED_MotorPH_Products_List_2!G:G,MATCH(MotorPHSales[[#This Row],[Product]],CLEANED_MotorPH_Products_List_2!$B:$B,0))</f>
        <v>500cc</v>
      </c>
      <c r="O950" s="44" t="str">
        <f>INDEX(CLEANED_MotorPH_Products_List_2!K:K,MATCH(MotorPHSales[[#This Row],[Product]],CLEANED_MotorPH_Products_List_2!B:B,0))</f>
        <v>Mid-range</v>
      </c>
      <c r="P950" s="45">
        <f>IF(MotorPHSales[[#This Row],[Segment]]="Entry-level",MotorPHSales[[#This Row],[UnitPrice]]/(1+30%),IF(MotorPHSales[[#This Row],[Segment]]="Mid-range",MotorPHSales[[#This Row],[UnitPrice]]/(1+35%),MotorPHSales[[#This Row],[UnitPrice]]/(1+40%)))*MotorPHSales[[#This Row],[Quantity]]</f>
        <v>775555.5555555555</v>
      </c>
      <c r="Q950" s="44" t="str">
        <f>INDEX(CLEANED_MotorPH_Products_List_2!H:H,MATCH(MotorPHSales[[#This Row],[Product]],CLEANED_MotorPH_Products_List_2!$B:$B,0))</f>
        <v>6-speed</v>
      </c>
    </row>
    <row r="951" spans="1:17" ht="15.75" x14ac:dyDescent="0.3">
      <c r="A951" s="43">
        <v>45887</v>
      </c>
      <c r="B951" s="44" t="str">
        <f>TEXT(MotorPHSales[[#This Row],[Date]],"mmmm")</f>
        <v>August</v>
      </c>
      <c r="C951" s="44">
        <f>DAY(MotorPHSales[[#This Row],[Date]])</f>
        <v>18</v>
      </c>
      <c r="D951" s="44">
        <f>YEAR(MotorPHSales[[#This Row],[Date]])</f>
        <v>2025</v>
      </c>
      <c r="E951" s="44" t="s">
        <v>194</v>
      </c>
      <c r="F951" s="44" t="s">
        <v>92</v>
      </c>
      <c r="G951" s="45">
        <v>289000</v>
      </c>
      <c r="H951" s="44">
        <v>42</v>
      </c>
      <c r="I951" s="45">
        <v>12138000</v>
      </c>
      <c r="J951" s="44" t="s">
        <v>197</v>
      </c>
      <c r="K951" s="44" t="str">
        <f>INDEX(CLEANED_MotorPH_Products_List_2!C:C,MATCH(MotorPHSales[[#This Row],[Product]],CLEANED_MotorPH_Products_List_2!$B:$B,0))</f>
        <v>Scooter</v>
      </c>
      <c r="L951" s="44" t="str">
        <f>INDEX(CLEANED_MotorPH_Products_List_2!E:E,MATCH(MotorPHSales[[#This Row],[Product]],CLEANED_MotorPH_Products_List_2!$B:$B,0))</f>
        <v>Single cylinder</v>
      </c>
      <c r="M951" s="44" t="str">
        <f>INDEX(CLEANED_MotorPH_Products_List_2!F:F,MATCH(MotorPHSales[[#This Row],[Product]],CLEANED_MotorPH_Products_List_2!$B:$B,0))</f>
        <v>liquid-cooled</v>
      </c>
      <c r="N951" s="44" t="str">
        <f>INDEX(CLEANED_MotorPH_Products_List_2!G:G,MATCH(MotorPHSales[[#This Row],[Product]],CLEANED_MotorPH_Products_List_2!$B:$B,0))</f>
        <v>181cc</v>
      </c>
      <c r="O951" s="44" t="str">
        <f>INDEX(CLEANED_MotorPH_Products_List_2!K:K,MATCH(MotorPHSales[[#This Row],[Product]],CLEANED_MotorPH_Products_List_2!B:B,0))</f>
        <v>Entry-level</v>
      </c>
      <c r="P951" s="45">
        <f>IF(MotorPHSales[[#This Row],[Segment]]="Entry-level",MotorPHSales[[#This Row],[UnitPrice]]/(1+30%),IF(MotorPHSales[[#This Row],[Segment]]="Mid-range",MotorPHSales[[#This Row],[UnitPrice]]/(1+35%),MotorPHSales[[#This Row],[UnitPrice]]/(1+40%)))*MotorPHSales[[#This Row],[Quantity]]</f>
        <v>9336923.0769230779</v>
      </c>
      <c r="Q951" s="44" t="str">
        <f>INDEX(CLEANED_MotorPH_Products_List_2!H:H,MATCH(MotorPHSales[[#This Row],[Product]],CLEANED_MotorPH_Products_List_2!$B:$B,0))</f>
        <v>CVT</v>
      </c>
    </row>
    <row r="952" spans="1:17" ht="15.75" x14ac:dyDescent="0.3">
      <c r="A952" s="43">
        <v>45883</v>
      </c>
      <c r="B952" s="44" t="str">
        <f>TEXT(MotorPHSales[[#This Row],[Date]],"mmmm")</f>
        <v>August</v>
      </c>
      <c r="C952" s="44">
        <f>DAY(MotorPHSales[[#This Row],[Date]])</f>
        <v>14</v>
      </c>
      <c r="D952" s="44">
        <f>YEAR(MotorPHSales[[#This Row],[Date]])</f>
        <v>2025</v>
      </c>
      <c r="E952" s="44" t="s">
        <v>194</v>
      </c>
      <c r="F952" s="44" t="s">
        <v>94</v>
      </c>
      <c r="G952" s="45">
        <v>299000</v>
      </c>
      <c r="H952" s="44">
        <v>20</v>
      </c>
      <c r="I952" s="45">
        <v>5980000</v>
      </c>
      <c r="J952" s="44" t="s">
        <v>198</v>
      </c>
      <c r="K952" s="44" t="str">
        <f>INDEX(CLEANED_MotorPH_Products_List_2!C:C,MATCH(MotorPHSales[[#This Row],[Product]],CLEANED_MotorPH_Products_List_2!$B:$B,0))</f>
        <v>Dual-sport</v>
      </c>
      <c r="L952" s="44" t="str">
        <f>INDEX(CLEANED_MotorPH_Products_List_2!E:E,MATCH(MotorPHSales[[#This Row],[Product]],CLEANED_MotorPH_Products_List_2!$B:$B,0))</f>
        <v>Single cylinder</v>
      </c>
      <c r="M952" s="44" t="str">
        <f>INDEX(CLEANED_MotorPH_Products_List_2!F:F,MATCH(MotorPHSales[[#This Row],[Product]],CLEANED_MotorPH_Products_List_2!$B:$B,0))</f>
        <v>air-cooled</v>
      </c>
      <c r="N952" s="44" t="str">
        <f>INDEX(CLEANED_MotorPH_Products_List_2!G:G,MATCH(MotorPHSales[[#This Row],[Product]],CLEANED_MotorPH_Products_List_2!$B:$B,0))</f>
        <v>249cc</v>
      </c>
      <c r="O952" s="44" t="str">
        <f>INDEX(CLEANED_MotorPH_Products_List_2!K:K,MATCH(MotorPHSales[[#This Row],[Product]],CLEANED_MotorPH_Products_List_2!B:B,0))</f>
        <v>Mid-range</v>
      </c>
      <c r="P952" s="45">
        <f>IF(MotorPHSales[[#This Row],[Segment]]="Entry-level",MotorPHSales[[#This Row],[UnitPrice]]/(1+30%),IF(MotorPHSales[[#This Row],[Segment]]="Mid-range",MotorPHSales[[#This Row],[UnitPrice]]/(1+35%),MotorPHSales[[#This Row],[UnitPrice]]/(1+40%)))*MotorPHSales[[#This Row],[Quantity]]</f>
        <v>4429629.6296296287</v>
      </c>
      <c r="Q952" s="44" t="str">
        <f>INDEX(CLEANED_MotorPH_Products_List_2!H:H,MATCH(MotorPHSales[[#This Row],[Product]],CLEANED_MotorPH_Products_List_2!$B:$B,0))</f>
        <v>5-speed</v>
      </c>
    </row>
    <row r="953" spans="1:17" ht="15.75" x14ac:dyDescent="0.3">
      <c r="A953" s="43">
        <v>45816</v>
      </c>
      <c r="B953" s="44" t="str">
        <f>TEXT(MotorPHSales[[#This Row],[Date]],"mmmm")</f>
        <v>June</v>
      </c>
      <c r="C953" s="44">
        <f>DAY(MotorPHSales[[#This Row],[Date]])</f>
        <v>8</v>
      </c>
      <c r="D953" s="44">
        <f>YEAR(MotorPHSales[[#This Row],[Date]])</f>
        <v>2025</v>
      </c>
      <c r="E953" s="44" t="s">
        <v>196</v>
      </c>
      <c r="F953" s="44" t="s">
        <v>38</v>
      </c>
      <c r="G953" s="45">
        <v>295000</v>
      </c>
      <c r="H953" s="44">
        <v>15</v>
      </c>
      <c r="I953" s="45">
        <v>4425000</v>
      </c>
      <c r="J953" s="44" t="s">
        <v>197</v>
      </c>
      <c r="K953" s="44" t="str">
        <f>INDEX(CLEANED_MotorPH_Products_List_2!C:C,MATCH(MotorPHSales[[#This Row],[Product]],CLEANED_MotorPH_Products_List_2!$B:$B,0))</f>
        <v>Scrambler</v>
      </c>
      <c r="L953" s="44" t="str">
        <f>INDEX(CLEANED_MotorPH_Products_List_2!E:E,MATCH(MotorPHSales[[#This Row],[Product]],CLEANED_MotorPH_Products_List_2!$B:$B,0))</f>
        <v>Single cylinder</v>
      </c>
      <c r="M953" s="44" t="str">
        <f>INDEX(CLEANED_MotorPH_Products_List_2!F:F,MATCH(MotorPHSales[[#This Row],[Product]],CLEANED_MotorPH_Products_List_2!$B:$B,0))</f>
        <v>liquid-cooled</v>
      </c>
      <c r="N953" s="44" t="str">
        <f>INDEX(CLEANED_MotorPH_Products_List_2!G:G,MATCH(MotorPHSales[[#This Row],[Product]],CLEANED_MotorPH_Products_List_2!$B:$B,0))</f>
        <v>373cc</v>
      </c>
      <c r="O953" s="44" t="str">
        <f>INDEX(CLEANED_MotorPH_Products_List_2!K:K,MATCH(MotorPHSales[[#This Row],[Product]],CLEANED_MotorPH_Products_List_2!B:B,0))</f>
        <v>Mid-range</v>
      </c>
      <c r="P953" s="45">
        <f>IF(MotorPHSales[[#This Row],[Segment]]="Entry-level",MotorPHSales[[#This Row],[UnitPrice]]/(1+30%),IF(MotorPHSales[[#This Row],[Segment]]="Mid-range",MotorPHSales[[#This Row],[UnitPrice]]/(1+35%),MotorPHSales[[#This Row],[UnitPrice]]/(1+40%)))*MotorPHSales[[#This Row],[Quantity]]</f>
        <v>3277777.7777777775</v>
      </c>
      <c r="Q953" s="44" t="str">
        <f>INDEX(CLEANED_MotorPH_Products_List_2!H:H,MATCH(MotorPHSales[[#This Row],[Product]],CLEANED_MotorPH_Products_List_2!$B:$B,0))</f>
        <v>6-speed</v>
      </c>
    </row>
    <row r="954" spans="1:17" ht="15.75" x14ac:dyDescent="0.3">
      <c r="A954" s="43">
        <v>45834</v>
      </c>
      <c r="B954" s="44" t="str">
        <f>TEXT(MotorPHSales[[#This Row],[Date]],"mmmm")</f>
        <v>June</v>
      </c>
      <c r="C954" s="44">
        <f>DAY(MotorPHSales[[#This Row],[Date]])</f>
        <v>26</v>
      </c>
      <c r="D954" s="44">
        <f>YEAR(MotorPHSales[[#This Row],[Date]])</f>
        <v>2025</v>
      </c>
      <c r="E954" s="44" t="s">
        <v>196</v>
      </c>
      <c r="F954" s="44" t="s">
        <v>18</v>
      </c>
      <c r="G954" s="45">
        <v>328000</v>
      </c>
      <c r="H954" s="44">
        <v>20</v>
      </c>
      <c r="I954" s="45">
        <v>6560000</v>
      </c>
      <c r="J954" s="44" t="s">
        <v>198</v>
      </c>
      <c r="K954" s="44" t="str">
        <f>INDEX(CLEANED_MotorPH_Products_List_2!C:C,MATCH(MotorPHSales[[#This Row],[Product]],CLEANED_MotorPH_Products_List_2!$B:$B,0))</f>
        <v>Cafe racer</v>
      </c>
      <c r="L954" s="44" t="str">
        <f>INDEX(CLEANED_MotorPH_Products_List_2!E:E,MATCH(MotorPHSales[[#This Row],[Product]],CLEANED_MotorPH_Products_List_2!$B:$B,0))</f>
        <v>Twin cylinder</v>
      </c>
      <c r="M954" s="44" t="str">
        <f>INDEX(CLEANED_MotorPH_Products_List_2!F:F,MATCH(MotorPHSales[[#This Row],[Product]],CLEANED_MotorPH_Products_List_2!$B:$B,0))</f>
        <v>air-cooled</v>
      </c>
      <c r="N954" s="44" t="str">
        <f>INDEX(CLEANED_MotorPH_Products_List_2!G:G,MATCH(MotorPHSales[[#This Row],[Product]],CLEANED_MotorPH_Products_List_2!$B:$B,0))</f>
        <v>471cc</v>
      </c>
      <c r="O954" s="44" t="str">
        <f>INDEX(CLEANED_MotorPH_Products_List_2!K:K,MATCH(MotorPHSales[[#This Row],[Product]],CLEANED_MotorPH_Products_List_2!B:B,0))</f>
        <v>Mid-range</v>
      </c>
      <c r="P954" s="45">
        <f>IF(MotorPHSales[[#This Row],[Segment]]="Entry-level",MotorPHSales[[#This Row],[UnitPrice]]/(1+30%),IF(MotorPHSales[[#This Row],[Segment]]="Mid-range",MotorPHSales[[#This Row],[UnitPrice]]/(1+35%),MotorPHSales[[#This Row],[UnitPrice]]/(1+40%)))*MotorPHSales[[#This Row],[Quantity]]</f>
        <v>4859259.2592592593</v>
      </c>
      <c r="Q954" s="44" t="str">
        <f>INDEX(CLEANED_MotorPH_Products_List_2!H:H,MATCH(MotorPHSales[[#This Row],[Product]],CLEANED_MotorPH_Products_List_2!$B:$B,0))</f>
        <v>6-speed</v>
      </c>
    </row>
    <row r="955" spans="1:17" ht="15.75" x14ac:dyDescent="0.3">
      <c r="A955" s="43">
        <v>45859</v>
      </c>
      <c r="B955" s="44" t="str">
        <f>TEXT(MotorPHSales[[#This Row],[Date]],"mmmm")</f>
        <v>July</v>
      </c>
      <c r="C955" s="44">
        <f>DAY(MotorPHSales[[#This Row],[Date]])</f>
        <v>21</v>
      </c>
      <c r="D955" s="44">
        <f>YEAR(MotorPHSales[[#This Row],[Date]])</f>
        <v>2025</v>
      </c>
      <c r="E955" s="44" t="s">
        <v>196</v>
      </c>
      <c r="F955" s="44" t="s">
        <v>70</v>
      </c>
      <c r="G955" s="45">
        <v>219000</v>
      </c>
      <c r="H955" s="44">
        <v>3</v>
      </c>
      <c r="I955" s="45">
        <v>657000</v>
      </c>
      <c r="J955" s="44" t="s">
        <v>197</v>
      </c>
      <c r="K955" s="44" t="str">
        <f>INDEX(CLEANED_MotorPH_Products_List_2!C:C,MATCH(MotorPHSales[[#This Row],[Product]],CLEANED_MotorPH_Products_List_2!$B:$B,0))</f>
        <v>Scooter</v>
      </c>
      <c r="L955" s="44" t="str">
        <f>INDEX(CLEANED_MotorPH_Products_List_2!E:E,MATCH(MotorPHSales[[#This Row],[Product]],CLEANED_MotorPH_Products_List_2!$B:$B,0))</f>
        <v>Single cylinder</v>
      </c>
      <c r="M955" s="44" t="str">
        <f>INDEX(CLEANED_MotorPH_Products_List_2!F:F,MATCH(MotorPHSales[[#This Row],[Product]],CLEANED_MotorPH_Products_List_2!$B:$B,0))</f>
        <v>liquid-cooled</v>
      </c>
      <c r="N955" s="44" t="str">
        <f>INDEX(CLEANED_MotorPH_Products_List_2!G:G,MATCH(MotorPHSales[[#This Row],[Product]],CLEANED_MotorPH_Products_List_2!$B:$B,0))</f>
        <v>174cc</v>
      </c>
      <c r="O955" s="44" t="str">
        <f>INDEX(CLEANED_MotorPH_Products_List_2!K:K,MATCH(MotorPHSales[[#This Row],[Product]],CLEANED_MotorPH_Products_List_2!B:B,0))</f>
        <v>Entry-level</v>
      </c>
      <c r="P955" s="45">
        <f>IF(MotorPHSales[[#This Row],[Segment]]="Entry-level",MotorPHSales[[#This Row],[UnitPrice]]/(1+30%),IF(MotorPHSales[[#This Row],[Segment]]="Mid-range",MotorPHSales[[#This Row],[UnitPrice]]/(1+35%),MotorPHSales[[#This Row],[UnitPrice]]/(1+40%)))*MotorPHSales[[#This Row],[Quantity]]</f>
        <v>505384.61538461538</v>
      </c>
      <c r="Q955" s="44" t="str">
        <f>INDEX(CLEANED_MotorPH_Products_List_2!H:H,MATCH(MotorPHSales[[#This Row],[Product]],CLEANED_MotorPH_Products_List_2!$B:$B,0))</f>
        <v>CVT</v>
      </c>
    </row>
    <row r="956" spans="1:17" ht="15.75" x14ac:dyDescent="0.3">
      <c r="A956" s="43">
        <v>45853</v>
      </c>
      <c r="B956" s="44" t="str">
        <f>TEXT(MotorPHSales[[#This Row],[Date]],"mmmm")</f>
        <v>July</v>
      </c>
      <c r="C956" s="44">
        <f>DAY(MotorPHSales[[#This Row],[Date]])</f>
        <v>15</v>
      </c>
      <c r="D956" s="44">
        <f>YEAR(MotorPHSales[[#This Row],[Date]])</f>
        <v>2025</v>
      </c>
      <c r="E956" s="44" t="s">
        <v>196</v>
      </c>
      <c r="F956" s="44" t="s">
        <v>36</v>
      </c>
      <c r="G956" s="45">
        <v>129000</v>
      </c>
      <c r="H956" s="44">
        <v>12</v>
      </c>
      <c r="I956" s="45">
        <v>1548000</v>
      </c>
      <c r="J956" s="44" t="s">
        <v>195</v>
      </c>
      <c r="K956" s="44" t="str">
        <f>INDEX(CLEANED_MotorPH_Products_List_2!C:C,MATCH(MotorPHSales[[#This Row],[Product]],CLEANED_MotorPH_Products_List_2!$B:$B,0))</f>
        <v>Naked bike</v>
      </c>
      <c r="L956" s="44" t="str">
        <f>INDEX(CLEANED_MotorPH_Products_List_2!E:E,MATCH(MotorPHSales[[#This Row],[Product]],CLEANED_MotorPH_Products_List_2!$B:$B,0))</f>
        <v>Single cylinder</v>
      </c>
      <c r="M956" s="44" t="str">
        <f>INDEX(CLEANED_MotorPH_Products_List_2!F:F,MATCH(MotorPHSales[[#This Row],[Product]],CLEANED_MotorPH_Products_List_2!$B:$B,0))</f>
        <v>oil-cooled</v>
      </c>
      <c r="N956" s="44" t="str">
        <f>INDEX(CLEANED_MotorPH_Products_List_2!G:G,MATCH(MotorPHSales[[#This Row],[Product]],CLEANED_MotorPH_Products_List_2!$B:$B,0))</f>
        <v>197cc</v>
      </c>
      <c r="O956" s="44" t="str">
        <f>INDEX(CLEANED_MotorPH_Products_List_2!K:K,MATCH(MotorPHSales[[#This Row],[Product]],CLEANED_MotorPH_Products_List_2!B:B,0))</f>
        <v>Entry-level</v>
      </c>
      <c r="P956" s="45">
        <f>IF(MotorPHSales[[#This Row],[Segment]]="Entry-level",MotorPHSales[[#This Row],[UnitPrice]]/(1+30%),IF(MotorPHSales[[#This Row],[Segment]]="Mid-range",MotorPHSales[[#This Row],[UnitPrice]]/(1+35%),MotorPHSales[[#This Row],[UnitPrice]]/(1+40%)))*MotorPHSales[[#This Row],[Quantity]]</f>
        <v>1190769.2307692308</v>
      </c>
      <c r="Q956" s="44" t="str">
        <f>INDEX(CLEANED_MotorPH_Products_List_2!H:H,MATCH(MotorPHSales[[#This Row],[Product]],CLEANED_MotorPH_Products_List_2!$B:$B,0))</f>
        <v>5-speed</v>
      </c>
    </row>
    <row r="957" spans="1:17" ht="15.75" x14ac:dyDescent="0.3">
      <c r="A957" s="43">
        <v>45852</v>
      </c>
      <c r="B957" s="44" t="str">
        <f>TEXT(MotorPHSales[[#This Row],[Date]],"mmmm")</f>
        <v>July</v>
      </c>
      <c r="C957" s="44">
        <f>DAY(MotorPHSales[[#This Row],[Date]])</f>
        <v>14</v>
      </c>
      <c r="D957" s="44">
        <f>YEAR(MotorPHSales[[#This Row],[Date]])</f>
        <v>2025</v>
      </c>
      <c r="E957" s="44" t="s">
        <v>194</v>
      </c>
      <c r="F957" s="44" t="s">
        <v>12</v>
      </c>
      <c r="G957" s="45">
        <v>119900</v>
      </c>
      <c r="H957" s="44">
        <v>18</v>
      </c>
      <c r="I957" s="45">
        <v>2158200</v>
      </c>
      <c r="J957" s="44" t="s">
        <v>195</v>
      </c>
      <c r="K957" s="44" t="str">
        <f>INDEX(CLEANED_MotorPH_Products_List_2!C:C,MATCH(MotorPHSales[[#This Row],[Product]],CLEANED_MotorPH_Products_List_2!$B:$B,0))</f>
        <v>Underbone</v>
      </c>
      <c r="L957" s="44" t="str">
        <f>INDEX(CLEANED_MotorPH_Products_List_2!E:E,MATCH(MotorPHSales[[#This Row],[Product]],CLEANED_MotorPH_Products_List_2!$B:$B,0))</f>
        <v>Single cylinder</v>
      </c>
      <c r="M957" s="44" t="str">
        <f>INDEX(CLEANED_MotorPH_Products_List_2!F:F,MATCH(MotorPHSales[[#This Row],[Product]],CLEANED_MotorPH_Products_List_2!$B:$B,0))</f>
        <v>liquid-cooled</v>
      </c>
      <c r="N957" s="44" t="str">
        <f>INDEX(CLEANED_MotorPH_Products_List_2!G:G,MATCH(MotorPHSales[[#This Row],[Product]],CLEANED_MotorPH_Products_List_2!$B:$B,0))</f>
        <v>150cc</v>
      </c>
      <c r="O957" s="44" t="str">
        <f>INDEX(CLEANED_MotorPH_Products_List_2!K:K,MATCH(MotorPHSales[[#This Row],[Product]],CLEANED_MotorPH_Products_List_2!B:B,0))</f>
        <v>Entry-level</v>
      </c>
      <c r="P957" s="45">
        <f>IF(MotorPHSales[[#This Row],[Segment]]="Entry-level",MotorPHSales[[#This Row],[UnitPrice]]/(1+30%),IF(MotorPHSales[[#This Row],[Segment]]="Mid-range",MotorPHSales[[#This Row],[UnitPrice]]/(1+35%),MotorPHSales[[#This Row],[UnitPrice]]/(1+40%)))*MotorPHSales[[#This Row],[Quantity]]</f>
        <v>1660153.8461538462</v>
      </c>
      <c r="Q957" s="44" t="str">
        <f>INDEX(CLEANED_MotorPH_Products_List_2!H:H,MATCH(MotorPHSales[[#This Row],[Product]],CLEANED_MotorPH_Products_List_2!$B:$B,0))</f>
        <v>6-speed</v>
      </c>
    </row>
    <row r="958" spans="1:17" ht="15.75" x14ac:dyDescent="0.3">
      <c r="A958" s="43">
        <v>45813</v>
      </c>
      <c r="B958" s="44" t="str">
        <f>TEXT(MotorPHSales[[#This Row],[Date]],"mmmm")</f>
        <v>June</v>
      </c>
      <c r="C958" s="44">
        <f>DAY(MotorPHSales[[#This Row],[Date]])</f>
        <v>5</v>
      </c>
      <c r="D958" s="44">
        <f>YEAR(MotorPHSales[[#This Row],[Date]])</f>
        <v>2025</v>
      </c>
      <c r="E958" s="44" t="s">
        <v>194</v>
      </c>
      <c r="F958" s="44" t="s">
        <v>44</v>
      </c>
      <c r="G958" s="45">
        <v>331000</v>
      </c>
      <c r="H958" s="44">
        <v>35</v>
      </c>
      <c r="I958" s="45">
        <v>11585000</v>
      </c>
      <c r="J958" s="44" t="s">
        <v>195</v>
      </c>
      <c r="K958" s="44" t="str">
        <f>INDEX(CLEANED_MotorPH_Products_List_2!C:C,MATCH(MotorPHSales[[#This Row],[Product]],CLEANED_MotorPH_Products_List_2!$B:$B,0))</f>
        <v>Naked bike</v>
      </c>
      <c r="L958" s="44" t="str">
        <f>INDEX(CLEANED_MotorPH_Products_List_2!E:E,MATCH(MotorPHSales[[#This Row],[Product]],CLEANED_MotorPH_Products_List_2!$B:$B,0))</f>
        <v>Parallel-twin</v>
      </c>
      <c r="M958" s="44" t="str">
        <f>INDEX(CLEANED_MotorPH_Products_List_2!F:F,MATCH(MotorPHSales[[#This Row],[Product]],CLEANED_MotorPH_Products_List_2!$B:$B,0))</f>
        <v>liquid-cooled</v>
      </c>
      <c r="N958" s="44" t="str">
        <f>INDEX(CLEANED_MotorPH_Products_List_2!G:G,MATCH(MotorPHSales[[#This Row],[Product]],CLEANED_MotorPH_Products_List_2!$B:$B,0))</f>
        <v>399cc</v>
      </c>
      <c r="O958" s="44" t="str">
        <f>INDEX(CLEANED_MotorPH_Products_List_2!K:K,MATCH(MotorPHSales[[#This Row],[Product]],CLEANED_MotorPH_Products_List_2!B:B,0))</f>
        <v>Mid-range</v>
      </c>
      <c r="P958" s="45">
        <f>IF(MotorPHSales[[#This Row],[Segment]]="Entry-level",MotorPHSales[[#This Row],[UnitPrice]]/(1+30%),IF(MotorPHSales[[#This Row],[Segment]]="Mid-range",MotorPHSales[[#This Row],[UnitPrice]]/(1+35%),MotorPHSales[[#This Row],[UnitPrice]]/(1+40%)))*MotorPHSales[[#This Row],[Quantity]]</f>
        <v>8581481.4814814813</v>
      </c>
      <c r="Q958" s="44" t="str">
        <f>INDEX(CLEANED_MotorPH_Products_List_2!H:H,MATCH(MotorPHSales[[#This Row],[Product]],CLEANED_MotorPH_Products_List_2!$B:$B,0))</f>
        <v>6-speed</v>
      </c>
    </row>
    <row r="959" spans="1:17" ht="15.75" x14ac:dyDescent="0.3">
      <c r="A959" s="43">
        <v>45878</v>
      </c>
      <c r="B959" s="44" t="str">
        <f>TEXT(MotorPHSales[[#This Row],[Date]],"mmmm")</f>
        <v>August</v>
      </c>
      <c r="C959" s="44">
        <f>DAY(MotorPHSales[[#This Row],[Date]])</f>
        <v>9</v>
      </c>
      <c r="D959" s="44">
        <f>YEAR(MotorPHSales[[#This Row],[Date]])</f>
        <v>2025</v>
      </c>
      <c r="E959" s="44" t="s">
        <v>196</v>
      </c>
      <c r="F959" s="44" t="s">
        <v>99</v>
      </c>
      <c r="G959" s="45">
        <v>689000</v>
      </c>
      <c r="H959" s="44">
        <v>10</v>
      </c>
      <c r="I959" s="45">
        <v>6890000</v>
      </c>
      <c r="J959" s="44" t="s">
        <v>198</v>
      </c>
      <c r="K959" s="44" t="str">
        <f>INDEX(CLEANED_MotorPH_Products_List_2!C:C,MATCH(MotorPHSales[[#This Row],[Product]],CLEANED_MotorPH_Products_List_2!$B:$B,0))</f>
        <v>Heritage</v>
      </c>
      <c r="L959" s="44" t="str">
        <f>INDEX(CLEANED_MotorPH_Products_List_2!E:E,MATCH(MotorPHSales[[#This Row],[Product]],CLEANED_MotorPH_Products_List_2!$B:$B,0))</f>
        <v>V-twin</v>
      </c>
      <c r="M959" s="44" t="str">
        <f>INDEX(CLEANED_MotorPH_Products_List_2!F:F,MATCH(MotorPHSales[[#This Row],[Product]],CLEANED_MotorPH_Products_List_2!$B:$B,0))</f>
        <v>air-cooled</v>
      </c>
      <c r="N959" s="44" t="str">
        <f>INDEX(CLEANED_MotorPH_Products_List_2!G:G,MATCH(MotorPHSales[[#This Row],[Product]],CLEANED_MotorPH_Products_List_2!$B:$B,0))</f>
        <v>853cc</v>
      </c>
      <c r="O959" s="44" t="str">
        <f>INDEX(CLEANED_MotorPH_Products_List_2!K:K,MATCH(MotorPHSales[[#This Row],[Product]],CLEANED_MotorPH_Products_List_2!B:B,0))</f>
        <v>Premium</v>
      </c>
      <c r="P959" s="45">
        <f>IF(MotorPHSales[[#This Row],[Segment]]="Entry-level",MotorPHSales[[#This Row],[UnitPrice]]/(1+30%),IF(MotorPHSales[[#This Row],[Segment]]="Mid-range",MotorPHSales[[#This Row],[UnitPrice]]/(1+35%),MotorPHSales[[#This Row],[UnitPrice]]/(1+40%)))*MotorPHSales[[#This Row],[Quantity]]</f>
        <v>4921428.5714285718</v>
      </c>
      <c r="Q959" s="44" t="str">
        <f>INDEX(CLEANED_MotorPH_Products_List_2!H:H,MATCH(MotorPHSales[[#This Row],[Product]],CLEANED_MotorPH_Products_List_2!$B:$B,0))</f>
        <v>6-speed</v>
      </c>
    </row>
    <row r="960" spans="1:17" ht="15.75" x14ac:dyDescent="0.3">
      <c r="A960" s="43">
        <v>45834</v>
      </c>
      <c r="B960" s="44" t="str">
        <f>TEXT(MotorPHSales[[#This Row],[Date]],"mmmm")</f>
        <v>June</v>
      </c>
      <c r="C960" s="44">
        <f>DAY(MotorPHSales[[#This Row],[Date]])</f>
        <v>26</v>
      </c>
      <c r="D960" s="44">
        <f>YEAR(MotorPHSales[[#This Row],[Date]])</f>
        <v>2025</v>
      </c>
      <c r="E960" s="44" t="s">
        <v>196</v>
      </c>
      <c r="F960" s="44" t="s">
        <v>74</v>
      </c>
      <c r="G960" s="45">
        <v>349000</v>
      </c>
      <c r="H960" s="44">
        <v>40</v>
      </c>
      <c r="I960" s="45">
        <v>13960000</v>
      </c>
      <c r="J960" s="44" t="s">
        <v>198</v>
      </c>
      <c r="K960" s="44" t="str">
        <f>INDEX(CLEANED_MotorPH_Products_List_2!C:C,MATCH(MotorPHSales[[#This Row],[Product]],CLEANED_MotorPH_Products_List_2!$B:$B,0))</f>
        <v>Cruiser</v>
      </c>
      <c r="L960" s="44" t="str">
        <f>INDEX(CLEANED_MotorPH_Products_List_2!E:E,MATCH(MotorPHSales[[#This Row],[Product]],CLEANED_MotorPH_Products_List_2!$B:$B,0))</f>
        <v>Parallel-twin</v>
      </c>
      <c r="M960" s="44" t="str">
        <f>INDEX(CLEANED_MotorPH_Products_List_2!F:F,MATCH(MotorPHSales[[#This Row],[Product]],CLEANED_MotorPH_Products_List_2!$B:$B,0))</f>
        <v>liquid-cooled</v>
      </c>
      <c r="N960" s="44" t="str">
        <f>INDEX(CLEANED_MotorPH_Products_List_2!G:G,MATCH(MotorPHSales[[#This Row],[Product]],CLEANED_MotorPH_Products_List_2!$B:$B,0))</f>
        <v>500cc</v>
      </c>
      <c r="O960" s="44" t="str">
        <f>INDEX(CLEANED_MotorPH_Products_List_2!K:K,MATCH(MotorPHSales[[#This Row],[Product]],CLEANED_MotorPH_Products_List_2!B:B,0))</f>
        <v>Mid-range</v>
      </c>
      <c r="P960" s="45">
        <f>IF(MotorPHSales[[#This Row],[Segment]]="Entry-level",MotorPHSales[[#This Row],[UnitPrice]]/(1+30%),IF(MotorPHSales[[#This Row],[Segment]]="Mid-range",MotorPHSales[[#This Row],[UnitPrice]]/(1+35%),MotorPHSales[[#This Row],[UnitPrice]]/(1+40%)))*MotorPHSales[[#This Row],[Quantity]]</f>
        <v>10340740.740740741</v>
      </c>
      <c r="Q960" s="44" t="str">
        <f>INDEX(CLEANED_MotorPH_Products_List_2!H:H,MATCH(MotorPHSales[[#This Row],[Product]],CLEANED_MotorPH_Products_List_2!$B:$B,0))</f>
        <v>6-speed</v>
      </c>
    </row>
    <row r="961" spans="1:17" ht="15.75" x14ac:dyDescent="0.3">
      <c r="A961" s="43">
        <v>45876</v>
      </c>
      <c r="B961" s="44" t="str">
        <f>TEXT(MotorPHSales[[#This Row],[Date]],"mmmm")</f>
        <v>August</v>
      </c>
      <c r="C961" s="44">
        <f>DAY(MotorPHSales[[#This Row],[Date]])</f>
        <v>7</v>
      </c>
      <c r="D961" s="44">
        <f>YEAR(MotorPHSales[[#This Row],[Date]])</f>
        <v>2025</v>
      </c>
      <c r="E961" s="44" t="s">
        <v>194</v>
      </c>
      <c r="F961" s="44" t="s">
        <v>42</v>
      </c>
      <c r="G961" s="45">
        <v>125000</v>
      </c>
      <c r="H961" s="44">
        <v>8</v>
      </c>
      <c r="I961" s="45">
        <v>1000000</v>
      </c>
      <c r="J961" s="44" t="s">
        <v>197</v>
      </c>
      <c r="K961" s="44" t="str">
        <f>INDEX(CLEANED_MotorPH_Products_List_2!C:C,MATCH(MotorPHSales[[#This Row],[Product]],CLEANED_MotorPH_Products_List_2!$B:$B,0))</f>
        <v>Naked bike</v>
      </c>
      <c r="L961" s="44" t="str">
        <f>INDEX(CLEANED_MotorPH_Products_List_2!E:E,MATCH(MotorPHSales[[#This Row],[Product]],CLEANED_MotorPH_Products_List_2!$B:$B,0))</f>
        <v>Single cylinder</v>
      </c>
      <c r="M961" s="44" t="str">
        <f>INDEX(CLEANED_MotorPH_Products_List_2!F:F,MATCH(MotorPHSales[[#This Row],[Product]],CLEANED_MotorPH_Products_List_2!$B:$B,0))</f>
        <v>liquid-cooled</v>
      </c>
      <c r="N961" s="44" t="str">
        <f>INDEX(CLEANED_MotorPH_Products_List_2!G:G,MATCH(MotorPHSales[[#This Row],[Product]],CLEANED_MotorPH_Products_List_2!$B:$B,0))</f>
        <v>147cc</v>
      </c>
      <c r="O961" s="44" t="str">
        <f>INDEX(CLEANED_MotorPH_Products_List_2!K:K,MATCH(MotorPHSales[[#This Row],[Product]],CLEANED_MotorPH_Products_List_2!B:B,0))</f>
        <v>Entry-level</v>
      </c>
      <c r="P961" s="45">
        <f>IF(MotorPHSales[[#This Row],[Segment]]="Entry-level",MotorPHSales[[#This Row],[UnitPrice]]/(1+30%),IF(MotorPHSales[[#This Row],[Segment]]="Mid-range",MotorPHSales[[#This Row],[UnitPrice]]/(1+35%),MotorPHSales[[#This Row],[UnitPrice]]/(1+40%)))*MotorPHSales[[#This Row],[Quantity]]</f>
        <v>769230.76923076925</v>
      </c>
      <c r="Q961" s="44" t="str">
        <f>INDEX(CLEANED_MotorPH_Products_List_2!H:H,MATCH(MotorPHSales[[#This Row],[Product]],CLEANED_MotorPH_Products_List_2!$B:$B,0))</f>
        <v>6-speed</v>
      </c>
    </row>
    <row r="962" spans="1:17" ht="15.75" x14ac:dyDescent="0.3">
      <c r="A962" s="43">
        <v>45827</v>
      </c>
      <c r="B962" s="44" t="str">
        <f>TEXT(MotorPHSales[[#This Row],[Date]],"mmmm")</f>
        <v>June</v>
      </c>
      <c r="C962" s="44">
        <f>DAY(MotorPHSales[[#This Row],[Date]])</f>
        <v>19</v>
      </c>
      <c r="D962" s="44">
        <f>YEAR(MotorPHSales[[#This Row],[Date]])</f>
        <v>2025</v>
      </c>
      <c r="E962" s="44" t="s">
        <v>194</v>
      </c>
      <c r="F962" s="44" t="s">
        <v>61</v>
      </c>
      <c r="G962" s="45">
        <v>284900</v>
      </c>
      <c r="H962" s="44">
        <v>13</v>
      </c>
      <c r="I962" s="45">
        <v>3703700</v>
      </c>
      <c r="J962" s="44" t="s">
        <v>198</v>
      </c>
      <c r="K962" s="44" t="str">
        <f>INDEX(CLEANED_MotorPH_Products_List_2!C:C,MATCH(MotorPHSales[[#This Row],[Product]],CLEANED_MotorPH_Products_List_2!$B:$B,0))</f>
        <v>Dual-sport</v>
      </c>
      <c r="L962" s="44" t="str">
        <f>INDEX(CLEANED_MotorPH_Products_List_2!E:E,MATCH(MotorPHSales[[#This Row],[Product]],CLEANED_MotorPH_Products_List_2!$B:$B,0))</f>
        <v>Single cylinder</v>
      </c>
      <c r="M962" s="44" t="str">
        <f>INDEX(CLEANED_MotorPH_Products_List_2!F:F,MATCH(MotorPHSales[[#This Row],[Product]],CLEANED_MotorPH_Products_List_2!$B:$B,0))</f>
        <v>liquid-cooled</v>
      </c>
      <c r="N962" s="44" t="str">
        <f>INDEX(CLEANED_MotorPH_Products_List_2!G:G,MATCH(MotorPHSales[[#This Row],[Product]],CLEANED_MotorPH_Products_List_2!$B:$B,0))</f>
        <v>286cc</v>
      </c>
      <c r="O962" s="44" t="str">
        <f>INDEX(CLEANED_MotorPH_Products_List_2!K:K,MATCH(MotorPHSales[[#This Row],[Product]],CLEANED_MotorPH_Products_List_2!B:B,0))</f>
        <v>Mid-range</v>
      </c>
      <c r="P962" s="45">
        <f>IF(MotorPHSales[[#This Row],[Segment]]="Entry-level",MotorPHSales[[#This Row],[UnitPrice]]/(1+30%),IF(MotorPHSales[[#This Row],[Segment]]="Mid-range",MotorPHSales[[#This Row],[UnitPrice]]/(1+35%),MotorPHSales[[#This Row],[UnitPrice]]/(1+40%)))*MotorPHSales[[#This Row],[Quantity]]</f>
        <v>2743481.4814814813</v>
      </c>
      <c r="Q962" s="44" t="str">
        <f>INDEX(CLEANED_MotorPH_Products_List_2!H:H,MATCH(MotorPHSales[[#This Row],[Product]],CLEANED_MotorPH_Products_List_2!$B:$B,0))</f>
        <v>6-speed</v>
      </c>
    </row>
    <row r="963" spans="1:17" ht="15.75" x14ac:dyDescent="0.3">
      <c r="A963" s="43">
        <v>45892</v>
      </c>
      <c r="B963" s="44" t="str">
        <f>TEXT(MotorPHSales[[#This Row],[Date]],"mmmm")</f>
        <v>August</v>
      </c>
      <c r="C963" s="44">
        <f>DAY(MotorPHSales[[#This Row],[Date]])</f>
        <v>23</v>
      </c>
      <c r="D963" s="44">
        <f>YEAR(MotorPHSales[[#This Row],[Date]])</f>
        <v>2025</v>
      </c>
      <c r="E963" s="44" t="s">
        <v>196</v>
      </c>
      <c r="F963" s="44" t="s">
        <v>92</v>
      </c>
      <c r="G963" s="45">
        <v>289000</v>
      </c>
      <c r="H963" s="44">
        <v>12</v>
      </c>
      <c r="I963" s="45">
        <v>3468000</v>
      </c>
      <c r="J963" s="44" t="s">
        <v>195</v>
      </c>
      <c r="K963" s="44" t="str">
        <f>INDEX(CLEANED_MotorPH_Products_List_2!C:C,MATCH(MotorPHSales[[#This Row],[Product]],CLEANED_MotorPH_Products_List_2!$B:$B,0))</f>
        <v>Scooter</v>
      </c>
      <c r="L963" s="44" t="str">
        <f>INDEX(CLEANED_MotorPH_Products_List_2!E:E,MATCH(MotorPHSales[[#This Row],[Product]],CLEANED_MotorPH_Products_List_2!$B:$B,0))</f>
        <v>Single cylinder</v>
      </c>
      <c r="M963" s="44" t="str">
        <f>INDEX(CLEANED_MotorPH_Products_List_2!F:F,MATCH(MotorPHSales[[#This Row],[Product]],CLEANED_MotorPH_Products_List_2!$B:$B,0))</f>
        <v>liquid-cooled</v>
      </c>
      <c r="N963" s="44" t="str">
        <f>INDEX(CLEANED_MotorPH_Products_List_2!G:G,MATCH(MotorPHSales[[#This Row],[Product]],CLEANED_MotorPH_Products_List_2!$B:$B,0))</f>
        <v>181cc</v>
      </c>
      <c r="O963" s="44" t="str">
        <f>INDEX(CLEANED_MotorPH_Products_List_2!K:K,MATCH(MotorPHSales[[#This Row],[Product]],CLEANED_MotorPH_Products_List_2!B:B,0))</f>
        <v>Entry-level</v>
      </c>
      <c r="P963" s="45">
        <f>IF(MotorPHSales[[#This Row],[Segment]]="Entry-level",MotorPHSales[[#This Row],[UnitPrice]]/(1+30%),IF(MotorPHSales[[#This Row],[Segment]]="Mid-range",MotorPHSales[[#This Row],[UnitPrice]]/(1+35%),MotorPHSales[[#This Row],[UnitPrice]]/(1+40%)))*MotorPHSales[[#This Row],[Quantity]]</f>
        <v>2667692.307692308</v>
      </c>
      <c r="Q963" s="44" t="str">
        <f>INDEX(CLEANED_MotorPH_Products_List_2!H:H,MATCH(MotorPHSales[[#This Row],[Product]],CLEANED_MotorPH_Products_List_2!$B:$B,0))</f>
        <v>CVT</v>
      </c>
    </row>
    <row r="964" spans="1:17" ht="15.75" x14ac:dyDescent="0.3">
      <c r="A964" s="43">
        <v>45828</v>
      </c>
      <c r="B964" s="44" t="str">
        <f>TEXT(MotorPHSales[[#This Row],[Date]],"mmmm")</f>
        <v>June</v>
      </c>
      <c r="C964" s="44">
        <f>DAY(MotorPHSales[[#This Row],[Date]])</f>
        <v>20</v>
      </c>
      <c r="D964" s="44">
        <f>YEAR(MotorPHSales[[#This Row],[Date]])</f>
        <v>2025</v>
      </c>
      <c r="E964" s="44" t="s">
        <v>194</v>
      </c>
      <c r="F964" s="44" t="s">
        <v>51</v>
      </c>
      <c r="G964" s="45">
        <v>78900</v>
      </c>
      <c r="H964" s="44">
        <v>43</v>
      </c>
      <c r="I964" s="45">
        <v>3392700</v>
      </c>
      <c r="J964" s="44" t="s">
        <v>198</v>
      </c>
      <c r="K964" s="44" t="str">
        <f>INDEX(CLEANED_MotorPH_Products_List_2!C:C,MATCH(MotorPHSales[[#This Row],[Product]],CLEANED_MotorPH_Products_List_2!$B:$B,0))</f>
        <v>Adventure</v>
      </c>
      <c r="L964" s="44" t="str">
        <f>INDEX(CLEANED_MotorPH_Products_List_2!E:E,MATCH(MotorPHSales[[#This Row],[Product]],CLEANED_MotorPH_Products_List_2!$B:$B,0))</f>
        <v>Single cylinder</v>
      </c>
      <c r="M964" s="44" t="str">
        <f>INDEX(CLEANED_MotorPH_Products_List_2!F:F,MATCH(MotorPHSales[[#This Row],[Product]],CLEANED_MotorPH_Products_List_2!$B:$B,0))</f>
        <v>oil-cooled</v>
      </c>
      <c r="N964" s="44" t="str">
        <f>INDEX(CLEANED_MotorPH_Products_List_2!G:G,MATCH(MotorPHSales[[#This Row],[Product]],CLEANED_MotorPH_Products_List_2!$B:$B,0))</f>
        <v>223cc</v>
      </c>
      <c r="O964" s="44" t="str">
        <f>INDEX(CLEANED_MotorPH_Products_List_2!K:K,MATCH(MotorPHSales[[#This Row],[Product]],CLEANED_MotorPH_Products_List_2!B:B,0))</f>
        <v>Mid-range</v>
      </c>
      <c r="P964" s="45">
        <f>IF(MotorPHSales[[#This Row],[Segment]]="Entry-level",MotorPHSales[[#This Row],[UnitPrice]]/(1+30%),IF(MotorPHSales[[#This Row],[Segment]]="Mid-range",MotorPHSales[[#This Row],[UnitPrice]]/(1+35%),MotorPHSales[[#This Row],[UnitPrice]]/(1+40%)))*MotorPHSales[[#This Row],[Quantity]]</f>
        <v>2513111.111111111</v>
      </c>
      <c r="Q964" s="44" t="str">
        <f>INDEX(CLEANED_MotorPH_Products_List_2!H:H,MATCH(MotorPHSales[[#This Row],[Product]],CLEANED_MotorPH_Products_List_2!$B:$B,0))</f>
        <v>6-speed</v>
      </c>
    </row>
    <row r="965" spans="1:17" ht="15.75" x14ac:dyDescent="0.3">
      <c r="A965" s="43">
        <v>45820</v>
      </c>
      <c r="B965" s="44" t="str">
        <f>TEXT(MotorPHSales[[#This Row],[Date]],"mmmm")</f>
        <v>June</v>
      </c>
      <c r="C965" s="44">
        <f>DAY(MotorPHSales[[#This Row],[Date]])</f>
        <v>12</v>
      </c>
      <c r="D965" s="44">
        <f>YEAR(MotorPHSales[[#This Row],[Date]])</f>
        <v>2025</v>
      </c>
      <c r="E965" s="44" t="s">
        <v>194</v>
      </c>
      <c r="F965" s="44" t="s">
        <v>68</v>
      </c>
      <c r="G965" s="45">
        <v>248000</v>
      </c>
      <c r="H965" s="44">
        <v>25</v>
      </c>
      <c r="I965" s="45">
        <v>6200000</v>
      </c>
      <c r="J965" s="44" t="s">
        <v>195</v>
      </c>
      <c r="K965" s="44" t="str">
        <f>INDEX(CLEANED_MotorPH_Products_List_2!C:C,MATCH(MotorPHSales[[#This Row],[Product]],CLEANED_MotorPH_Products_List_2!$B:$B,0))</f>
        <v>Adventure</v>
      </c>
      <c r="L965" s="44" t="str">
        <f>INDEX(CLEANED_MotorPH_Products_List_2!E:E,MATCH(MotorPHSales[[#This Row],[Product]],CLEANED_MotorPH_Products_List_2!$B:$B,0))</f>
        <v>Single cylinder</v>
      </c>
      <c r="M965" s="44" t="str">
        <f>INDEX(CLEANED_MotorPH_Products_List_2!F:F,MATCH(MotorPHSales[[#This Row],[Product]],CLEANED_MotorPH_Products_List_2!$B:$B,0))</f>
        <v>liquid-cooled</v>
      </c>
      <c r="N965" s="44" t="str">
        <f>INDEX(CLEANED_MotorPH_Products_List_2!G:G,MATCH(MotorPHSales[[#This Row],[Product]],CLEANED_MotorPH_Products_List_2!$B:$B,0))</f>
        <v>312cc</v>
      </c>
      <c r="O965" s="44" t="str">
        <f>INDEX(CLEANED_MotorPH_Products_List_2!K:K,MATCH(MotorPHSales[[#This Row],[Product]],CLEANED_MotorPH_Products_List_2!B:B,0))</f>
        <v>Mid-range</v>
      </c>
      <c r="P965" s="45">
        <f>IF(MotorPHSales[[#This Row],[Segment]]="Entry-level",MotorPHSales[[#This Row],[UnitPrice]]/(1+30%),IF(MotorPHSales[[#This Row],[Segment]]="Mid-range",MotorPHSales[[#This Row],[UnitPrice]]/(1+35%),MotorPHSales[[#This Row],[UnitPrice]]/(1+40%)))*MotorPHSales[[#This Row],[Quantity]]</f>
        <v>4592592.5925925924</v>
      </c>
      <c r="Q965" s="44" t="str">
        <f>INDEX(CLEANED_MotorPH_Products_List_2!H:H,MATCH(MotorPHSales[[#This Row],[Product]],CLEANED_MotorPH_Products_List_2!$B:$B,0))</f>
        <v>6-speed</v>
      </c>
    </row>
    <row r="966" spans="1:17" ht="15.75" x14ac:dyDescent="0.3">
      <c r="A966" s="43">
        <v>45855</v>
      </c>
      <c r="B966" s="44" t="str">
        <f>TEXT(MotorPHSales[[#This Row],[Date]],"mmmm")</f>
        <v>July</v>
      </c>
      <c r="C966" s="44">
        <f>DAY(MotorPHSales[[#This Row],[Date]])</f>
        <v>17</v>
      </c>
      <c r="D966" s="44">
        <f>YEAR(MotorPHSales[[#This Row],[Date]])</f>
        <v>2025</v>
      </c>
      <c r="E966" s="44" t="s">
        <v>194</v>
      </c>
      <c r="F966" s="44" t="s">
        <v>49</v>
      </c>
      <c r="G966" s="45">
        <v>68900</v>
      </c>
      <c r="H966" s="44">
        <v>40</v>
      </c>
      <c r="I966" s="45">
        <v>2756000</v>
      </c>
      <c r="J966" s="44" t="s">
        <v>195</v>
      </c>
      <c r="K966" s="44" t="str">
        <f>INDEX(CLEANED_MotorPH_Products_List_2!C:C,MATCH(MotorPHSales[[#This Row],[Product]],CLEANED_MotorPH_Products_List_2!$B:$B,0))</f>
        <v>Standard</v>
      </c>
      <c r="L966" s="44" t="str">
        <f>INDEX(CLEANED_MotorPH_Products_List_2!E:E,MATCH(MotorPHSales[[#This Row],[Product]],CLEANED_MotorPH_Products_List_2!$B:$B,0))</f>
        <v>Single cylinder</v>
      </c>
      <c r="M966" s="44" t="str">
        <f>INDEX(CLEANED_MotorPH_Products_List_2!F:F,MATCH(MotorPHSales[[#This Row],[Product]],CLEANED_MotorPH_Products_List_2!$B:$B,0))</f>
        <v>air-cooled</v>
      </c>
      <c r="N966" s="44" t="str">
        <f>INDEX(CLEANED_MotorPH_Products_List_2!G:G,MATCH(MotorPHSales[[#This Row],[Product]],CLEANED_MotorPH_Products_List_2!$B:$B,0))</f>
        <v>149cc</v>
      </c>
      <c r="O966" s="44" t="str">
        <f>INDEX(CLEANED_MotorPH_Products_List_2!K:K,MATCH(MotorPHSales[[#This Row],[Product]],CLEANED_MotorPH_Products_List_2!B:B,0))</f>
        <v>Entry-level</v>
      </c>
      <c r="P966" s="45">
        <f>IF(MotorPHSales[[#This Row],[Segment]]="Entry-level",MotorPHSales[[#This Row],[UnitPrice]]/(1+30%),IF(MotorPHSales[[#This Row],[Segment]]="Mid-range",MotorPHSales[[#This Row],[UnitPrice]]/(1+35%),MotorPHSales[[#This Row],[UnitPrice]]/(1+40%)))*MotorPHSales[[#This Row],[Quantity]]</f>
        <v>2120000</v>
      </c>
      <c r="Q966" s="44" t="str">
        <f>INDEX(CLEANED_MotorPH_Products_List_2!H:H,MATCH(MotorPHSales[[#This Row],[Product]],CLEANED_MotorPH_Products_List_2!$B:$B,0))</f>
        <v>5-speed</v>
      </c>
    </row>
    <row r="967" spans="1:17" ht="15.75" x14ac:dyDescent="0.3">
      <c r="A967" s="43">
        <v>45809</v>
      </c>
      <c r="B967" s="44" t="str">
        <f>TEXT(MotorPHSales[[#This Row],[Date]],"mmmm")</f>
        <v>June</v>
      </c>
      <c r="C967" s="44">
        <f>DAY(MotorPHSales[[#This Row],[Date]])</f>
        <v>1</v>
      </c>
      <c r="D967" s="44">
        <f>YEAR(MotorPHSales[[#This Row],[Date]])</f>
        <v>2025</v>
      </c>
      <c r="E967" s="44" t="s">
        <v>194</v>
      </c>
      <c r="F967" s="44" t="s">
        <v>40</v>
      </c>
      <c r="G967" s="45">
        <v>210000</v>
      </c>
      <c r="H967" s="44">
        <v>1</v>
      </c>
      <c r="I967" s="45">
        <v>210000</v>
      </c>
      <c r="J967" s="44" t="s">
        <v>195</v>
      </c>
      <c r="K967" s="44" t="str">
        <f>INDEX(CLEANED_MotorPH_Products_List_2!C:C,MATCH(MotorPHSales[[#This Row],[Product]],CLEANED_MotorPH_Products_List_2!$B:$B,0))</f>
        <v>Scooter</v>
      </c>
      <c r="L967" s="44" t="str">
        <f>INDEX(CLEANED_MotorPH_Products_List_2!E:E,MATCH(MotorPHSales[[#This Row],[Product]],CLEANED_MotorPH_Products_List_2!$B:$B,0))</f>
        <v>Single cylinder</v>
      </c>
      <c r="M967" s="44" t="str">
        <f>INDEX(CLEANED_MotorPH_Products_List_2!F:F,MATCH(MotorPHSales[[#This Row],[Product]],CLEANED_MotorPH_Products_List_2!$B:$B,0))</f>
        <v>air-cooled</v>
      </c>
      <c r="N967" s="44" t="str">
        <f>INDEX(CLEANED_MotorPH_Products_List_2!G:G,MATCH(MotorPHSales[[#This Row],[Product]],CLEANED_MotorPH_Products_List_2!$B:$B,0))</f>
        <v>150cc</v>
      </c>
      <c r="O967" s="44" t="str">
        <f>INDEX(CLEANED_MotorPH_Products_List_2!K:K,MATCH(MotorPHSales[[#This Row],[Product]],CLEANED_MotorPH_Products_List_2!B:B,0))</f>
        <v>Entry-level</v>
      </c>
      <c r="P967" s="45">
        <f>IF(MotorPHSales[[#This Row],[Segment]]="Entry-level",MotorPHSales[[#This Row],[UnitPrice]]/(1+30%),IF(MotorPHSales[[#This Row],[Segment]]="Mid-range",MotorPHSales[[#This Row],[UnitPrice]]/(1+35%),MotorPHSales[[#This Row],[UnitPrice]]/(1+40%)))*MotorPHSales[[#This Row],[Quantity]]</f>
        <v>161538.46153846153</v>
      </c>
      <c r="Q967" s="44" t="str">
        <f>INDEX(CLEANED_MotorPH_Products_List_2!H:H,MATCH(MotorPHSales[[#This Row],[Product]],CLEANED_MotorPH_Products_List_2!$B:$B,0))</f>
        <v>CVT</v>
      </c>
    </row>
    <row r="968" spans="1:17" ht="15.75" x14ac:dyDescent="0.3">
      <c r="A968" s="43">
        <v>45898</v>
      </c>
      <c r="B968" s="44" t="str">
        <f>TEXT(MotorPHSales[[#This Row],[Date]],"mmmm")</f>
        <v>August</v>
      </c>
      <c r="C968" s="44">
        <f>DAY(MotorPHSales[[#This Row],[Date]])</f>
        <v>29</v>
      </c>
      <c r="D968" s="44">
        <f>YEAR(MotorPHSales[[#This Row],[Date]])</f>
        <v>2025</v>
      </c>
      <c r="E968" s="44" t="s">
        <v>196</v>
      </c>
      <c r="F968" s="44" t="s">
        <v>80</v>
      </c>
      <c r="G968" s="45">
        <v>398000</v>
      </c>
      <c r="H968" s="44">
        <v>16</v>
      </c>
      <c r="I968" s="45">
        <v>6368000</v>
      </c>
      <c r="J968" s="44" t="s">
        <v>195</v>
      </c>
      <c r="K968" s="44" t="str">
        <f>INDEX(CLEANED_MotorPH_Products_List_2!C:C,MATCH(MotorPHSales[[#This Row],[Product]],CLEANED_MotorPH_Products_List_2!$B:$B,0))</f>
        <v>Scooter</v>
      </c>
      <c r="L968" s="44" t="str">
        <f>INDEX(CLEANED_MotorPH_Products_List_2!E:E,MATCH(MotorPHSales[[#This Row],[Product]],CLEANED_MotorPH_Products_List_2!$B:$B,0))</f>
        <v>Single cylinder</v>
      </c>
      <c r="M968" s="44" t="str">
        <f>INDEX(CLEANED_MotorPH_Products_List_2!F:F,MATCH(MotorPHSales[[#This Row],[Product]],CLEANED_MotorPH_Products_List_2!$B:$B,0))</f>
        <v>liquid-cooled</v>
      </c>
      <c r="N968" s="44" t="str">
        <f>INDEX(CLEANED_MotorPH_Products_List_2!G:G,MATCH(MotorPHSales[[#This Row],[Product]],CLEANED_MotorPH_Products_List_2!$B:$B,0))</f>
        <v>278cc</v>
      </c>
      <c r="O968" s="44" t="str">
        <f>INDEX(CLEANED_MotorPH_Products_List_2!K:K,MATCH(MotorPHSales[[#This Row],[Product]],CLEANED_MotorPH_Products_List_2!B:B,0))</f>
        <v>Mid-range</v>
      </c>
      <c r="P968" s="45">
        <f>IF(MotorPHSales[[#This Row],[Segment]]="Entry-level",MotorPHSales[[#This Row],[UnitPrice]]/(1+30%),IF(MotorPHSales[[#This Row],[Segment]]="Mid-range",MotorPHSales[[#This Row],[UnitPrice]]/(1+35%),MotorPHSales[[#This Row],[UnitPrice]]/(1+40%)))*MotorPHSales[[#This Row],[Quantity]]</f>
        <v>4717037.0370370364</v>
      </c>
      <c r="Q968" s="44" t="str">
        <f>INDEX(CLEANED_MotorPH_Products_List_2!H:H,MATCH(MotorPHSales[[#This Row],[Product]],CLEANED_MotorPH_Products_List_2!$B:$B,0))</f>
        <v>CVT</v>
      </c>
    </row>
    <row r="969" spans="1:17" ht="15.75" x14ac:dyDescent="0.3">
      <c r="A969" s="43">
        <v>45822</v>
      </c>
      <c r="B969" s="44" t="str">
        <f>TEXT(MotorPHSales[[#This Row],[Date]],"mmmm")</f>
        <v>June</v>
      </c>
      <c r="C969" s="44">
        <f>DAY(MotorPHSales[[#This Row],[Date]])</f>
        <v>14</v>
      </c>
      <c r="D969" s="44">
        <f>YEAR(MotorPHSales[[#This Row],[Date]])</f>
        <v>2025</v>
      </c>
      <c r="E969" s="44" t="s">
        <v>196</v>
      </c>
      <c r="F969" s="44" t="s">
        <v>20</v>
      </c>
      <c r="G969" s="45">
        <v>178000</v>
      </c>
      <c r="H969" s="44">
        <v>3</v>
      </c>
      <c r="I969" s="45">
        <v>534000</v>
      </c>
      <c r="J969" s="44" t="s">
        <v>198</v>
      </c>
      <c r="K969" s="44" t="str">
        <f>INDEX(CLEANED_MotorPH_Products_List_2!C:C,MATCH(MotorPHSales[[#This Row],[Product]],CLEANED_MotorPH_Products_List_2!$B:$B,0))</f>
        <v>Naked bike</v>
      </c>
      <c r="L969" s="44" t="str">
        <f>INDEX(CLEANED_MotorPH_Products_List_2!E:E,MATCH(MotorPHSales[[#This Row],[Product]],CLEANED_MotorPH_Products_List_2!$B:$B,0))</f>
        <v>Single cylinder</v>
      </c>
      <c r="M969" s="44" t="str">
        <f>INDEX(CLEANED_MotorPH_Products_List_2!F:F,MATCH(MotorPHSales[[#This Row],[Product]],CLEANED_MotorPH_Products_List_2!$B:$B,0))</f>
        <v>liquid-cooled</v>
      </c>
      <c r="N969" s="44" t="str">
        <f>INDEX(CLEANED_MotorPH_Products_List_2!G:G,MATCH(MotorPHSales[[#This Row],[Product]],CLEANED_MotorPH_Products_List_2!$B:$B,0))</f>
        <v>199cc</v>
      </c>
      <c r="O969" s="44" t="str">
        <f>INDEX(CLEANED_MotorPH_Products_List_2!K:K,MATCH(MotorPHSales[[#This Row],[Product]],CLEANED_MotorPH_Products_List_2!B:B,0))</f>
        <v>Entry-level</v>
      </c>
      <c r="P969" s="45">
        <f>IF(MotorPHSales[[#This Row],[Segment]]="Entry-level",MotorPHSales[[#This Row],[UnitPrice]]/(1+30%),IF(MotorPHSales[[#This Row],[Segment]]="Mid-range",MotorPHSales[[#This Row],[UnitPrice]]/(1+35%),MotorPHSales[[#This Row],[UnitPrice]]/(1+40%)))*MotorPHSales[[#This Row],[Quantity]]</f>
        <v>410769.23076923075</v>
      </c>
      <c r="Q969" s="44" t="str">
        <f>INDEX(CLEANED_MotorPH_Products_List_2!H:H,MATCH(MotorPHSales[[#This Row],[Product]],CLEANED_MotorPH_Products_List_2!$B:$B,0))</f>
        <v>6-speed</v>
      </c>
    </row>
    <row r="970" spans="1:17" ht="15.75" x14ac:dyDescent="0.3">
      <c r="A970" s="43">
        <v>45872</v>
      </c>
      <c r="B970" s="44" t="str">
        <f>TEXT(MotorPHSales[[#This Row],[Date]],"mmmm")</f>
        <v>August</v>
      </c>
      <c r="C970" s="44">
        <f>DAY(MotorPHSales[[#This Row],[Date]])</f>
        <v>3</v>
      </c>
      <c r="D970" s="44">
        <f>YEAR(MotorPHSales[[#This Row],[Date]])</f>
        <v>2025</v>
      </c>
      <c r="E970" s="44" t="s">
        <v>196</v>
      </c>
      <c r="F970" s="44" t="s">
        <v>28</v>
      </c>
      <c r="G970" s="45">
        <v>164900</v>
      </c>
      <c r="H970" s="44">
        <v>9</v>
      </c>
      <c r="I970" s="45">
        <v>1484100</v>
      </c>
      <c r="J970" s="44" t="s">
        <v>197</v>
      </c>
      <c r="K970" s="44" t="str">
        <f>INDEX(CLEANED_MotorPH_Products_List_2!C:C,MATCH(MotorPHSales[[#This Row],[Product]],CLEANED_MotorPH_Products_List_2!$B:$B,0))</f>
        <v>Scooter</v>
      </c>
      <c r="L970" s="44" t="str">
        <f>INDEX(CLEANED_MotorPH_Products_List_2!E:E,MATCH(MotorPHSales[[#This Row],[Product]],CLEANED_MotorPH_Products_List_2!$B:$B,0))</f>
        <v>Single cylinder</v>
      </c>
      <c r="M970" s="44" t="str">
        <f>INDEX(CLEANED_MotorPH_Products_List_2!F:F,MATCH(MotorPHSales[[#This Row],[Product]],CLEANED_MotorPH_Products_List_2!$B:$B,0))</f>
        <v>liquid-cooled</v>
      </c>
      <c r="N970" s="44" t="str">
        <f>INDEX(CLEANED_MotorPH_Products_List_2!G:G,MATCH(MotorPHSales[[#This Row],[Product]],CLEANED_MotorPH_Products_List_2!$B:$B,0))</f>
        <v>157cc</v>
      </c>
      <c r="O970" s="44" t="str">
        <f>INDEX(CLEANED_MotorPH_Products_List_2!K:K,MATCH(MotorPHSales[[#This Row],[Product]],CLEANED_MotorPH_Products_List_2!B:B,0))</f>
        <v>Entry-level</v>
      </c>
      <c r="P970" s="45">
        <f>IF(MotorPHSales[[#This Row],[Segment]]="Entry-level",MotorPHSales[[#This Row],[UnitPrice]]/(1+30%),IF(MotorPHSales[[#This Row],[Segment]]="Mid-range",MotorPHSales[[#This Row],[UnitPrice]]/(1+35%),MotorPHSales[[#This Row],[UnitPrice]]/(1+40%)))*MotorPHSales[[#This Row],[Quantity]]</f>
        <v>1141615.3846153845</v>
      </c>
      <c r="Q970" s="44" t="str">
        <f>INDEX(CLEANED_MotorPH_Products_List_2!H:H,MATCH(MotorPHSales[[#This Row],[Product]],CLEANED_MotorPH_Products_List_2!$B:$B,0))</f>
        <v>CVT</v>
      </c>
    </row>
    <row r="971" spans="1:17" ht="15.75" x14ac:dyDescent="0.3">
      <c r="A971" s="43">
        <v>45846</v>
      </c>
      <c r="B971" s="44" t="str">
        <f>TEXT(MotorPHSales[[#This Row],[Date]],"mmmm")</f>
        <v>July</v>
      </c>
      <c r="C971" s="44">
        <f>DAY(MotorPHSales[[#This Row],[Date]])</f>
        <v>8</v>
      </c>
      <c r="D971" s="44">
        <f>YEAR(MotorPHSales[[#This Row],[Date]])</f>
        <v>2025</v>
      </c>
      <c r="E971" s="44" t="s">
        <v>196</v>
      </c>
      <c r="F971" s="44" t="s">
        <v>64</v>
      </c>
      <c r="G971" s="45">
        <v>128000</v>
      </c>
      <c r="H971" s="44">
        <v>35</v>
      </c>
      <c r="I971" s="45">
        <v>4480000</v>
      </c>
      <c r="J971" s="44" t="s">
        <v>197</v>
      </c>
      <c r="K971" s="44" t="str">
        <f>INDEX(CLEANED_MotorPH_Products_List_2!C:C,MATCH(MotorPHSales[[#This Row],[Product]],CLEANED_MotorPH_Products_List_2!$B:$B,0))</f>
        <v>Scooter</v>
      </c>
      <c r="L971" s="44" t="str">
        <f>INDEX(CLEANED_MotorPH_Products_List_2!E:E,MATCH(MotorPHSales[[#This Row],[Product]],CLEANED_MotorPH_Products_List_2!$B:$B,0))</f>
        <v>Single cylinder</v>
      </c>
      <c r="M971" s="44" t="str">
        <f>INDEX(CLEANED_MotorPH_Products_List_2!F:F,MATCH(MotorPHSales[[#This Row],[Product]],CLEANED_MotorPH_Products_List_2!$B:$B,0))</f>
        <v>liquid-cooled</v>
      </c>
      <c r="N971" s="44" t="str">
        <f>INDEX(CLEANED_MotorPH_Products_List_2!G:G,MATCH(MotorPHSales[[#This Row],[Product]],CLEANED_MotorPH_Products_List_2!$B:$B,0))</f>
        <v>149cc</v>
      </c>
      <c r="O971" s="44" t="str">
        <f>INDEX(CLEANED_MotorPH_Products_List_2!K:K,MATCH(MotorPHSales[[#This Row],[Product]],CLEANED_MotorPH_Products_List_2!B:B,0))</f>
        <v>Entry-level</v>
      </c>
      <c r="P971" s="45">
        <f>IF(MotorPHSales[[#This Row],[Segment]]="Entry-level",MotorPHSales[[#This Row],[UnitPrice]]/(1+30%),IF(MotorPHSales[[#This Row],[Segment]]="Mid-range",MotorPHSales[[#This Row],[UnitPrice]]/(1+35%),MotorPHSales[[#This Row],[UnitPrice]]/(1+40%)))*MotorPHSales[[#This Row],[Quantity]]</f>
        <v>3446153.846153846</v>
      </c>
      <c r="Q971" s="44" t="str">
        <f>INDEX(CLEANED_MotorPH_Products_List_2!H:H,MATCH(MotorPHSales[[#This Row],[Product]],CLEANED_MotorPH_Products_List_2!$B:$B,0))</f>
        <v>CVT</v>
      </c>
    </row>
    <row r="972" spans="1:17" ht="15.75" x14ac:dyDescent="0.3">
      <c r="A972" s="43">
        <v>45845</v>
      </c>
      <c r="B972" s="44" t="str">
        <f>TEXT(MotorPHSales[[#This Row],[Date]],"mmmm")</f>
        <v>July</v>
      </c>
      <c r="C972" s="44">
        <f>DAY(MotorPHSales[[#This Row],[Date]])</f>
        <v>7</v>
      </c>
      <c r="D972" s="44">
        <f>YEAR(MotorPHSales[[#This Row],[Date]])</f>
        <v>2025</v>
      </c>
      <c r="E972" s="44" t="s">
        <v>196</v>
      </c>
      <c r="F972" s="44" t="s">
        <v>34</v>
      </c>
      <c r="G972" s="45">
        <v>320000</v>
      </c>
      <c r="H972" s="44">
        <v>22</v>
      </c>
      <c r="I972" s="45">
        <v>7040000</v>
      </c>
      <c r="J972" s="44" t="s">
        <v>197</v>
      </c>
      <c r="K972" s="44" t="str">
        <f>INDEX(CLEANED_MotorPH_Products_List_2!C:C,MATCH(MotorPHSales[[#This Row],[Product]],CLEANED_MotorPH_Products_List_2!$B:$B,0))</f>
        <v>Adventure</v>
      </c>
      <c r="L972" s="44" t="str">
        <f>INDEX(CLEANED_MotorPH_Products_List_2!E:E,MATCH(MotorPHSales[[#This Row],[Product]],CLEANED_MotorPH_Products_List_2!$B:$B,0))</f>
        <v>Single cylinder</v>
      </c>
      <c r="M972" s="44" t="str">
        <f>INDEX(CLEANED_MotorPH_Products_List_2!F:F,MATCH(MotorPHSales[[#This Row],[Product]],CLEANED_MotorPH_Products_List_2!$B:$B,0))</f>
        <v>liquid-cooled</v>
      </c>
      <c r="N972" s="44" t="str">
        <f>INDEX(CLEANED_MotorPH_Products_List_2!G:G,MATCH(MotorPHSales[[#This Row],[Product]],CLEANED_MotorPH_Products_List_2!$B:$B,0))</f>
        <v>313cc</v>
      </c>
      <c r="O972" s="44" t="str">
        <f>INDEX(CLEANED_MotorPH_Products_List_2!K:K,MATCH(MotorPHSales[[#This Row],[Product]],CLEANED_MotorPH_Products_List_2!B:B,0))</f>
        <v>Mid-range</v>
      </c>
      <c r="P972" s="45">
        <f>IF(MotorPHSales[[#This Row],[Segment]]="Entry-level",MotorPHSales[[#This Row],[UnitPrice]]/(1+30%),IF(MotorPHSales[[#This Row],[Segment]]="Mid-range",MotorPHSales[[#This Row],[UnitPrice]]/(1+35%),MotorPHSales[[#This Row],[UnitPrice]]/(1+40%)))*MotorPHSales[[#This Row],[Quantity]]</f>
        <v>5214814.8148148144</v>
      </c>
      <c r="Q972" s="44" t="str">
        <f>INDEX(CLEANED_MotorPH_Products_List_2!H:H,MATCH(MotorPHSales[[#This Row],[Product]],CLEANED_MotorPH_Products_List_2!$B:$B,0))</f>
        <v>6-speed</v>
      </c>
    </row>
    <row r="973" spans="1:17" ht="15.75" x14ac:dyDescent="0.3">
      <c r="A973" s="43">
        <v>45819</v>
      </c>
      <c r="B973" s="44" t="str">
        <f>TEXT(MotorPHSales[[#This Row],[Date]],"mmmm")</f>
        <v>June</v>
      </c>
      <c r="C973" s="44">
        <f>DAY(MotorPHSales[[#This Row],[Date]])</f>
        <v>11</v>
      </c>
      <c r="D973" s="44">
        <f>YEAR(MotorPHSales[[#This Row],[Date]])</f>
        <v>2025</v>
      </c>
      <c r="E973" s="44" t="s">
        <v>194</v>
      </c>
      <c r="F973" s="44" t="s">
        <v>38</v>
      </c>
      <c r="G973" s="45">
        <v>295000</v>
      </c>
      <c r="H973" s="44">
        <v>11</v>
      </c>
      <c r="I973" s="45">
        <v>3245000</v>
      </c>
      <c r="J973" s="44" t="s">
        <v>198</v>
      </c>
      <c r="K973" s="44" t="str">
        <f>INDEX(CLEANED_MotorPH_Products_List_2!C:C,MATCH(MotorPHSales[[#This Row],[Product]],CLEANED_MotorPH_Products_List_2!$B:$B,0))</f>
        <v>Scrambler</v>
      </c>
      <c r="L973" s="44" t="str">
        <f>INDEX(CLEANED_MotorPH_Products_List_2!E:E,MATCH(MotorPHSales[[#This Row],[Product]],CLEANED_MotorPH_Products_List_2!$B:$B,0))</f>
        <v>Single cylinder</v>
      </c>
      <c r="M973" s="44" t="str">
        <f>INDEX(CLEANED_MotorPH_Products_List_2!F:F,MATCH(MotorPHSales[[#This Row],[Product]],CLEANED_MotorPH_Products_List_2!$B:$B,0))</f>
        <v>liquid-cooled</v>
      </c>
      <c r="N973" s="44" t="str">
        <f>INDEX(CLEANED_MotorPH_Products_List_2!G:G,MATCH(MotorPHSales[[#This Row],[Product]],CLEANED_MotorPH_Products_List_2!$B:$B,0))</f>
        <v>373cc</v>
      </c>
      <c r="O973" s="44" t="str">
        <f>INDEX(CLEANED_MotorPH_Products_List_2!K:K,MATCH(MotorPHSales[[#This Row],[Product]],CLEANED_MotorPH_Products_List_2!B:B,0))</f>
        <v>Mid-range</v>
      </c>
      <c r="P973" s="45">
        <f>IF(MotorPHSales[[#This Row],[Segment]]="Entry-level",MotorPHSales[[#This Row],[UnitPrice]]/(1+30%),IF(MotorPHSales[[#This Row],[Segment]]="Mid-range",MotorPHSales[[#This Row],[UnitPrice]]/(1+35%),MotorPHSales[[#This Row],[UnitPrice]]/(1+40%)))*MotorPHSales[[#This Row],[Quantity]]</f>
        <v>2403703.7037037038</v>
      </c>
      <c r="Q973" s="44" t="str">
        <f>INDEX(CLEANED_MotorPH_Products_List_2!H:H,MATCH(MotorPHSales[[#This Row],[Product]],CLEANED_MotorPH_Products_List_2!$B:$B,0))</f>
        <v>6-speed</v>
      </c>
    </row>
    <row r="974" spans="1:17" ht="15.75" x14ac:dyDescent="0.3">
      <c r="A974" s="43">
        <v>45885</v>
      </c>
      <c r="B974" s="44" t="str">
        <f>TEXT(MotorPHSales[[#This Row],[Date]],"mmmm")</f>
        <v>August</v>
      </c>
      <c r="C974" s="44">
        <f>DAY(MotorPHSales[[#This Row],[Date]])</f>
        <v>16</v>
      </c>
      <c r="D974" s="44">
        <f>YEAR(MotorPHSales[[#This Row],[Date]])</f>
        <v>2025</v>
      </c>
      <c r="E974" s="44" t="s">
        <v>196</v>
      </c>
      <c r="F974" s="44" t="s">
        <v>34</v>
      </c>
      <c r="G974" s="45">
        <v>320000</v>
      </c>
      <c r="H974" s="44">
        <v>8</v>
      </c>
      <c r="I974" s="45">
        <v>2560000</v>
      </c>
      <c r="J974" s="44" t="s">
        <v>197</v>
      </c>
      <c r="K974" s="44" t="str">
        <f>INDEX(CLEANED_MotorPH_Products_List_2!C:C,MATCH(MotorPHSales[[#This Row],[Product]],CLEANED_MotorPH_Products_List_2!$B:$B,0))</f>
        <v>Adventure</v>
      </c>
      <c r="L974" s="44" t="str">
        <f>INDEX(CLEANED_MotorPH_Products_List_2!E:E,MATCH(MotorPHSales[[#This Row],[Product]],CLEANED_MotorPH_Products_List_2!$B:$B,0))</f>
        <v>Single cylinder</v>
      </c>
      <c r="M974" s="44" t="str">
        <f>INDEX(CLEANED_MotorPH_Products_List_2!F:F,MATCH(MotorPHSales[[#This Row],[Product]],CLEANED_MotorPH_Products_List_2!$B:$B,0))</f>
        <v>liquid-cooled</v>
      </c>
      <c r="N974" s="44" t="str">
        <f>INDEX(CLEANED_MotorPH_Products_List_2!G:G,MATCH(MotorPHSales[[#This Row],[Product]],CLEANED_MotorPH_Products_List_2!$B:$B,0))</f>
        <v>313cc</v>
      </c>
      <c r="O974" s="44" t="str">
        <f>INDEX(CLEANED_MotorPH_Products_List_2!K:K,MATCH(MotorPHSales[[#This Row],[Product]],CLEANED_MotorPH_Products_List_2!B:B,0))</f>
        <v>Mid-range</v>
      </c>
      <c r="P974" s="45">
        <f>IF(MotorPHSales[[#This Row],[Segment]]="Entry-level",MotorPHSales[[#This Row],[UnitPrice]]/(1+30%),IF(MotorPHSales[[#This Row],[Segment]]="Mid-range",MotorPHSales[[#This Row],[UnitPrice]]/(1+35%),MotorPHSales[[#This Row],[UnitPrice]]/(1+40%)))*MotorPHSales[[#This Row],[Quantity]]</f>
        <v>1896296.2962962962</v>
      </c>
      <c r="Q974" s="44" t="str">
        <f>INDEX(CLEANED_MotorPH_Products_List_2!H:H,MATCH(MotorPHSales[[#This Row],[Product]],CLEANED_MotorPH_Products_List_2!$B:$B,0))</f>
        <v>6-speed</v>
      </c>
    </row>
    <row r="975" spans="1:17" ht="15.75" x14ac:dyDescent="0.3">
      <c r="A975" s="43">
        <v>45811</v>
      </c>
      <c r="B975" s="44" t="str">
        <f>TEXT(MotorPHSales[[#This Row],[Date]],"mmmm")</f>
        <v>June</v>
      </c>
      <c r="C975" s="44">
        <f>DAY(MotorPHSales[[#This Row],[Date]])</f>
        <v>3</v>
      </c>
      <c r="D975" s="44">
        <f>YEAR(MotorPHSales[[#This Row],[Date]])</f>
        <v>2025</v>
      </c>
      <c r="E975" s="44" t="s">
        <v>196</v>
      </c>
      <c r="F975" s="44" t="s">
        <v>59</v>
      </c>
      <c r="G975" s="45">
        <v>67900</v>
      </c>
      <c r="H975" s="44">
        <v>10</v>
      </c>
      <c r="I975" s="45">
        <v>679000</v>
      </c>
      <c r="J975" s="44" t="s">
        <v>195</v>
      </c>
      <c r="K975" s="44" t="str">
        <f>INDEX(CLEANED_MotorPH_Products_List_2!C:C,MATCH(MotorPHSales[[#This Row],[Product]],CLEANED_MotorPH_Products_List_2!$B:$B,0))</f>
        <v>Commuter</v>
      </c>
      <c r="L975" s="44" t="str">
        <f>INDEX(CLEANED_MotorPH_Products_List_2!E:E,MATCH(MotorPHSales[[#This Row],[Product]],CLEANED_MotorPH_Products_List_2!$B:$B,0))</f>
        <v>Single cylinder</v>
      </c>
      <c r="M975" s="44" t="str">
        <f>INDEX(CLEANED_MotorPH_Products_List_2!F:F,MATCH(MotorPHSales[[#This Row],[Product]],CLEANED_MotorPH_Products_List_2!$B:$B,0))</f>
        <v>air-cooled</v>
      </c>
      <c r="N975" s="44" t="str">
        <f>INDEX(CLEANED_MotorPH_Products_List_2!G:G,MATCH(MotorPHSales[[#This Row],[Product]],CLEANED_MotorPH_Products_List_2!$B:$B,0))</f>
        <v>125cc</v>
      </c>
      <c r="O975" s="44" t="str">
        <f>INDEX(CLEANED_MotorPH_Products_List_2!K:K,MATCH(MotorPHSales[[#This Row],[Product]],CLEANED_MotorPH_Products_List_2!B:B,0))</f>
        <v>Entry-level</v>
      </c>
      <c r="P975" s="45">
        <f>IF(MotorPHSales[[#This Row],[Segment]]="Entry-level",MotorPHSales[[#This Row],[UnitPrice]]/(1+30%),IF(MotorPHSales[[#This Row],[Segment]]="Mid-range",MotorPHSales[[#This Row],[UnitPrice]]/(1+35%),MotorPHSales[[#This Row],[UnitPrice]]/(1+40%)))*MotorPHSales[[#This Row],[Quantity]]</f>
        <v>522307.69230769225</v>
      </c>
      <c r="Q975" s="44" t="str">
        <f>INDEX(CLEANED_MotorPH_Products_List_2!H:H,MATCH(MotorPHSales[[#This Row],[Product]],CLEANED_MotorPH_Products_List_2!$B:$B,0))</f>
        <v>4-speed</v>
      </c>
    </row>
    <row r="976" spans="1:17" ht="15.75" x14ac:dyDescent="0.3">
      <c r="A976" s="43">
        <v>45841</v>
      </c>
      <c r="B976" s="44" t="str">
        <f>TEXT(MotorPHSales[[#This Row],[Date]],"mmmm")</f>
        <v>July</v>
      </c>
      <c r="C976" s="44">
        <f>DAY(MotorPHSales[[#This Row],[Date]])</f>
        <v>3</v>
      </c>
      <c r="D976" s="44">
        <f>YEAR(MotorPHSales[[#This Row],[Date]])</f>
        <v>2025</v>
      </c>
      <c r="E976" s="44" t="s">
        <v>194</v>
      </c>
      <c r="F976" s="44" t="s">
        <v>99</v>
      </c>
      <c r="G976" s="45">
        <v>689000</v>
      </c>
      <c r="H976" s="44">
        <v>6</v>
      </c>
      <c r="I976" s="45">
        <v>4134000</v>
      </c>
      <c r="J976" s="44" t="s">
        <v>198</v>
      </c>
      <c r="K976" s="44" t="str">
        <f>INDEX(CLEANED_MotorPH_Products_List_2!C:C,MATCH(MotorPHSales[[#This Row],[Product]],CLEANED_MotorPH_Products_List_2!$B:$B,0))</f>
        <v>Heritage</v>
      </c>
      <c r="L976" s="44" t="str">
        <f>INDEX(CLEANED_MotorPH_Products_List_2!E:E,MATCH(MotorPHSales[[#This Row],[Product]],CLEANED_MotorPH_Products_List_2!$B:$B,0))</f>
        <v>V-twin</v>
      </c>
      <c r="M976" s="44" t="str">
        <f>INDEX(CLEANED_MotorPH_Products_List_2!F:F,MATCH(MotorPHSales[[#This Row],[Product]],CLEANED_MotorPH_Products_List_2!$B:$B,0))</f>
        <v>air-cooled</v>
      </c>
      <c r="N976" s="44" t="str">
        <f>INDEX(CLEANED_MotorPH_Products_List_2!G:G,MATCH(MotorPHSales[[#This Row],[Product]],CLEANED_MotorPH_Products_List_2!$B:$B,0))</f>
        <v>853cc</v>
      </c>
      <c r="O976" s="44" t="str">
        <f>INDEX(CLEANED_MotorPH_Products_List_2!K:K,MATCH(MotorPHSales[[#This Row],[Product]],CLEANED_MotorPH_Products_List_2!B:B,0))</f>
        <v>Premium</v>
      </c>
      <c r="P976" s="45">
        <f>IF(MotorPHSales[[#This Row],[Segment]]="Entry-level",MotorPHSales[[#This Row],[UnitPrice]]/(1+30%),IF(MotorPHSales[[#This Row],[Segment]]="Mid-range",MotorPHSales[[#This Row],[UnitPrice]]/(1+35%),MotorPHSales[[#This Row],[UnitPrice]]/(1+40%)))*MotorPHSales[[#This Row],[Quantity]]</f>
        <v>2952857.1428571427</v>
      </c>
      <c r="Q976" s="44" t="str">
        <f>INDEX(CLEANED_MotorPH_Products_List_2!H:H,MATCH(MotorPHSales[[#This Row],[Product]],CLEANED_MotorPH_Products_List_2!$B:$B,0))</f>
        <v>6-speed</v>
      </c>
    </row>
    <row r="977" spans="1:17" ht="15.75" x14ac:dyDescent="0.3">
      <c r="A977" s="43">
        <v>45814</v>
      </c>
      <c r="B977" s="44" t="str">
        <f>TEXT(MotorPHSales[[#This Row],[Date]],"mmmm")</f>
        <v>June</v>
      </c>
      <c r="C977" s="44">
        <f>DAY(MotorPHSales[[#This Row],[Date]])</f>
        <v>6</v>
      </c>
      <c r="D977" s="44">
        <f>YEAR(MotorPHSales[[#This Row],[Date]])</f>
        <v>2025</v>
      </c>
      <c r="E977" s="44" t="s">
        <v>194</v>
      </c>
      <c r="F977" s="44" t="s">
        <v>78</v>
      </c>
      <c r="G977" s="45">
        <v>99900</v>
      </c>
      <c r="H977" s="44">
        <v>13</v>
      </c>
      <c r="I977" s="45">
        <v>1298700</v>
      </c>
      <c r="J977" s="44" t="s">
        <v>195</v>
      </c>
      <c r="K977" s="44" t="str">
        <f>INDEX(CLEANED_MotorPH_Products_List_2!C:C,MATCH(MotorPHSales[[#This Row],[Product]],CLEANED_MotorPH_Products_List_2!$B:$B,0))</f>
        <v>Street</v>
      </c>
      <c r="L977" s="44" t="str">
        <f>INDEX(CLEANED_MotorPH_Products_List_2!E:E,MATCH(MotorPHSales[[#This Row],[Product]],CLEANED_MotorPH_Products_List_2!$B:$B,0))</f>
        <v>Single cylinder</v>
      </c>
      <c r="M977" s="44" t="str">
        <f>INDEX(CLEANED_MotorPH_Products_List_2!F:F,MATCH(MotorPHSales[[#This Row],[Product]],CLEANED_MotorPH_Products_List_2!$B:$B,0))</f>
        <v>air-cooled</v>
      </c>
      <c r="N977" s="44" t="str">
        <f>INDEX(CLEANED_MotorPH_Products_List_2!G:G,MATCH(MotorPHSales[[#This Row],[Product]],CLEANED_MotorPH_Products_List_2!$B:$B,0))</f>
        <v>149cc</v>
      </c>
      <c r="O977" s="44" t="str">
        <f>INDEX(CLEANED_MotorPH_Products_List_2!K:K,MATCH(MotorPHSales[[#This Row],[Product]],CLEANED_MotorPH_Products_List_2!B:B,0))</f>
        <v>Entry-level</v>
      </c>
      <c r="P977" s="45">
        <f>IF(MotorPHSales[[#This Row],[Segment]]="Entry-level",MotorPHSales[[#This Row],[UnitPrice]]/(1+30%),IF(MotorPHSales[[#This Row],[Segment]]="Mid-range",MotorPHSales[[#This Row],[UnitPrice]]/(1+35%),MotorPHSales[[#This Row],[UnitPrice]]/(1+40%)))*MotorPHSales[[#This Row],[Quantity]]</f>
        <v>999000</v>
      </c>
      <c r="Q977" s="44" t="str">
        <f>INDEX(CLEANED_MotorPH_Products_List_2!H:H,MATCH(MotorPHSales[[#This Row],[Product]],CLEANED_MotorPH_Products_List_2!$B:$B,0))</f>
        <v>5-speed</v>
      </c>
    </row>
    <row r="978" spans="1:17" ht="15.75" x14ac:dyDescent="0.3">
      <c r="A978" s="43">
        <v>45858</v>
      </c>
      <c r="B978" s="44" t="str">
        <f>TEXT(MotorPHSales[[#This Row],[Date]],"mmmm")</f>
        <v>July</v>
      </c>
      <c r="C978" s="44">
        <f>DAY(MotorPHSales[[#This Row],[Date]])</f>
        <v>20</v>
      </c>
      <c r="D978" s="44">
        <f>YEAR(MotorPHSales[[#This Row],[Date]])</f>
        <v>2025</v>
      </c>
      <c r="E978" s="44" t="s">
        <v>196</v>
      </c>
      <c r="F978" s="44" t="s">
        <v>22</v>
      </c>
      <c r="G978" s="45">
        <v>182000</v>
      </c>
      <c r="H978" s="44">
        <v>8</v>
      </c>
      <c r="I978" s="45">
        <v>1456000</v>
      </c>
      <c r="J978" s="44" t="s">
        <v>198</v>
      </c>
      <c r="K978" s="44" t="str">
        <f>INDEX(CLEANED_MotorPH_Products_List_2!C:C,MATCH(MotorPHSales[[#This Row],[Product]],CLEANED_MotorPH_Products_List_2!$B:$B,0))</f>
        <v>Retro</v>
      </c>
      <c r="L978" s="44" t="str">
        <f>INDEX(CLEANED_MotorPH_Products_List_2!E:E,MATCH(MotorPHSales[[#This Row],[Product]],CLEANED_MotorPH_Products_List_2!$B:$B,0))</f>
        <v>Single cylinder</v>
      </c>
      <c r="M978" s="44" t="str">
        <f>INDEX(CLEANED_MotorPH_Products_List_2!F:F,MATCH(MotorPHSales[[#This Row],[Product]],CLEANED_MotorPH_Products_List_2!$B:$B,0))</f>
        <v>liquid-cooled</v>
      </c>
      <c r="N978" s="44" t="str">
        <f>INDEX(CLEANED_MotorPH_Products_List_2!G:G,MATCH(MotorPHSales[[#This Row],[Product]],CLEANED_MotorPH_Products_List_2!$B:$B,0))</f>
        <v>155cc</v>
      </c>
      <c r="O978" s="44" t="str">
        <f>INDEX(CLEANED_MotorPH_Products_List_2!K:K,MATCH(MotorPHSales[[#This Row],[Product]],CLEANED_MotorPH_Products_List_2!B:B,0))</f>
        <v>Entry-level</v>
      </c>
      <c r="P978" s="45">
        <f>IF(MotorPHSales[[#This Row],[Segment]]="Entry-level",MotorPHSales[[#This Row],[UnitPrice]]/(1+30%),IF(MotorPHSales[[#This Row],[Segment]]="Mid-range",MotorPHSales[[#This Row],[UnitPrice]]/(1+35%),MotorPHSales[[#This Row],[UnitPrice]]/(1+40%)))*MotorPHSales[[#This Row],[Quantity]]</f>
        <v>1120000</v>
      </c>
      <c r="Q978" s="44" t="str">
        <f>INDEX(CLEANED_MotorPH_Products_List_2!H:H,MATCH(MotorPHSales[[#This Row],[Product]],CLEANED_MotorPH_Products_List_2!$B:$B,0))</f>
        <v>6-speed</v>
      </c>
    </row>
    <row r="979" spans="1:17" ht="15.75" x14ac:dyDescent="0.3">
      <c r="A979" s="43">
        <v>45818</v>
      </c>
      <c r="B979" s="44" t="str">
        <f>TEXT(MotorPHSales[[#This Row],[Date]],"mmmm")</f>
        <v>June</v>
      </c>
      <c r="C979" s="44">
        <f>DAY(MotorPHSales[[#This Row],[Date]])</f>
        <v>10</v>
      </c>
      <c r="D979" s="44">
        <f>YEAR(MotorPHSales[[#This Row],[Date]])</f>
        <v>2025</v>
      </c>
      <c r="E979" s="44" t="s">
        <v>194</v>
      </c>
      <c r="F979" s="44" t="s">
        <v>30</v>
      </c>
      <c r="G979" s="45">
        <v>79900</v>
      </c>
      <c r="H979" s="44">
        <v>43</v>
      </c>
      <c r="I979" s="45">
        <v>3435700</v>
      </c>
      <c r="J979" s="44" t="s">
        <v>197</v>
      </c>
      <c r="K979" s="44" t="str">
        <f>INDEX(CLEANED_MotorPH_Products_List_2!C:C,MATCH(MotorPHSales[[#This Row],[Product]],CLEANED_MotorPH_Products_List_2!$B:$B,0))</f>
        <v>Scooter</v>
      </c>
      <c r="L979" s="44" t="str">
        <f>INDEX(CLEANED_MotorPH_Products_List_2!E:E,MATCH(MotorPHSales[[#This Row],[Product]],CLEANED_MotorPH_Products_List_2!$B:$B,0))</f>
        <v>Single cylinder</v>
      </c>
      <c r="M979" s="44" t="str">
        <f>INDEX(CLEANED_MotorPH_Products_List_2!F:F,MATCH(MotorPHSales[[#This Row],[Product]],CLEANED_MotorPH_Products_List_2!$B:$B,0))</f>
        <v>air-cooled</v>
      </c>
      <c r="N979" s="44" t="str">
        <f>INDEX(CLEANED_MotorPH_Products_List_2!G:G,MATCH(MotorPHSales[[#This Row],[Product]],CLEANED_MotorPH_Products_List_2!$B:$B,0))</f>
        <v>124cc</v>
      </c>
      <c r="O979" s="44" t="str">
        <f>INDEX(CLEANED_MotorPH_Products_List_2!K:K,MATCH(MotorPHSales[[#This Row],[Product]],CLEANED_MotorPH_Products_List_2!B:B,0))</f>
        <v>Entry-level</v>
      </c>
      <c r="P979" s="45">
        <f>IF(MotorPHSales[[#This Row],[Segment]]="Entry-level",MotorPHSales[[#This Row],[UnitPrice]]/(1+30%),IF(MotorPHSales[[#This Row],[Segment]]="Mid-range",MotorPHSales[[#This Row],[UnitPrice]]/(1+35%),MotorPHSales[[#This Row],[UnitPrice]]/(1+40%)))*MotorPHSales[[#This Row],[Quantity]]</f>
        <v>2642846.153846154</v>
      </c>
      <c r="Q979" s="44" t="str">
        <f>INDEX(CLEANED_MotorPH_Products_List_2!H:H,MATCH(MotorPHSales[[#This Row],[Product]],CLEANED_MotorPH_Products_List_2!$B:$B,0))</f>
        <v>CVT</v>
      </c>
    </row>
    <row r="980" spans="1:17" ht="15.75" x14ac:dyDescent="0.3">
      <c r="A980" s="43">
        <v>45813</v>
      </c>
      <c r="B980" s="44" t="str">
        <f>TEXT(MotorPHSales[[#This Row],[Date]],"mmmm")</f>
        <v>June</v>
      </c>
      <c r="C980" s="44">
        <f>DAY(MotorPHSales[[#This Row],[Date]])</f>
        <v>5</v>
      </c>
      <c r="D980" s="44">
        <f>YEAR(MotorPHSales[[#This Row],[Date]])</f>
        <v>2025</v>
      </c>
      <c r="E980" s="44" t="s">
        <v>196</v>
      </c>
      <c r="F980" s="44" t="s">
        <v>6</v>
      </c>
      <c r="G980" s="45">
        <v>389000</v>
      </c>
      <c r="H980" s="44">
        <v>23</v>
      </c>
      <c r="I980" s="45">
        <v>8947000</v>
      </c>
      <c r="J980" s="44" t="s">
        <v>195</v>
      </c>
      <c r="K980" s="44" t="str">
        <f>INDEX(CLEANED_MotorPH_Products_List_2!C:C,MATCH(MotorPHSales[[#This Row],[Product]],CLEANED_MotorPH_Products_List_2!$B:$B,0))</f>
        <v>Sport</v>
      </c>
      <c r="L980" s="44" t="str">
        <f>INDEX(CLEANED_MotorPH_Products_List_2!E:E,MATCH(MotorPHSales[[#This Row],[Product]],CLEANED_MotorPH_Products_List_2!$B:$B,0))</f>
        <v>Parallel-twin</v>
      </c>
      <c r="M980" s="44" t="str">
        <f>INDEX(CLEANED_MotorPH_Products_List_2!F:F,MATCH(MotorPHSales[[#This Row],[Product]],CLEANED_MotorPH_Products_List_2!$B:$B,0))</f>
        <v>liquid-cooled</v>
      </c>
      <c r="N980" s="44" t="str">
        <f>INDEX(CLEANED_MotorPH_Products_List_2!G:G,MATCH(MotorPHSales[[#This Row],[Product]],CLEANED_MotorPH_Products_List_2!$B:$B,0))</f>
        <v>471cc</v>
      </c>
      <c r="O980" s="44" t="str">
        <f>INDEX(CLEANED_MotorPH_Products_List_2!K:K,MATCH(MotorPHSales[[#This Row],[Product]],CLEANED_MotorPH_Products_List_2!B:B,0))</f>
        <v>Mid-range</v>
      </c>
      <c r="P980" s="45">
        <f>IF(MotorPHSales[[#This Row],[Segment]]="Entry-level",MotorPHSales[[#This Row],[UnitPrice]]/(1+30%),IF(MotorPHSales[[#This Row],[Segment]]="Mid-range",MotorPHSales[[#This Row],[UnitPrice]]/(1+35%),MotorPHSales[[#This Row],[UnitPrice]]/(1+40%)))*MotorPHSales[[#This Row],[Quantity]]</f>
        <v>6627407.4074074076</v>
      </c>
      <c r="Q980" s="44" t="str">
        <f>INDEX(CLEANED_MotorPH_Products_List_2!H:H,MATCH(MotorPHSales[[#This Row],[Product]],CLEANED_MotorPH_Products_List_2!$B:$B,0))</f>
        <v>6-speed</v>
      </c>
    </row>
    <row r="981" spans="1:17" ht="15.75" x14ac:dyDescent="0.3">
      <c r="A981" s="43">
        <v>45831</v>
      </c>
      <c r="B981" s="44" t="str">
        <f>TEXT(MotorPHSales[[#This Row],[Date]],"mmmm")</f>
        <v>June</v>
      </c>
      <c r="C981" s="44">
        <f>DAY(MotorPHSales[[#This Row],[Date]])</f>
        <v>23</v>
      </c>
      <c r="D981" s="44">
        <f>YEAR(MotorPHSales[[#This Row],[Date]])</f>
        <v>2025</v>
      </c>
      <c r="E981" s="44" t="s">
        <v>194</v>
      </c>
      <c r="F981" s="44" t="s">
        <v>74</v>
      </c>
      <c r="G981" s="45">
        <v>349000</v>
      </c>
      <c r="H981" s="44">
        <v>11</v>
      </c>
      <c r="I981" s="45">
        <v>3839000</v>
      </c>
      <c r="J981" s="44" t="s">
        <v>197</v>
      </c>
      <c r="K981" s="44" t="str">
        <f>INDEX(CLEANED_MotorPH_Products_List_2!C:C,MATCH(MotorPHSales[[#This Row],[Product]],CLEANED_MotorPH_Products_List_2!$B:$B,0))</f>
        <v>Cruiser</v>
      </c>
      <c r="L981" s="44" t="str">
        <f>INDEX(CLEANED_MotorPH_Products_List_2!E:E,MATCH(MotorPHSales[[#This Row],[Product]],CLEANED_MotorPH_Products_List_2!$B:$B,0))</f>
        <v>Parallel-twin</v>
      </c>
      <c r="M981" s="44" t="str">
        <f>INDEX(CLEANED_MotorPH_Products_List_2!F:F,MATCH(MotorPHSales[[#This Row],[Product]],CLEANED_MotorPH_Products_List_2!$B:$B,0))</f>
        <v>liquid-cooled</v>
      </c>
      <c r="N981" s="44" t="str">
        <f>INDEX(CLEANED_MotorPH_Products_List_2!G:G,MATCH(MotorPHSales[[#This Row],[Product]],CLEANED_MotorPH_Products_List_2!$B:$B,0))</f>
        <v>500cc</v>
      </c>
      <c r="O981" s="44" t="str">
        <f>INDEX(CLEANED_MotorPH_Products_List_2!K:K,MATCH(MotorPHSales[[#This Row],[Product]],CLEANED_MotorPH_Products_List_2!B:B,0))</f>
        <v>Mid-range</v>
      </c>
      <c r="P981" s="45">
        <f>IF(MotorPHSales[[#This Row],[Segment]]="Entry-level",MotorPHSales[[#This Row],[UnitPrice]]/(1+30%),IF(MotorPHSales[[#This Row],[Segment]]="Mid-range",MotorPHSales[[#This Row],[UnitPrice]]/(1+35%),MotorPHSales[[#This Row],[UnitPrice]]/(1+40%)))*MotorPHSales[[#This Row],[Quantity]]</f>
        <v>2843703.7037037038</v>
      </c>
      <c r="Q981" s="44" t="str">
        <f>INDEX(CLEANED_MotorPH_Products_List_2!H:H,MATCH(MotorPHSales[[#This Row],[Product]],CLEANED_MotorPH_Products_List_2!$B:$B,0))</f>
        <v>6-speed</v>
      </c>
    </row>
    <row r="982" spans="1:17" ht="15.75" x14ac:dyDescent="0.3">
      <c r="A982" s="43">
        <v>45818</v>
      </c>
      <c r="B982" s="44" t="str">
        <f>TEXT(MotorPHSales[[#This Row],[Date]],"mmmm")</f>
        <v>June</v>
      </c>
      <c r="C982" s="44">
        <f>DAY(MotorPHSales[[#This Row],[Date]])</f>
        <v>10</v>
      </c>
      <c r="D982" s="44">
        <f>YEAR(MotorPHSales[[#This Row],[Date]])</f>
        <v>2025</v>
      </c>
      <c r="E982" s="44" t="s">
        <v>196</v>
      </c>
      <c r="F982" s="44" t="s">
        <v>53</v>
      </c>
      <c r="G982" s="45">
        <v>345000</v>
      </c>
      <c r="H982" s="44">
        <v>22</v>
      </c>
      <c r="I982" s="45">
        <v>7590000</v>
      </c>
      <c r="J982" s="44" t="s">
        <v>198</v>
      </c>
      <c r="K982" s="44" t="str">
        <f>INDEX(CLEANED_MotorPH_Products_List_2!C:C,MATCH(MotorPHSales[[#This Row],[Product]],CLEANED_MotorPH_Products_List_2!$B:$B,0))</f>
        <v>Touring</v>
      </c>
      <c r="L982" s="44" t="str">
        <f>INDEX(CLEANED_MotorPH_Products_List_2!E:E,MATCH(MotorPHSales[[#This Row],[Product]],CLEANED_MotorPH_Products_List_2!$B:$B,0))</f>
        <v>Parallel-twin</v>
      </c>
      <c r="M982" s="44" t="str">
        <f>INDEX(CLEANED_MotorPH_Products_List_2!F:F,MATCH(MotorPHSales[[#This Row],[Product]],CLEANED_MotorPH_Products_List_2!$B:$B,0))</f>
        <v>liquid-cooled</v>
      </c>
      <c r="N982" s="44" t="str">
        <f>INDEX(CLEANED_MotorPH_Products_List_2!G:G,MATCH(MotorPHSales[[#This Row],[Product]],CLEANED_MotorPH_Products_List_2!$B:$B,0))</f>
        <v>649cc</v>
      </c>
      <c r="O982" s="44" t="str">
        <f>INDEX(CLEANED_MotorPH_Products_List_2!K:K,MATCH(MotorPHSales[[#This Row],[Product]],CLEANED_MotorPH_Products_List_2!B:B,0))</f>
        <v>Premium</v>
      </c>
      <c r="P982" s="45">
        <f>IF(MotorPHSales[[#This Row],[Segment]]="Entry-level",MotorPHSales[[#This Row],[UnitPrice]]/(1+30%),IF(MotorPHSales[[#This Row],[Segment]]="Mid-range",MotorPHSales[[#This Row],[UnitPrice]]/(1+35%),MotorPHSales[[#This Row],[UnitPrice]]/(1+40%)))*MotorPHSales[[#This Row],[Quantity]]</f>
        <v>5421428.5714285718</v>
      </c>
      <c r="Q982" s="44" t="str">
        <f>INDEX(CLEANED_MotorPH_Products_List_2!H:H,MATCH(MotorPHSales[[#This Row],[Product]],CLEANED_MotorPH_Products_List_2!$B:$B,0))</f>
        <v>6-speed</v>
      </c>
    </row>
    <row r="983" spans="1:17" ht="15.75" x14ac:dyDescent="0.3">
      <c r="A983" s="43">
        <v>45852</v>
      </c>
      <c r="B983" s="44" t="str">
        <f>TEXT(MotorPHSales[[#This Row],[Date]],"mmmm")</f>
        <v>July</v>
      </c>
      <c r="C983" s="44">
        <f>DAY(MotorPHSales[[#This Row],[Date]])</f>
        <v>14</v>
      </c>
      <c r="D983" s="44">
        <f>YEAR(MotorPHSales[[#This Row],[Date]])</f>
        <v>2025</v>
      </c>
      <c r="E983" s="44" t="s">
        <v>196</v>
      </c>
      <c r="F983" s="44" t="s">
        <v>99</v>
      </c>
      <c r="G983" s="45">
        <v>689000</v>
      </c>
      <c r="H983" s="44">
        <v>11</v>
      </c>
      <c r="I983" s="45">
        <v>7579000</v>
      </c>
      <c r="J983" s="44" t="s">
        <v>197</v>
      </c>
      <c r="K983" s="44" t="str">
        <f>INDEX(CLEANED_MotorPH_Products_List_2!C:C,MATCH(MotorPHSales[[#This Row],[Product]],CLEANED_MotorPH_Products_List_2!$B:$B,0))</f>
        <v>Heritage</v>
      </c>
      <c r="L983" s="44" t="str">
        <f>INDEX(CLEANED_MotorPH_Products_List_2!E:E,MATCH(MotorPHSales[[#This Row],[Product]],CLEANED_MotorPH_Products_List_2!$B:$B,0))</f>
        <v>V-twin</v>
      </c>
      <c r="M983" s="44" t="str">
        <f>INDEX(CLEANED_MotorPH_Products_List_2!F:F,MATCH(MotorPHSales[[#This Row],[Product]],CLEANED_MotorPH_Products_List_2!$B:$B,0))</f>
        <v>air-cooled</v>
      </c>
      <c r="N983" s="44" t="str">
        <f>INDEX(CLEANED_MotorPH_Products_List_2!G:G,MATCH(MotorPHSales[[#This Row],[Product]],CLEANED_MotorPH_Products_List_2!$B:$B,0))</f>
        <v>853cc</v>
      </c>
      <c r="O983" s="44" t="str">
        <f>INDEX(CLEANED_MotorPH_Products_List_2!K:K,MATCH(MotorPHSales[[#This Row],[Product]],CLEANED_MotorPH_Products_List_2!B:B,0))</f>
        <v>Premium</v>
      </c>
      <c r="P983" s="45">
        <f>IF(MotorPHSales[[#This Row],[Segment]]="Entry-level",MotorPHSales[[#This Row],[UnitPrice]]/(1+30%),IF(MotorPHSales[[#This Row],[Segment]]="Mid-range",MotorPHSales[[#This Row],[UnitPrice]]/(1+35%),MotorPHSales[[#This Row],[UnitPrice]]/(1+40%)))*MotorPHSales[[#This Row],[Quantity]]</f>
        <v>5413571.4285714291</v>
      </c>
      <c r="Q983" s="44" t="str">
        <f>INDEX(CLEANED_MotorPH_Products_List_2!H:H,MATCH(MotorPHSales[[#This Row],[Product]],CLEANED_MotorPH_Products_List_2!$B:$B,0))</f>
        <v>6-speed</v>
      </c>
    </row>
    <row r="984" spans="1:17" ht="15.75" x14ac:dyDescent="0.3">
      <c r="A984" s="43">
        <v>45810</v>
      </c>
      <c r="B984" s="44" t="str">
        <f>TEXT(MotorPHSales[[#This Row],[Date]],"mmmm")</f>
        <v>June</v>
      </c>
      <c r="C984" s="44">
        <f>DAY(MotorPHSales[[#This Row],[Date]])</f>
        <v>2</v>
      </c>
      <c r="D984" s="44">
        <f>YEAR(MotorPHSales[[#This Row],[Date]])</f>
        <v>2025</v>
      </c>
      <c r="E984" s="44" t="s">
        <v>194</v>
      </c>
      <c r="F984" s="44" t="s">
        <v>78</v>
      </c>
      <c r="G984" s="45">
        <v>99900</v>
      </c>
      <c r="H984" s="44">
        <v>48</v>
      </c>
      <c r="I984" s="45">
        <v>4795200</v>
      </c>
      <c r="J984" s="44" t="s">
        <v>195</v>
      </c>
      <c r="K984" s="44" t="str">
        <f>INDEX(CLEANED_MotorPH_Products_List_2!C:C,MATCH(MotorPHSales[[#This Row],[Product]],CLEANED_MotorPH_Products_List_2!$B:$B,0))</f>
        <v>Street</v>
      </c>
      <c r="L984" s="44" t="str">
        <f>INDEX(CLEANED_MotorPH_Products_List_2!E:E,MATCH(MotorPHSales[[#This Row],[Product]],CLEANED_MotorPH_Products_List_2!$B:$B,0))</f>
        <v>Single cylinder</v>
      </c>
      <c r="M984" s="44" t="str">
        <f>INDEX(CLEANED_MotorPH_Products_List_2!F:F,MATCH(MotorPHSales[[#This Row],[Product]],CLEANED_MotorPH_Products_List_2!$B:$B,0))</f>
        <v>air-cooled</v>
      </c>
      <c r="N984" s="44" t="str">
        <f>INDEX(CLEANED_MotorPH_Products_List_2!G:G,MATCH(MotorPHSales[[#This Row],[Product]],CLEANED_MotorPH_Products_List_2!$B:$B,0))</f>
        <v>149cc</v>
      </c>
      <c r="O984" s="44" t="str">
        <f>INDEX(CLEANED_MotorPH_Products_List_2!K:K,MATCH(MotorPHSales[[#This Row],[Product]],CLEANED_MotorPH_Products_List_2!B:B,0))</f>
        <v>Entry-level</v>
      </c>
      <c r="P984" s="45">
        <f>IF(MotorPHSales[[#This Row],[Segment]]="Entry-level",MotorPHSales[[#This Row],[UnitPrice]]/(1+30%),IF(MotorPHSales[[#This Row],[Segment]]="Mid-range",MotorPHSales[[#This Row],[UnitPrice]]/(1+35%),MotorPHSales[[#This Row],[UnitPrice]]/(1+40%)))*MotorPHSales[[#This Row],[Quantity]]</f>
        <v>3688615.3846153845</v>
      </c>
      <c r="Q984" s="44" t="str">
        <f>INDEX(CLEANED_MotorPH_Products_List_2!H:H,MATCH(MotorPHSales[[#This Row],[Product]],CLEANED_MotorPH_Products_List_2!$B:$B,0))</f>
        <v>5-speed</v>
      </c>
    </row>
    <row r="985" spans="1:17" ht="15.75" x14ac:dyDescent="0.3">
      <c r="A985" s="43">
        <v>45821</v>
      </c>
      <c r="B985" s="44" t="str">
        <f>TEXT(MotorPHSales[[#This Row],[Date]],"mmmm")</f>
        <v>June</v>
      </c>
      <c r="C985" s="44">
        <f>DAY(MotorPHSales[[#This Row],[Date]])</f>
        <v>13</v>
      </c>
      <c r="D985" s="44">
        <f>YEAR(MotorPHSales[[#This Row],[Date]])</f>
        <v>2025</v>
      </c>
      <c r="E985" s="44" t="s">
        <v>194</v>
      </c>
      <c r="F985" s="44" t="s">
        <v>82</v>
      </c>
      <c r="G985" s="45">
        <v>199000</v>
      </c>
      <c r="H985" s="44">
        <v>4</v>
      </c>
      <c r="I985" s="45">
        <v>796000</v>
      </c>
      <c r="J985" s="44" t="s">
        <v>197</v>
      </c>
      <c r="K985" s="44" t="str">
        <f>INDEX(CLEANED_MotorPH_Products_List_2!C:C,MATCH(MotorPHSales[[#This Row],[Product]],CLEANED_MotorPH_Products_List_2!$B:$B,0))</f>
        <v>Dual-sport</v>
      </c>
      <c r="L985" s="44" t="str">
        <f>INDEX(CLEANED_MotorPH_Products_List_2!E:E,MATCH(MotorPHSales[[#This Row],[Product]],CLEANED_MotorPH_Products_List_2!$B:$B,0))</f>
        <v>Single cylinder</v>
      </c>
      <c r="M985" s="44" t="str">
        <f>INDEX(CLEANED_MotorPH_Products_List_2!F:F,MATCH(MotorPHSales[[#This Row],[Product]],CLEANED_MotorPH_Products_List_2!$B:$B,0))</f>
        <v>air-cooled</v>
      </c>
      <c r="N985" s="44" t="str">
        <f>INDEX(CLEANED_MotorPH_Products_List_2!G:G,MATCH(MotorPHSales[[#This Row],[Product]],CLEANED_MotorPH_Products_List_2!$B:$B,0))</f>
        <v>233cc</v>
      </c>
      <c r="O985" s="44" t="str">
        <f>INDEX(CLEANED_MotorPH_Products_List_2!K:K,MATCH(MotorPHSales[[#This Row],[Product]],CLEANED_MotorPH_Products_List_2!B:B,0))</f>
        <v>Mid-range</v>
      </c>
      <c r="P985" s="45">
        <f>IF(MotorPHSales[[#This Row],[Segment]]="Entry-level",MotorPHSales[[#This Row],[UnitPrice]]/(1+30%),IF(MotorPHSales[[#This Row],[Segment]]="Mid-range",MotorPHSales[[#This Row],[UnitPrice]]/(1+35%),MotorPHSales[[#This Row],[UnitPrice]]/(1+40%)))*MotorPHSales[[#This Row],[Quantity]]</f>
        <v>589629.62962962955</v>
      </c>
      <c r="Q985" s="44" t="str">
        <f>INDEX(CLEANED_MotorPH_Products_List_2!H:H,MATCH(MotorPHSales[[#This Row],[Product]],CLEANED_MotorPH_Products_List_2!$B:$B,0))</f>
        <v>6-speed</v>
      </c>
    </row>
    <row r="986" spans="1:17" ht="15.75" x14ac:dyDescent="0.3">
      <c r="A986" s="43">
        <v>45848</v>
      </c>
      <c r="B986" s="44" t="str">
        <f>TEXT(MotorPHSales[[#This Row],[Date]],"mmmm")</f>
        <v>July</v>
      </c>
      <c r="C986" s="44">
        <f>DAY(MotorPHSales[[#This Row],[Date]])</f>
        <v>10</v>
      </c>
      <c r="D986" s="44">
        <f>YEAR(MotorPHSales[[#This Row],[Date]])</f>
        <v>2025</v>
      </c>
      <c r="E986" s="44" t="s">
        <v>196</v>
      </c>
      <c r="F986" s="44" t="s">
        <v>53</v>
      </c>
      <c r="G986" s="45">
        <v>345000</v>
      </c>
      <c r="H986" s="44">
        <v>18</v>
      </c>
      <c r="I986" s="45">
        <v>6210000</v>
      </c>
      <c r="J986" s="44" t="s">
        <v>198</v>
      </c>
      <c r="K986" s="44" t="str">
        <f>INDEX(CLEANED_MotorPH_Products_List_2!C:C,MATCH(MotorPHSales[[#This Row],[Product]],CLEANED_MotorPH_Products_List_2!$B:$B,0))</f>
        <v>Touring</v>
      </c>
      <c r="L986" s="44" t="str">
        <f>INDEX(CLEANED_MotorPH_Products_List_2!E:E,MATCH(MotorPHSales[[#This Row],[Product]],CLEANED_MotorPH_Products_List_2!$B:$B,0))</f>
        <v>Parallel-twin</v>
      </c>
      <c r="M986" s="44" t="str">
        <f>INDEX(CLEANED_MotorPH_Products_List_2!F:F,MATCH(MotorPHSales[[#This Row],[Product]],CLEANED_MotorPH_Products_List_2!$B:$B,0))</f>
        <v>liquid-cooled</v>
      </c>
      <c r="N986" s="44" t="str">
        <f>INDEX(CLEANED_MotorPH_Products_List_2!G:G,MATCH(MotorPHSales[[#This Row],[Product]],CLEANED_MotorPH_Products_List_2!$B:$B,0))</f>
        <v>649cc</v>
      </c>
      <c r="O986" s="44" t="str">
        <f>INDEX(CLEANED_MotorPH_Products_List_2!K:K,MATCH(MotorPHSales[[#This Row],[Product]],CLEANED_MotorPH_Products_List_2!B:B,0))</f>
        <v>Premium</v>
      </c>
      <c r="P986" s="45">
        <f>IF(MotorPHSales[[#This Row],[Segment]]="Entry-level",MotorPHSales[[#This Row],[UnitPrice]]/(1+30%),IF(MotorPHSales[[#This Row],[Segment]]="Mid-range",MotorPHSales[[#This Row],[UnitPrice]]/(1+35%),MotorPHSales[[#This Row],[UnitPrice]]/(1+40%)))*MotorPHSales[[#This Row],[Quantity]]</f>
        <v>4435714.2857142864</v>
      </c>
      <c r="Q986" s="44" t="str">
        <f>INDEX(CLEANED_MotorPH_Products_List_2!H:H,MATCH(MotorPHSales[[#This Row],[Product]],CLEANED_MotorPH_Products_List_2!$B:$B,0))</f>
        <v>6-speed</v>
      </c>
    </row>
    <row r="987" spans="1:17" ht="15.75" x14ac:dyDescent="0.3">
      <c r="A987" s="43">
        <v>45810</v>
      </c>
      <c r="B987" s="44" t="str">
        <f>TEXT(MotorPHSales[[#This Row],[Date]],"mmmm")</f>
        <v>June</v>
      </c>
      <c r="C987" s="44">
        <f>DAY(MotorPHSales[[#This Row],[Date]])</f>
        <v>2</v>
      </c>
      <c r="D987" s="44">
        <f>YEAR(MotorPHSales[[#This Row],[Date]])</f>
        <v>2025</v>
      </c>
      <c r="E987" s="44" t="s">
        <v>196</v>
      </c>
      <c r="F987" s="44" t="s">
        <v>76</v>
      </c>
      <c r="G987" s="45">
        <v>369000</v>
      </c>
      <c r="H987" s="44">
        <v>23</v>
      </c>
      <c r="I987" s="45">
        <v>8487000</v>
      </c>
      <c r="J987" s="44" t="s">
        <v>197</v>
      </c>
      <c r="K987" s="44" t="str">
        <f>INDEX(CLEANED_MotorPH_Products_List_2!C:C,MATCH(MotorPHSales[[#This Row],[Product]],CLEANED_MotorPH_Products_List_2!$B:$B,0))</f>
        <v>Adventure</v>
      </c>
      <c r="L987" s="44" t="str">
        <f>INDEX(CLEANED_MotorPH_Products_List_2!E:E,MATCH(MotorPHSales[[#This Row],[Product]],CLEANED_MotorPH_Products_List_2!$B:$B,0))</f>
        <v>Parallel-twin</v>
      </c>
      <c r="M987" s="44" t="str">
        <f>INDEX(CLEANED_MotorPH_Products_List_2!F:F,MATCH(MotorPHSales[[#This Row],[Product]],CLEANED_MotorPH_Products_List_2!$B:$B,0))</f>
        <v>liquid-cooled</v>
      </c>
      <c r="N987" s="44" t="str">
        <f>INDEX(CLEANED_MotorPH_Products_List_2!G:G,MATCH(MotorPHSales[[#This Row],[Product]],CLEANED_MotorPH_Products_List_2!$B:$B,0))</f>
        <v>649cc</v>
      </c>
      <c r="O987" s="44" t="str">
        <f>INDEX(CLEANED_MotorPH_Products_List_2!K:K,MATCH(MotorPHSales[[#This Row],[Product]],CLEANED_MotorPH_Products_List_2!B:B,0))</f>
        <v>Premium</v>
      </c>
      <c r="P987" s="45">
        <f>IF(MotorPHSales[[#This Row],[Segment]]="Entry-level",MotorPHSales[[#This Row],[UnitPrice]]/(1+30%),IF(MotorPHSales[[#This Row],[Segment]]="Mid-range",MotorPHSales[[#This Row],[UnitPrice]]/(1+35%),MotorPHSales[[#This Row],[UnitPrice]]/(1+40%)))*MotorPHSales[[#This Row],[Quantity]]</f>
        <v>6062142.8571428573</v>
      </c>
      <c r="Q987" s="44" t="str">
        <f>INDEX(CLEANED_MotorPH_Products_List_2!H:H,MATCH(MotorPHSales[[#This Row],[Product]],CLEANED_MotorPH_Products_List_2!$B:$B,0))</f>
        <v>6-speed</v>
      </c>
    </row>
    <row r="988" spans="1:17" ht="15.75" x14ac:dyDescent="0.3">
      <c r="A988" s="43">
        <v>45892</v>
      </c>
      <c r="B988" s="44" t="str">
        <f>TEXT(MotorPHSales[[#This Row],[Date]],"mmmm")</f>
        <v>August</v>
      </c>
      <c r="C988" s="44">
        <f>DAY(MotorPHSales[[#This Row],[Date]])</f>
        <v>23</v>
      </c>
      <c r="D988" s="44">
        <f>YEAR(MotorPHSales[[#This Row],[Date]])</f>
        <v>2025</v>
      </c>
      <c r="E988" s="44" t="s">
        <v>194</v>
      </c>
      <c r="F988" s="44" t="s">
        <v>16</v>
      </c>
      <c r="G988" s="45">
        <v>165000</v>
      </c>
      <c r="H988" s="44">
        <v>2</v>
      </c>
      <c r="I988" s="45">
        <v>330000</v>
      </c>
      <c r="J988" s="44" t="s">
        <v>197</v>
      </c>
      <c r="K988" s="44" t="str">
        <f>INDEX(CLEANED_MotorPH_Products_List_2!C:C,MATCH(MotorPHSales[[#This Row],[Product]],CLEANED_MotorPH_Products_List_2!$B:$B,0))</f>
        <v>Naked bike</v>
      </c>
      <c r="L988" s="44" t="str">
        <f>INDEX(CLEANED_MotorPH_Products_List_2!E:E,MATCH(MotorPHSales[[#This Row],[Product]],CLEANED_MotorPH_Products_List_2!$B:$B,0))</f>
        <v>Single cylinder</v>
      </c>
      <c r="M988" s="44" t="str">
        <f>INDEX(CLEANED_MotorPH_Products_List_2!F:F,MATCH(MotorPHSales[[#This Row],[Product]],CLEANED_MotorPH_Products_List_2!$B:$B,0))</f>
        <v>liquid-cooled</v>
      </c>
      <c r="N988" s="44" t="str">
        <f>INDEX(CLEANED_MotorPH_Products_List_2!G:G,MATCH(MotorPHSales[[#This Row],[Product]],CLEANED_MotorPH_Products_List_2!$B:$B,0))</f>
        <v>292cc</v>
      </c>
      <c r="O988" s="44" t="str">
        <f>INDEX(CLEANED_MotorPH_Products_List_2!K:K,MATCH(MotorPHSales[[#This Row],[Product]],CLEANED_MotorPH_Products_List_2!B:B,0))</f>
        <v>Mid-range</v>
      </c>
      <c r="P988" s="45">
        <f>IF(MotorPHSales[[#This Row],[Segment]]="Entry-level",MotorPHSales[[#This Row],[UnitPrice]]/(1+30%),IF(MotorPHSales[[#This Row],[Segment]]="Mid-range",MotorPHSales[[#This Row],[UnitPrice]]/(1+35%),MotorPHSales[[#This Row],[UnitPrice]]/(1+40%)))*MotorPHSales[[#This Row],[Quantity]]</f>
        <v>244444.44444444444</v>
      </c>
      <c r="Q988" s="44" t="str">
        <f>INDEX(CLEANED_MotorPH_Products_List_2!H:H,MATCH(MotorPHSales[[#This Row],[Product]],CLEANED_MotorPH_Products_List_2!$B:$B,0))</f>
        <v>6-speed</v>
      </c>
    </row>
    <row r="989" spans="1:17" ht="15.75" x14ac:dyDescent="0.3">
      <c r="A989" s="43">
        <v>45873</v>
      </c>
      <c r="B989" s="44" t="str">
        <f>TEXT(MotorPHSales[[#This Row],[Date]],"mmmm")</f>
        <v>August</v>
      </c>
      <c r="C989" s="44">
        <f>DAY(MotorPHSales[[#This Row],[Date]])</f>
        <v>4</v>
      </c>
      <c r="D989" s="44">
        <f>YEAR(MotorPHSales[[#This Row],[Date]])</f>
        <v>2025</v>
      </c>
      <c r="E989" s="44" t="s">
        <v>194</v>
      </c>
      <c r="F989" s="44" t="s">
        <v>96</v>
      </c>
      <c r="G989" s="45">
        <v>80900</v>
      </c>
      <c r="H989" s="44">
        <v>46</v>
      </c>
      <c r="I989" s="45">
        <v>3721400</v>
      </c>
      <c r="J989" s="44" t="s">
        <v>197</v>
      </c>
      <c r="K989" s="44" t="str">
        <f>INDEX(CLEANED_MotorPH_Products_List_2!C:C,MATCH(MotorPHSales[[#This Row],[Product]],CLEANED_MotorPH_Products_List_2!$B:$B,0))</f>
        <v>Scooter</v>
      </c>
      <c r="L989" s="44" t="str">
        <f>INDEX(CLEANED_MotorPH_Products_List_2!E:E,MATCH(MotorPHSales[[#This Row],[Product]],CLEANED_MotorPH_Products_List_2!$B:$B,0))</f>
        <v>Single cylinder</v>
      </c>
      <c r="M989" s="44" t="str">
        <f>INDEX(CLEANED_MotorPH_Products_List_2!F:F,MATCH(MotorPHSales[[#This Row],[Product]],CLEANED_MotorPH_Products_List_2!$B:$B,0))</f>
        <v>air-cooled</v>
      </c>
      <c r="N989" s="44" t="str">
        <f>INDEX(CLEANED_MotorPH_Products_List_2!G:G,MATCH(MotorPHSales[[#This Row],[Product]],CLEANED_MotorPH_Products_List_2!$B:$B,0))</f>
        <v>124cc</v>
      </c>
      <c r="O989" s="44" t="str">
        <f>INDEX(CLEANED_MotorPH_Products_List_2!K:K,MATCH(MotorPHSales[[#This Row],[Product]],CLEANED_MotorPH_Products_List_2!B:B,0))</f>
        <v>Entry-level</v>
      </c>
      <c r="P989" s="45">
        <f>IF(MotorPHSales[[#This Row],[Segment]]="Entry-level",MotorPHSales[[#This Row],[UnitPrice]]/(1+30%),IF(MotorPHSales[[#This Row],[Segment]]="Mid-range",MotorPHSales[[#This Row],[UnitPrice]]/(1+35%),MotorPHSales[[#This Row],[UnitPrice]]/(1+40%)))*MotorPHSales[[#This Row],[Quantity]]</f>
        <v>2862615.3846153845</v>
      </c>
      <c r="Q989" s="44" t="str">
        <f>INDEX(CLEANED_MotorPH_Products_List_2!H:H,MATCH(MotorPHSales[[#This Row],[Product]],CLEANED_MotorPH_Products_List_2!$B:$B,0))</f>
        <v>CVT</v>
      </c>
    </row>
    <row r="990" spans="1:17" ht="15.75" x14ac:dyDescent="0.3">
      <c r="A990" s="43">
        <v>45871</v>
      </c>
      <c r="B990" s="44" t="str">
        <f>TEXT(MotorPHSales[[#This Row],[Date]],"mmmm")</f>
        <v>August</v>
      </c>
      <c r="C990" s="44">
        <f>DAY(MotorPHSales[[#This Row],[Date]])</f>
        <v>2</v>
      </c>
      <c r="D990" s="44">
        <f>YEAR(MotorPHSales[[#This Row],[Date]])</f>
        <v>2025</v>
      </c>
      <c r="E990" s="44" t="s">
        <v>196</v>
      </c>
      <c r="F990" s="44" t="s">
        <v>63</v>
      </c>
      <c r="G990" s="45">
        <v>48000</v>
      </c>
      <c r="H990" s="44">
        <v>33</v>
      </c>
      <c r="I990" s="45">
        <v>1584000</v>
      </c>
      <c r="J990" s="44" t="s">
        <v>195</v>
      </c>
      <c r="K990" s="44" t="str">
        <f>INDEX(CLEANED_MotorPH_Products_List_2!C:C,MATCH(MotorPHSales[[#This Row],[Product]],CLEANED_MotorPH_Products_List_2!$B:$B,0))</f>
        <v>Commuter</v>
      </c>
      <c r="L990" s="44" t="str">
        <f>INDEX(CLEANED_MotorPH_Products_List_2!E:E,MATCH(MotorPHSales[[#This Row],[Product]],CLEANED_MotorPH_Products_List_2!$B:$B,0))</f>
        <v>Single cylinder</v>
      </c>
      <c r="M990" s="44" t="str">
        <f>INDEX(CLEANED_MotorPH_Products_List_2!F:F,MATCH(MotorPHSales[[#This Row],[Product]],CLEANED_MotorPH_Products_List_2!$B:$B,0))</f>
        <v>air-cooled</v>
      </c>
      <c r="N990" s="44" t="str">
        <f>INDEX(CLEANED_MotorPH_Products_List_2!G:G,MATCH(MotorPHSales[[#This Row],[Product]],CLEANED_MotorPH_Products_List_2!$B:$B,0))</f>
        <v>125cc</v>
      </c>
      <c r="O990" s="44" t="str">
        <f>INDEX(CLEANED_MotorPH_Products_List_2!K:K,MATCH(MotorPHSales[[#This Row],[Product]],CLEANED_MotorPH_Products_List_2!B:B,0))</f>
        <v>Entry-level</v>
      </c>
      <c r="P990" s="45">
        <f>IF(MotorPHSales[[#This Row],[Segment]]="Entry-level",MotorPHSales[[#This Row],[UnitPrice]]/(1+30%),IF(MotorPHSales[[#This Row],[Segment]]="Mid-range",MotorPHSales[[#This Row],[UnitPrice]]/(1+35%),MotorPHSales[[#This Row],[UnitPrice]]/(1+40%)))*MotorPHSales[[#This Row],[Quantity]]</f>
        <v>1218461.5384615385</v>
      </c>
      <c r="Q990" s="44" t="str">
        <f>INDEX(CLEANED_MotorPH_Products_List_2!H:H,MATCH(MotorPHSales[[#This Row],[Product]],CLEANED_MotorPH_Products_List_2!$B:$B,0))</f>
        <v>4-speed</v>
      </c>
    </row>
    <row r="991" spans="1:17" ht="15.75" x14ac:dyDescent="0.3">
      <c r="A991" s="43">
        <v>45881</v>
      </c>
      <c r="B991" s="44" t="str">
        <f>TEXT(MotorPHSales[[#This Row],[Date]],"mmmm")</f>
        <v>August</v>
      </c>
      <c r="C991" s="44">
        <f>DAY(MotorPHSales[[#This Row],[Date]])</f>
        <v>12</v>
      </c>
      <c r="D991" s="44">
        <f>YEAR(MotorPHSales[[#This Row],[Date]])</f>
        <v>2025</v>
      </c>
      <c r="E991" s="44" t="s">
        <v>194</v>
      </c>
      <c r="F991" s="44" t="s">
        <v>64</v>
      </c>
      <c r="G991" s="45">
        <v>128000</v>
      </c>
      <c r="H991" s="44">
        <v>1</v>
      </c>
      <c r="I991" s="45">
        <v>128000</v>
      </c>
      <c r="J991" s="44" t="s">
        <v>197</v>
      </c>
      <c r="K991" s="44" t="str">
        <f>INDEX(CLEANED_MotorPH_Products_List_2!C:C,MATCH(MotorPHSales[[#This Row],[Product]],CLEANED_MotorPH_Products_List_2!$B:$B,0))</f>
        <v>Scooter</v>
      </c>
      <c r="L991" s="44" t="str">
        <f>INDEX(CLEANED_MotorPH_Products_List_2!E:E,MATCH(MotorPHSales[[#This Row],[Product]],CLEANED_MotorPH_Products_List_2!$B:$B,0))</f>
        <v>Single cylinder</v>
      </c>
      <c r="M991" s="44" t="str">
        <f>INDEX(CLEANED_MotorPH_Products_List_2!F:F,MATCH(MotorPHSales[[#This Row],[Product]],CLEANED_MotorPH_Products_List_2!$B:$B,0))</f>
        <v>liquid-cooled</v>
      </c>
      <c r="N991" s="44" t="str">
        <f>INDEX(CLEANED_MotorPH_Products_List_2!G:G,MATCH(MotorPHSales[[#This Row],[Product]],CLEANED_MotorPH_Products_List_2!$B:$B,0))</f>
        <v>149cc</v>
      </c>
      <c r="O991" s="44" t="str">
        <f>INDEX(CLEANED_MotorPH_Products_List_2!K:K,MATCH(MotorPHSales[[#This Row],[Product]],CLEANED_MotorPH_Products_List_2!B:B,0))</f>
        <v>Entry-level</v>
      </c>
      <c r="P991" s="45">
        <f>IF(MotorPHSales[[#This Row],[Segment]]="Entry-level",MotorPHSales[[#This Row],[UnitPrice]]/(1+30%),IF(MotorPHSales[[#This Row],[Segment]]="Mid-range",MotorPHSales[[#This Row],[UnitPrice]]/(1+35%),MotorPHSales[[#This Row],[UnitPrice]]/(1+40%)))*MotorPHSales[[#This Row],[Quantity]]</f>
        <v>98461.538461538454</v>
      </c>
      <c r="Q991" s="44" t="str">
        <f>INDEX(CLEANED_MotorPH_Products_List_2!H:H,MATCH(MotorPHSales[[#This Row],[Product]],CLEANED_MotorPH_Products_List_2!$B:$B,0))</f>
        <v>CVT</v>
      </c>
    </row>
  </sheetData>
  <sheetProtection sheet="1" objects="1" scenarios="1"/>
  <phoneticPr fontId="10" type="noConversion"/>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DATA_MotorPH_Products_List_</vt:lpstr>
      <vt:lpstr>Dashboard</vt:lpstr>
      <vt:lpstr>Sales Analysis</vt:lpstr>
      <vt:lpstr>Product Analysis</vt:lpstr>
      <vt:lpstr>CLEANED_MotorPH_Products_List_2</vt:lpstr>
      <vt:lpstr>MotorPH_Sales Data-3rd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TECH BUDDY</cp:lastModifiedBy>
  <dcterms:modified xsi:type="dcterms:W3CDTF">2025-10-22T09:18:55Z</dcterms:modified>
</cp:coreProperties>
</file>